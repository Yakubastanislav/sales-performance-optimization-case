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BA Project\"/>
    </mc:Choice>
  </mc:AlternateContent>
  <xr:revisionPtr revIDLastSave="0" documentId="13_ncr:1_{3AF12305-0A91-4EE4-B222-B7E1E12E95E0}" xr6:coauthVersionLast="47" xr6:coauthVersionMax="47" xr10:uidLastSave="{00000000-0000-0000-0000-000000000000}"/>
  <bookViews>
    <workbookView xWindow="-108" yWindow="-108" windowWidth="23256" windowHeight="12456" activeTab="7" xr2:uid="{00000000-000D-0000-FFFF-FFFF00000000}"/>
  </bookViews>
  <sheets>
    <sheet name="sales_data" sheetId="3" r:id="rId1"/>
    <sheet name="Pivot1 Sales" sheetId="4" r:id="rId2"/>
    <sheet name="Pivot2 Products" sheetId="5" r:id="rId3"/>
    <sheet name="Pivot3 Repeat Rate" sheetId="6" r:id="rId4"/>
    <sheet name="summary_metrics" sheetId="2" r:id="rId5"/>
    <sheet name="hypothesis_testing" sheetId="7" r:id="rId6"/>
    <sheet name="risk_matrix" sheetId="8" r:id="rId7"/>
    <sheet name="uat_tracker" sheetId="9" r:id="rId8"/>
  </sheets>
  <calcPr calcId="191029"/>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2" l="1"/>
  <c r="D12" i="2" s="1"/>
  <c r="B12" i="2"/>
  <c r="C11" i="2"/>
  <c r="D11" i="2" s="1"/>
  <c r="B11" i="2"/>
  <c r="C10" i="2"/>
  <c r="D10" i="2" s="1"/>
  <c r="B10" i="2"/>
  <c r="C9" i="2"/>
  <c r="D9" i="2" s="1"/>
  <c r="B9" i="2"/>
  <c r="C8" i="2"/>
  <c r="D8" i="2" s="1"/>
  <c r="B8" i="2"/>
  <c r="C7" i="2"/>
  <c r="D7" i="2" s="1"/>
  <c r="B7" i="2"/>
  <c r="C3" i="2"/>
  <c r="D3" i="2" s="1"/>
  <c r="B3" i="2"/>
  <c r="C2" i="2"/>
  <c r="D2" i="2" s="1"/>
  <c r="B2" i="2"/>
  <c r="B4" i="2" s="1"/>
  <c r="B5" i="2" s="1"/>
  <c r="C4" i="2" l="1"/>
  <c r="C5" i="2" l="1"/>
  <c r="D5" i="2" s="1"/>
  <c r="D4" i="2"/>
</calcChain>
</file>

<file path=xl/sharedStrings.xml><?xml version="1.0" encoding="utf-8"?>
<sst xmlns="http://schemas.openxmlformats.org/spreadsheetml/2006/main" count="16164" uniqueCount="3397">
  <si>
    <t>Metric</t>
  </si>
  <si>
    <t>PriorYear</t>
  </si>
  <si>
    <t>CurrentYear</t>
  </si>
  <si>
    <t>Change</t>
  </si>
  <si>
    <t>Total Sales Amount</t>
  </si>
  <si>
    <t>Total Cost Amount</t>
  </si>
  <si>
    <t>Gross Profit</t>
  </si>
  <si>
    <t>Gross Profit Margin</t>
  </si>
  <si>
    <t>Repeat Purchase Rate - California (CA)</t>
  </si>
  <si>
    <t>Repeat Purchase Rate - Texas (TX)</t>
  </si>
  <si>
    <t>Repeat Purchase Rate - New York (NY)</t>
  </si>
  <si>
    <t>Repeat Purchase Rate - Florida (FL)</t>
  </si>
  <si>
    <t>Repeat Purchase Rate - Illinois (IL)</t>
  </si>
  <si>
    <t>Repeat Purchase Rate - Washington (WA)</t>
  </si>
  <si>
    <t>OrderID</t>
  </si>
  <si>
    <t>OrderDate</t>
  </si>
  <si>
    <t>Region</t>
  </si>
  <si>
    <t>Channel</t>
  </si>
  <si>
    <t>ProductCategory</t>
  </si>
  <si>
    <t>ProductName</t>
  </si>
  <si>
    <t>SalesAmount</t>
  </si>
  <si>
    <t>CostAmount</t>
  </si>
  <si>
    <t>Quantity</t>
  </si>
  <si>
    <t>CustomerID</t>
  </si>
  <si>
    <t>CustomerType</t>
  </si>
  <si>
    <t>IsRepeatPurchase</t>
  </si>
  <si>
    <t>Transaction Type</t>
  </si>
  <si>
    <t>ORD-10000</t>
  </si>
  <si>
    <t>CA</t>
  </si>
  <si>
    <t>Online</t>
  </si>
  <si>
    <t>Laptops &amp; Computers</t>
  </si>
  <si>
    <t>EliteDesk Mini PC</t>
  </si>
  <si>
    <t>CUST-1178</t>
  </si>
  <si>
    <t>Existing</t>
  </si>
  <si>
    <t>Sale</t>
  </si>
  <si>
    <t>ORD-10001</t>
  </si>
  <si>
    <t>TX</t>
  </si>
  <si>
    <t>Smart Home &amp; IoT</t>
  </si>
  <si>
    <t>Smart Lighting Kit</t>
  </si>
  <si>
    <t>CUST-2725</t>
  </si>
  <si>
    <t>ORD-10002</t>
  </si>
  <si>
    <t>FL</t>
  </si>
  <si>
    <t>Partner</t>
  </si>
  <si>
    <t>Accessories &amp; Power</t>
  </si>
  <si>
    <t>10000mAh Power Bank</t>
  </si>
  <si>
    <t>CUST-1162</t>
  </si>
  <si>
    <t>ORD-10003</t>
  </si>
  <si>
    <t>Mechanical Keyboard</t>
  </si>
  <si>
    <t>CUST-1592</t>
  </si>
  <si>
    <t>New</t>
  </si>
  <si>
    <t>ORD-10004</t>
  </si>
  <si>
    <t>Direct</t>
  </si>
  <si>
    <t>CUST-2005</t>
  </si>
  <si>
    <t>ORD-10005</t>
  </si>
  <si>
    <t>IL</t>
  </si>
  <si>
    <t>Voice Assistant Hub</t>
  </si>
  <si>
    <t>CUST-2193</t>
  </si>
  <si>
    <t>ORD-10006</t>
  </si>
  <si>
    <t>Networking &amp; Security</t>
  </si>
  <si>
    <t>IP Security Camera 4K</t>
  </si>
  <si>
    <t>CUST-1300</t>
  </si>
  <si>
    <t>ORD-10007</t>
  </si>
  <si>
    <t>WA</t>
  </si>
  <si>
    <t>Workstation Tower</t>
  </si>
  <si>
    <t>CUST-1373</t>
  </si>
  <si>
    <t>ORD-10008</t>
  </si>
  <si>
    <t>CUST-1707</t>
  </si>
  <si>
    <t>ORD-10009</t>
  </si>
  <si>
    <t>24-Port PoE Switch</t>
  </si>
  <si>
    <t>CUST-1202</t>
  </si>
  <si>
    <t>ORD-10010</t>
  </si>
  <si>
    <t>NY</t>
  </si>
  <si>
    <t>Smart Thermostat Pro</t>
  </si>
  <si>
    <t>CUST-1046</t>
  </si>
  <si>
    <t>ORD-10011</t>
  </si>
  <si>
    <t>CUST-1462</t>
  </si>
  <si>
    <t>Return</t>
  </si>
  <si>
    <t>ORD-10012</t>
  </si>
  <si>
    <t>CUST-2693</t>
  </si>
  <si>
    <t>ORD-10013</t>
  </si>
  <si>
    <t>ProBook 15.6"</t>
  </si>
  <si>
    <t>CUST-1407</t>
  </si>
  <si>
    <t>ORD-10014</t>
  </si>
  <si>
    <t>CUST-2217</t>
  </si>
  <si>
    <t>ORD-10015</t>
  </si>
  <si>
    <t>CUST-1426</t>
  </si>
  <si>
    <t>ORD-10016</t>
  </si>
  <si>
    <t>Dual-Band Wi-Fi 6 Router</t>
  </si>
  <si>
    <t>CUST-1929</t>
  </si>
  <si>
    <t>ORD-10017</t>
  </si>
  <si>
    <t>USB-C Triple Display Dock</t>
  </si>
  <si>
    <t>CUST-2814</t>
  </si>
  <si>
    <t>ORD-10018</t>
  </si>
  <si>
    <t>CUST-1316</t>
  </si>
  <si>
    <t>ORD-10019</t>
  </si>
  <si>
    <t>CUST-2502</t>
  </si>
  <si>
    <t>ORD-10020</t>
  </si>
  <si>
    <t>CUST-1420</t>
  </si>
  <si>
    <t>ORD-10021</t>
  </si>
  <si>
    <t>CUST-2292</t>
  </si>
  <si>
    <t>ORD-10022</t>
  </si>
  <si>
    <t>CUST-2504</t>
  </si>
  <si>
    <t>ORD-10023</t>
  </si>
  <si>
    <t>CUST-2734</t>
  </si>
  <si>
    <t>ORD-10024</t>
  </si>
  <si>
    <t>CUST-2759</t>
  </si>
  <si>
    <t>ORD-10025</t>
  </si>
  <si>
    <t>CUST-1262</t>
  </si>
  <si>
    <t>ORD-10026</t>
  </si>
  <si>
    <t>CUST-2449</t>
  </si>
  <si>
    <t>ORD-10027</t>
  </si>
  <si>
    <t>CUST-1165</t>
  </si>
  <si>
    <t>ORD-10028</t>
  </si>
  <si>
    <t>CUST-2715</t>
  </si>
  <si>
    <t>ORD-10029</t>
  </si>
  <si>
    <t>CUST-1427</t>
  </si>
  <si>
    <t>ORD-10030</t>
  </si>
  <si>
    <t>CUST-2727</t>
  </si>
  <si>
    <t>ORD-10031</t>
  </si>
  <si>
    <t>CUST-1396</t>
  </si>
  <si>
    <t>ORD-10032</t>
  </si>
  <si>
    <t>CUST-2239</t>
  </si>
  <si>
    <t>ORD-10033</t>
  </si>
  <si>
    <t>CUST-1795</t>
  </si>
  <si>
    <t>ORD-10034</t>
  </si>
  <si>
    <t>CUST-2887</t>
  </si>
  <si>
    <t>ORD-10035</t>
  </si>
  <si>
    <t>CUST-1106</t>
  </si>
  <si>
    <t>ORD-10036</t>
  </si>
  <si>
    <t>CUST-1097</t>
  </si>
  <si>
    <t>ORD-10037</t>
  </si>
  <si>
    <t>CUST-2903</t>
  </si>
  <si>
    <t>ORD-10038</t>
  </si>
  <si>
    <t>CUST-2505</t>
  </si>
  <si>
    <t>ORD-10039</t>
  </si>
  <si>
    <t>CUST-2522</t>
  </si>
  <si>
    <t>ORD-10040</t>
  </si>
  <si>
    <t>CUST-2253</t>
  </si>
  <si>
    <t>ORD-10041</t>
  </si>
  <si>
    <t>CUST-2280</t>
  </si>
  <si>
    <t>ORD-10042</t>
  </si>
  <si>
    <t>CUST-1042</t>
  </si>
  <si>
    <t>ORD-10043</t>
  </si>
  <si>
    <t>CUST-1241</t>
  </si>
  <si>
    <t>ORD-10044</t>
  </si>
  <si>
    <t>CUST-2577</t>
  </si>
  <si>
    <t>ORD-10045</t>
  </si>
  <si>
    <t>CUST-1094</t>
  </si>
  <si>
    <t>ORD-10046</t>
  </si>
  <si>
    <t>CUST-2969</t>
  </si>
  <si>
    <t>ORD-10047</t>
  </si>
  <si>
    <t>CUST-2789</t>
  </si>
  <si>
    <t>ORD-10048</t>
  </si>
  <si>
    <t>CUST-1187</t>
  </si>
  <si>
    <t>ORD-10049</t>
  </si>
  <si>
    <t>CUST-1384</t>
  </si>
  <si>
    <t>ORD-10050</t>
  </si>
  <si>
    <t>CUST-1818</t>
  </si>
  <si>
    <t>ORD-10051</t>
  </si>
  <si>
    <t>CUST-2423</t>
  </si>
  <si>
    <t>ORD-10052</t>
  </si>
  <si>
    <t>CUST-2529</t>
  </si>
  <si>
    <t>ORD-10053</t>
  </si>
  <si>
    <t>CUST-2190</t>
  </si>
  <si>
    <t>ORD-10054</t>
  </si>
  <si>
    <t>CUST-2806</t>
  </si>
  <si>
    <t>ORD-10055</t>
  </si>
  <si>
    <t>CUST-2148</t>
  </si>
  <si>
    <t>ORD-10056</t>
  </si>
  <si>
    <t>CUST-2696</t>
  </si>
  <si>
    <t>ORD-10057</t>
  </si>
  <si>
    <t>CUST-1086</t>
  </si>
  <si>
    <t>ORD-10058</t>
  </si>
  <si>
    <t>CUST-2844</t>
  </si>
  <si>
    <t>ORD-10059</t>
  </si>
  <si>
    <t>CUST-1488</t>
  </si>
  <si>
    <t>ORD-10060</t>
  </si>
  <si>
    <t>CUST-1225</t>
  </si>
  <si>
    <t>ORD-10061</t>
  </si>
  <si>
    <t>CUST-2680</t>
  </si>
  <si>
    <t>ORD-10062</t>
  </si>
  <si>
    <t>CUST-1344</t>
  </si>
  <si>
    <t>ORD-10063</t>
  </si>
  <si>
    <t>CUST-2783</t>
  </si>
  <si>
    <t>ORD-10064</t>
  </si>
  <si>
    <t>CUST-2897</t>
  </si>
  <si>
    <t>ORD-10065</t>
  </si>
  <si>
    <t>CUST-1517</t>
  </si>
  <si>
    <t>ORD-10066</t>
  </si>
  <si>
    <t>CUST-2054</t>
  </si>
  <si>
    <t>ORD-10067</t>
  </si>
  <si>
    <t>CUST-2732</t>
  </si>
  <si>
    <t>ORD-10068</t>
  </si>
  <si>
    <t>CUST-2767</t>
  </si>
  <si>
    <t>ORD-10069</t>
  </si>
  <si>
    <t>CUST-1295</t>
  </si>
  <si>
    <t>ORD-10070</t>
  </si>
  <si>
    <t>CUST-1413</t>
  </si>
  <si>
    <t>ORD-10071</t>
  </si>
  <si>
    <t>CUST-2860</t>
  </si>
  <si>
    <t>ORD-10072</t>
  </si>
  <si>
    <t>CUST-2995</t>
  </si>
  <si>
    <t>ORD-10073</t>
  </si>
  <si>
    <t>CUST-1134</t>
  </si>
  <si>
    <t>ORD-10074</t>
  </si>
  <si>
    <t>CUST-1524</t>
  </si>
  <si>
    <t>ORD-10075</t>
  </si>
  <si>
    <t>CUST-2008</t>
  </si>
  <si>
    <t>ORD-10076</t>
  </si>
  <si>
    <t>CUST-1003</t>
  </si>
  <si>
    <t>ORD-10077</t>
  </si>
  <si>
    <t>CUST-1177</t>
  </si>
  <si>
    <t>ORD-10078</t>
  </si>
  <si>
    <t>CUST-1745</t>
  </si>
  <si>
    <t>ORD-10079</t>
  </si>
  <si>
    <t>CUST-1258</t>
  </si>
  <si>
    <t>ORD-10080</t>
  </si>
  <si>
    <t>CUST-1651</t>
  </si>
  <si>
    <t>ORD-10081</t>
  </si>
  <si>
    <t>CUST-2088</t>
  </si>
  <si>
    <t>ORD-10082</t>
  </si>
  <si>
    <t>CUST-2818</t>
  </si>
  <si>
    <t>ORD-10083</t>
  </si>
  <si>
    <t>CUST-2386</t>
  </si>
  <si>
    <t>ORD-10084</t>
  </si>
  <si>
    <t>CUST-2841</t>
  </si>
  <si>
    <t>ORD-10085</t>
  </si>
  <si>
    <t>CUST-2740</t>
  </si>
  <si>
    <t>ORD-10086</t>
  </si>
  <si>
    <t>CUST-2040</t>
  </si>
  <si>
    <t>ORD-10087</t>
  </si>
  <si>
    <t>CUST-2223</t>
  </si>
  <si>
    <t>ORD-10088</t>
  </si>
  <si>
    <t>CUST-1543</t>
  </si>
  <si>
    <t>ORD-10089</t>
  </si>
  <si>
    <t>CUST-2235</t>
  </si>
  <si>
    <t>ORD-10090</t>
  </si>
  <si>
    <t>CUST-1434</t>
  </si>
  <si>
    <t>ORD-10091</t>
  </si>
  <si>
    <t>CUST-2296</t>
  </si>
  <si>
    <t>ORD-10092</t>
  </si>
  <si>
    <t>CUST-1289</t>
  </si>
  <si>
    <t>ORD-10093</t>
  </si>
  <si>
    <t>CUST-1802</t>
  </si>
  <si>
    <t>ORD-10094</t>
  </si>
  <si>
    <t>CUST-1482</t>
  </si>
  <si>
    <t>ORD-10095</t>
  </si>
  <si>
    <t>CUST-1233</t>
  </si>
  <si>
    <t>ORD-10096</t>
  </si>
  <si>
    <t>ORD-10097</t>
  </si>
  <si>
    <t>CUST-1693</t>
  </si>
  <si>
    <t>ORD-10098</t>
  </si>
  <si>
    <t>CUST-2169</t>
  </si>
  <si>
    <t>ORD-10099</t>
  </si>
  <si>
    <t>CUST-1561</t>
  </si>
  <si>
    <t>ORD-10100</t>
  </si>
  <si>
    <t>CUST-1429</t>
  </si>
  <si>
    <t>ORD-10101</t>
  </si>
  <si>
    <t>CUST-1431</t>
  </si>
  <si>
    <t>ORD-10102</t>
  </si>
  <si>
    <t>CUST-2638</t>
  </si>
  <si>
    <t>ORD-10103</t>
  </si>
  <si>
    <t>CUST-2568</t>
  </si>
  <si>
    <t>ORD-10104</t>
  </si>
  <si>
    <t>CUST-1496</t>
  </si>
  <si>
    <t>ORD-10105</t>
  </si>
  <si>
    <t>CUST-1982</t>
  </si>
  <si>
    <t>ORD-10106</t>
  </si>
  <si>
    <t>CUST-2112</t>
  </si>
  <si>
    <t>ORD-10107</t>
  </si>
  <si>
    <t>CUST-1996</t>
  </si>
  <si>
    <t>ORD-10108</t>
  </si>
  <si>
    <t>CUST-2434</t>
  </si>
  <si>
    <t>ORD-10109</t>
  </si>
  <si>
    <t>CUST-1896</t>
  </si>
  <si>
    <t>ORD-10110</t>
  </si>
  <si>
    <t>CUST-2876</t>
  </si>
  <si>
    <t>ORD-10111</t>
  </si>
  <si>
    <t>CUST-1826</t>
  </si>
  <si>
    <t>ORD-10112</t>
  </si>
  <si>
    <t>CUST-2264</t>
  </si>
  <si>
    <t>ORD-10113</t>
  </si>
  <si>
    <t>CUST-1777</t>
  </si>
  <si>
    <t>ORD-10114</t>
  </si>
  <si>
    <t>CUST-1222</t>
  </si>
  <si>
    <t>ORD-10115</t>
  </si>
  <si>
    <t>CUST-2771</t>
  </si>
  <si>
    <t>ORD-10116</t>
  </si>
  <si>
    <t>CUST-2688</t>
  </si>
  <si>
    <t>ORD-10117</t>
  </si>
  <si>
    <t>CUST-1467</t>
  </si>
  <si>
    <t>ORD-10118</t>
  </si>
  <si>
    <t>CUST-1568</t>
  </si>
  <si>
    <t>ORD-10119</t>
  </si>
  <si>
    <t>CUST-2345</t>
  </si>
  <si>
    <t>ORD-10120</t>
  </si>
  <si>
    <t>CUST-1374</t>
  </si>
  <si>
    <t>ORD-10121</t>
  </si>
  <si>
    <t>CUST-2135</t>
  </si>
  <si>
    <t>ORD-10122</t>
  </si>
  <si>
    <t>CUST-1526</t>
  </si>
  <si>
    <t>ORD-10123</t>
  </si>
  <si>
    <t>CUST-1411</t>
  </si>
  <si>
    <t>ORD-10124</t>
  </si>
  <si>
    <t>CUST-1268</t>
  </si>
  <si>
    <t>ORD-10125</t>
  </si>
  <si>
    <t>CUST-1625</t>
  </si>
  <si>
    <t>ORD-10126</t>
  </si>
  <si>
    <t>CUST-2275</t>
  </si>
  <si>
    <t>ORD-10127</t>
  </si>
  <si>
    <t>CUST-2011</t>
  </si>
  <si>
    <t>ORD-10128</t>
  </si>
  <si>
    <t>CUST-2397</t>
  </si>
  <si>
    <t>ORD-10129</t>
  </si>
  <si>
    <t>CUST-2677</t>
  </si>
  <si>
    <t>ORD-10130</t>
  </si>
  <si>
    <t>CUST-2649</t>
  </si>
  <si>
    <t>ORD-10131</t>
  </si>
  <si>
    <t>CUST-1449</t>
  </si>
  <si>
    <t>ORD-10132</t>
  </si>
  <si>
    <t>CUST-1801</t>
  </si>
  <si>
    <t>ORD-10133</t>
  </si>
  <si>
    <t>CUST-2892</t>
  </si>
  <si>
    <t>ORD-10134</t>
  </si>
  <si>
    <t>CUST-2560</t>
  </si>
  <si>
    <t>ORD-10135</t>
  </si>
  <si>
    <t>CUST-2391</t>
  </si>
  <si>
    <t>ORD-10136</t>
  </si>
  <si>
    <t>CUST-1821</t>
  </si>
  <si>
    <t>ORD-10137</t>
  </si>
  <si>
    <t>CUST-1254</t>
  </si>
  <si>
    <t>ORD-10138</t>
  </si>
  <si>
    <t>CUST-2486</t>
  </si>
  <si>
    <t>ORD-10139</t>
  </si>
  <si>
    <t>CUST-2291</t>
  </si>
  <si>
    <t>ORD-10140</t>
  </si>
  <si>
    <t>CUST-1125</t>
  </si>
  <si>
    <t>ORD-10141</t>
  </si>
  <si>
    <t>CUST-2416</t>
  </si>
  <si>
    <t>ORD-10142</t>
  </si>
  <si>
    <t>CUST-1761</t>
  </si>
  <si>
    <t>ORD-10143</t>
  </si>
  <si>
    <t>CUST-1798</t>
  </si>
  <si>
    <t>ORD-10144</t>
  </si>
  <si>
    <t>CUST-2357</t>
  </si>
  <si>
    <t>ORD-10145</t>
  </si>
  <si>
    <t>CUST-1564</t>
  </si>
  <si>
    <t>ORD-10146</t>
  </si>
  <si>
    <t>ORD-10147</t>
  </si>
  <si>
    <t>CUST-2578</t>
  </si>
  <si>
    <t>ORD-10148</t>
  </si>
  <si>
    <t>CUST-2701</t>
  </si>
  <si>
    <t>ORD-10149</t>
  </si>
  <si>
    <t>ORD-10150</t>
  </si>
  <si>
    <t>CUST-2915</t>
  </si>
  <si>
    <t>ORD-10151</t>
  </si>
  <si>
    <t>CUST-1455</t>
  </si>
  <si>
    <t>ORD-10152</t>
  </si>
  <si>
    <t>CUST-2711</t>
  </si>
  <si>
    <t>ORD-10153</t>
  </si>
  <si>
    <t>CUST-2090</t>
  </si>
  <si>
    <t>ORD-10154</t>
  </si>
  <si>
    <t>CUST-2089</t>
  </si>
  <si>
    <t>ORD-10155</t>
  </si>
  <si>
    <t>CUST-1911</t>
  </si>
  <si>
    <t>ORD-10156</t>
  </si>
  <si>
    <t>CUST-2618</t>
  </si>
  <si>
    <t>ORD-10157</t>
  </si>
  <si>
    <t>CUST-1861</t>
  </si>
  <si>
    <t>ORD-10158</t>
  </si>
  <si>
    <t>CUST-1616</t>
  </si>
  <si>
    <t>ORD-10159</t>
  </si>
  <si>
    <t>CUST-1399</t>
  </si>
  <si>
    <t>ORD-10160</t>
  </si>
  <si>
    <t>CUST-1286</t>
  </si>
  <si>
    <t>ORD-10161</t>
  </si>
  <si>
    <t>CUST-2909</t>
  </si>
  <si>
    <t>ORD-10162</t>
  </si>
  <si>
    <t>CUST-1185</t>
  </si>
  <si>
    <t>ORD-10163</t>
  </si>
  <si>
    <t>CUST-1283</t>
  </si>
  <si>
    <t>ORD-10164</t>
  </si>
  <si>
    <t>CUST-2539</t>
  </si>
  <si>
    <t>ORD-10165</t>
  </si>
  <si>
    <t>CUST-1649</t>
  </si>
  <si>
    <t>ORD-10166</t>
  </si>
  <si>
    <t>CUST-1690</t>
  </si>
  <si>
    <t>ORD-10167</t>
  </si>
  <si>
    <t>CUST-1236</t>
  </si>
  <si>
    <t>ORD-10168</t>
  </si>
  <si>
    <t>CUST-2041</t>
  </si>
  <si>
    <t>ORD-10169</t>
  </si>
  <si>
    <t>CUST-1814</t>
  </si>
  <si>
    <t>ORD-10170</t>
  </si>
  <si>
    <t>CUST-1927</t>
  </si>
  <si>
    <t>ORD-10171</t>
  </si>
  <si>
    <t>ORD-10172</t>
  </si>
  <si>
    <t>CUST-2955</t>
  </si>
  <si>
    <t>ORD-10173</t>
  </si>
  <si>
    <t>CUST-1008</t>
  </si>
  <si>
    <t>ORD-10174</t>
  </si>
  <si>
    <t>CUST-1419</t>
  </si>
  <si>
    <t>ORD-10175</t>
  </si>
  <si>
    <t>CUST-1028</t>
  </si>
  <si>
    <t>ORD-10176</t>
  </si>
  <si>
    <t>CUST-2679</t>
  </si>
  <si>
    <t>ORD-10177</t>
  </si>
  <si>
    <t>CUST-1347</t>
  </si>
  <si>
    <t>ORD-10178</t>
  </si>
  <si>
    <t>CUST-1660</t>
  </si>
  <si>
    <t>ORD-10179</t>
  </si>
  <si>
    <t>CUST-1575</t>
  </si>
  <si>
    <t>ORD-10180</t>
  </si>
  <si>
    <t>CUST-2902</t>
  </si>
  <si>
    <t>ORD-10181</t>
  </si>
  <si>
    <t>ORD-10182</t>
  </si>
  <si>
    <t>CUST-1379</t>
  </si>
  <si>
    <t>ORD-10183</t>
  </si>
  <si>
    <t>CUST-1698</t>
  </si>
  <si>
    <t>ORD-10184</t>
  </si>
  <si>
    <t>CUST-1365</t>
  </si>
  <si>
    <t>ORD-10185</t>
  </si>
  <si>
    <t>CUST-2250</t>
  </si>
  <si>
    <t>ORD-10186</t>
  </si>
  <si>
    <t>CUST-2141</t>
  </si>
  <si>
    <t>ORD-10187</t>
  </si>
  <si>
    <t>ORD-10188</t>
  </si>
  <si>
    <t>CUST-1950</t>
  </si>
  <si>
    <t>ORD-10189</t>
  </si>
  <si>
    <t>CUST-1355</t>
  </si>
  <si>
    <t>ORD-10190</t>
  </si>
  <si>
    <t>CUST-1253</t>
  </si>
  <si>
    <t>ORD-10191</t>
  </si>
  <si>
    <t>CUST-2566</t>
  </si>
  <si>
    <t>ORD-10192</t>
  </si>
  <si>
    <t>ORD-10193</t>
  </si>
  <si>
    <t>CUST-1726</t>
  </si>
  <si>
    <t>ORD-10194</t>
  </si>
  <si>
    <t>CUST-2467</t>
  </si>
  <si>
    <t>ORD-10195</t>
  </si>
  <si>
    <t>CUST-1680</t>
  </si>
  <si>
    <t>ORD-10196</t>
  </si>
  <si>
    <t>CUST-2104</t>
  </si>
  <si>
    <t>ORD-10197</t>
  </si>
  <si>
    <t>CUST-2069</t>
  </si>
  <si>
    <t>ORD-10198</t>
  </si>
  <si>
    <t>CUST-2072</t>
  </si>
  <si>
    <t>ORD-10199</t>
  </si>
  <si>
    <t>CUST-2472</t>
  </si>
  <si>
    <t>ORD-10200</t>
  </si>
  <si>
    <t>CUST-1809</t>
  </si>
  <si>
    <t>ORD-10201</t>
  </si>
  <si>
    <t>CUST-2430</t>
  </si>
  <si>
    <t>ORD-10202</t>
  </si>
  <si>
    <t>ORD-10203</t>
  </si>
  <si>
    <t>CUST-2306</t>
  </si>
  <si>
    <t>ORD-10204</t>
  </si>
  <si>
    <t>CUST-1472</t>
  </si>
  <si>
    <t>ORD-10205</t>
  </si>
  <si>
    <t>CUST-1415</t>
  </si>
  <si>
    <t>ORD-10206</t>
  </si>
  <si>
    <t>CUST-1978</t>
  </si>
  <si>
    <t>ORD-10207</t>
  </si>
  <si>
    <t>CUST-1599</t>
  </si>
  <si>
    <t>ORD-10208</t>
  </si>
  <si>
    <t>CUST-2144</t>
  </si>
  <si>
    <t>ORD-10209</t>
  </si>
  <si>
    <t>CUST-2026</t>
  </si>
  <si>
    <t>ORD-10210</t>
  </si>
  <si>
    <t>CUST-2339</t>
  </si>
  <si>
    <t>ORD-10211</t>
  </si>
  <si>
    <t>CUST-1459</t>
  </si>
  <si>
    <t>ORD-10212</t>
  </si>
  <si>
    <t>ORD-10213</t>
  </si>
  <si>
    <t>CUST-1078</t>
  </si>
  <si>
    <t>ORD-10214</t>
  </si>
  <si>
    <t>ORD-10215</t>
  </si>
  <si>
    <t>CUST-2777</t>
  </si>
  <si>
    <t>ORD-10216</t>
  </si>
  <si>
    <t>CUST-2567</t>
  </si>
  <si>
    <t>ORD-10217</t>
  </si>
  <si>
    <t>CUST-1774</t>
  </si>
  <si>
    <t>ORD-10218</t>
  </si>
  <si>
    <t>CUST-2746</t>
  </si>
  <si>
    <t>ORD-10219</t>
  </si>
  <si>
    <t>CUST-2094</t>
  </si>
  <si>
    <t>ORD-10220</t>
  </si>
  <si>
    <t>CUST-1895</t>
  </si>
  <si>
    <t>ORD-10221</t>
  </si>
  <si>
    <t>CUST-2220</t>
  </si>
  <si>
    <t>ORD-10222</t>
  </si>
  <si>
    <t>CUST-1057</t>
  </si>
  <si>
    <t>ORD-10223</t>
  </si>
  <si>
    <t>CUST-2447</t>
  </si>
  <si>
    <t>ORD-10224</t>
  </si>
  <si>
    <t>CUST-2492</t>
  </si>
  <si>
    <t>ORD-10225</t>
  </si>
  <si>
    <t>CUST-1623</t>
  </si>
  <si>
    <t>ORD-10226</t>
  </si>
  <si>
    <t>CUST-1047</t>
  </si>
  <si>
    <t>ORD-10227</t>
  </si>
  <si>
    <t>CUST-2458</t>
  </si>
  <si>
    <t>ORD-10228</t>
  </si>
  <si>
    <t>CUST-2208</t>
  </si>
  <si>
    <t>ORD-10229</t>
  </si>
  <si>
    <t>ORD-10230</t>
  </si>
  <si>
    <t>CUST-1838</t>
  </si>
  <si>
    <t>ORD-10231</t>
  </si>
  <si>
    <t>CUST-1164</t>
  </si>
  <si>
    <t>ORD-10232</t>
  </si>
  <si>
    <t>CUST-2750</t>
  </si>
  <si>
    <t>ORD-10233</t>
  </si>
  <si>
    <t>CUST-2354</t>
  </si>
  <si>
    <t>ORD-10234</t>
  </si>
  <si>
    <t>CUST-1329</t>
  </si>
  <si>
    <t>ORD-10235</t>
  </si>
  <si>
    <t>ORD-10236</t>
  </si>
  <si>
    <t>CUST-1212</t>
  </si>
  <si>
    <t>ORD-10237</t>
  </si>
  <si>
    <t>CUST-2846</t>
  </si>
  <si>
    <t>ORD-10238</t>
  </si>
  <si>
    <t>CUST-1506</t>
  </si>
  <si>
    <t>ORD-10239</t>
  </si>
  <si>
    <t>CUST-2576</t>
  </si>
  <si>
    <t>ORD-10240</t>
  </si>
  <si>
    <t>CUST-2888</t>
  </si>
  <si>
    <t>ORD-10241</t>
  </si>
  <si>
    <t>CUST-1915</t>
  </si>
  <si>
    <t>ORD-10242</t>
  </si>
  <si>
    <t>CUST-1800</t>
  </si>
  <si>
    <t>ORD-10243</t>
  </si>
  <si>
    <t>CUST-1167</t>
  </si>
  <si>
    <t>ORD-10244</t>
  </si>
  <si>
    <t>CUST-1994</t>
  </si>
  <si>
    <t>ORD-10245</t>
  </si>
  <si>
    <t>CUST-2569</t>
  </si>
  <si>
    <t>ORD-10246</t>
  </si>
  <si>
    <t>CUST-1829</t>
  </si>
  <si>
    <t>ORD-10247</t>
  </si>
  <si>
    <t>CUST-1995</t>
  </si>
  <si>
    <t>ORD-10248</t>
  </si>
  <si>
    <t>CUST-1986</t>
  </si>
  <si>
    <t>ORD-10249</t>
  </si>
  <si>
    <t>CUST-1786</t>
  </si>
  <si>
    <t>ORD-10250</t>
  </si>
  <si>
    <t>ORD-10251</t>
  </si>
  <si>
    <t>ORD-10252</t>
  </si>
  <si>
    <t>CUST-2726</t>
  </si>
  <si>
    <t>ORD-10253</t>
  </si>
  <si>
    <t>CUST-2244</t>
  </si>
  <si>
    <t>ORD-10254</t>
  </si>
  <si>
    <t>CUST-2015</t>
  </si>
  <si>
    <t>ORD-10255</t>
  </si>
  <si>
    <t>CUST-2033</t>
  </si>
  <si>
    <t>ORD-10256</t>
  </si>
  <si>
    <t>CUST-2143</t>
  </si>
  <si>
    <t>ORD-10257</t>
  </si>
  <si>
    <t>CUST-2658</t>
  </si>
  <si>
    <t>ORD-10258</t>
  </si>
  <si>
    <t>CUST-2270</t>
  </si>
  <si>
    <t>ORD-10259</t>
  </si>
  <si>
    <t>CUST-2383</t>
  </si>
  <si>
    <t>ORD-10260</t>
  </si>
  <si>
    <t>CUST-2932</t>
  </si>
  <si>
    <t>ORD-10261</t>
  </si>
  <si>
    <t>ORD-10262</t>
  </si>
  <si>
    <t>CUST-1772</t>
  </si>
  <si>
    <t>ORD-10263</t>
  </si>
  <si>
    <t>ORD-10264</t>
  </si>
  <si>
    <t>CUST-2081</t>
  </si>
  <si>
    <t>ORD-10265</t>
  </si>
  <si>
    <t>CUST-2850</t>
  </si>
  <si>
    <t>ORD-10266</t>
  </si>
  <si>
    <t>CUST-2483</t>
  </si>
  <si>
    <t>ORD-10267</t>
  </si>
  <si>
    <t>CUST-2151</t>
  </si>
  <si>
    <t>ORD-10268</t>
  </si>
  <si>
    <t>CUST-2722</t>
  </si>
  <si>
    <t>ORD-10269</t>
  </si>
  <si>
    <t>CUST-1716</t>
  </si>
  <si>
    <t>ORD-10270</t>
  </si>
  <si>
    <t>CUST-1085</t>
  </si>
  <si>
    <t>ORD-10271</t>
  </si>
  <si>
    <t>CUST-1103</t>
  </si>
  <si>
    <t>ORD-10272</t>
  </si>
  <si>
    <t>CUST-1142</t>
  </si>
  <si>
    <t>ORD-10273</t>
  </si>
  <si>
    <t>CUST-1204</t>
  </si>
  <si>
    <t>ORD-10274</t>
  </si>
  <si>
    <t>CUST-1640</t>
  </si>
  <si>
    <t>ORD-10275</t>
  </si>
  <si>
    <t>CUST-2781</t>
  </si>
  <si>
    <t>ORD-10276</t>
  </si>
  <si>
    <t>CUST-2061</t>
  </si>
  <si>
    <t>ORD-10277</t>
  </si>
  <si>
    <t>ORD-10278</t>
  </si>
  <si>
    <t>CUST-2644</t>
  </si>
  <si>
    <t>ORD-10279</t>
  </si>
  <si>
    <t>CUST-2332</t>
  </si>
  <si>
    <t>ORD-10280</t>
  </si>
  <si>
    <t>CUST-2075</t>
  </si>
  <si>
    <t>ORD-10281</t>
  </si>
  <si>
    <t>CUST-1000</t>
  </si>
  <si>
    <t>ORD-10282</t>
  </si>
  <si>
    <t>CUST-1010</t>
  </si>
  <si>
    <t>ORD-10283</t>
  </si>
  <si>
    <t>CUST-2849</t>
  </si>
  <si>
    <t>ORD-10284</t>
  </si>
  <si>
    <t>CUST-1746</t>
  </si>
  <si>
    <t>ORD-10285</t>
  </si>
  <si>
    <t>CUST-2663</t>
  </si>
  <si>
    <t>ORD-10286</t>
  </si>
  <si>
    <t>CUST-2959</t>
  </si>
  <si>
    <t>ORD-10287</t>
  </si>
  <si>
    <t>CUST-2237</t>
  </si>
  <si>
    <t>ORD-10288</t>
  </si>
  <si>
    <t>CUST-1955</t>
  </si>
  <si>
    <t>ORD-10289</t>
  </si>
  <si>
    <t>CUST-1754</t>
  </si>
  <si>
    <t>ORD-10290</t>
  </si>
  <si>
    <t>CUST-2579</t>
  </si>
  <si>
    <t>ORD-10291</t>
  </si>
  <si>
    <t>ORD-10292</t>
  </si>
  <si>
    <t>CUST-2691</t>
  </si>
  <si>
    <t>ORD-10293</t>
  </si>
  <si>
    <t>CUST-2438</t>
  </si>
  <si>
    <t>ORD-10294</t>
  </si>
  <si>
    <t>CUST-2031</t>
  </si>
  <si>
    <t>ORD-10295</t>
  </si>
  <si>
    <t>CUST-1004</t>
  </si>
  <si>
    <t>ORD-10296</t>
  </si>
  <si>
    <t>CUST-2385</t>
  </si>
  <si>
    <t>ORD-10297</t>
  </si>
  <si>
    <t>ORD-10298</t>
  </si>
  <si>
    <t>CUST-1111</t>
  </si>
  <si>
    <t>ORD-10299</t>
  </si>
  <si>
    <t>CUST-2003</t>
  </si>
  <si>
    <t>ORD-10300</t>
  </si>
  <si>
    <t>CUST-1272</t>
  </si>
  <si>
    <t>ORD-10301</t>
  </si>
  <si>
    <t>CUST-1421</t>
  </si>
  <si>
    <t>ORD-10302</t>
  </si>
  <si>
    <t>CUST-1264</t>
  </si>
  <si>
    <t>ORD-10303</t>
  </si>
  <si>
    <t>CUST-2481</t>
  </si>
  <si>
    <t>ORD-10304</t>
  </si>
  <si>
    <t>CUST-1211</t>
  </si>
  <si>
    <t>ORD-10305</t>
  </si>
  <si>
    <t>CUST-2101</t>
  </si>
  <si>
    <t>ORD-10306</t>
  </si>
  <si>
    <t>CUST-1781</t>
  </si>
  <si>
    <t>ORD-10307</t>
  </si>
  <si>
    <t>CUST-1665</t>
  </si>
  <si>
    <t>ORD-10308</t>
  </si>
  <si>
    <t>ORD-10309</t>
  </si>
  <si>
    <t>CUST-1368</t>
  </si>
  <si>
    <t>ORD-10310</t>
  </si>
  <si>
    <t>CUST-1957</t>
  </si>
  <si>
    <t>ORD-10311</t>
  </si>
  <si>
    <t>CUST-1346</t>
  </si>
  <si>
    <t>ORD-10312</t>
  </si>
  <si>
    <t>CUST-1024</t>
  </si>
  <si>
    <t>ORD-10313</t>
  </si>
  <si>
    <t>CUST-1975</t>
  </si>
  <si>
    <t>ORD-10314</t>
  </si>
  <si>
    <t>CUST-2443</t>
  </si>
  <si>
    <t>ORD-10315</t>
  </si>
  <si>
    <t>CUST-2377</t>
  </si>
  <si>
    <t>ORD-10316</t>
  </si>
  <si>
    <t>CUST-2743</t>
  </si>
  <si>
    <t>ORD-10317</t>
  </si>
  <si>
    <t>CUST-1416</t>
  </si>
  <si>
    <t>ORD-10318</t>
  </si>
  <si>
    <t>CUST-1514</t>
  </si>
  <si>
    <t>ORD-10319</t>
  </si>
  <si>
    <t>CUST-1214</t>
  </si>
  <si>
    <t>ORD-10320</t>
  </si>
  <si>
    <t>CUST-2930</t>
  </si>
  <si>
    <t>ORD-10321</t>
  </si>
  <si>
    <t>ORD-10322</t>
  </si>
  <si>
    <t>CUST-1953</t>
  </si>
  <si>
    <t>ORD-10323</t>
  </si>
  <si>
    <t>ORD-10324</t>
  </si>
  <si>
    <t>CUST-1913</t>
  </si>
  <si>
    <t>ORD-10325</t>
  </si>
  <si>
    <t>CUST-2582</t>
  </si>
  <si>
    <t>ORD-10326</t>
  </si>
  <si>
    <t>ORD-10327</t>
  </si>
  <si>
    <t>CUST-1732</t>
  </si>
  <si>
    <t>ORD-10328</t>
  </si>
  <si>
    <t>ORD-10329</t>
  </si>
  <si>
    <t>CUST-2585</t>
  </si>
  <si>
    <t>ORD-10330</t>
  </si>
  <si>
    <t>ORD-10331</t>
  </si>
  <si>
    <t>CUST-1215</t>
  </si>
  <si>
    <t>ORD-10332</t>
  </si>
  <si>
    <t>CUST-1412</t>
  </si>
  <si>
    <t>ORD-10333</t>
  </si>
  <si>
    <t>CUST-2756</t>
  </si>
  <si>
    <t>ORD-10334</t>
  </si>
  <si>
    <t>ORD-10335</t>
  </si>
  <si>
    <t>CUST-2625</t>
  </si>
  <si>
    <t>ORD-10336</t>
  </si>
  <si>
    <t>CUST-1231</t>
  </si>
  <si>
    <t>ORD-10337</t>
  </si>
  <si>
    <t>CUST-1834</t>
  </si>
  <si>
    <t>ORD-10338</t>
  </si>
  <si>
    <t>CUST-1257</t>
  </si>
  <si>
    <t>ORD-10339</t>
  </si>
  <si>
    <t>ORD-10340</t>
  </si>
  <si>
    <t>CUST-2279</t>
  </si>
  <si>
    <t>ORD-10341</t>
  </si>
  <si>
    <t>CUST-1402</t>
  </si>
  <si>
    <t>ORD-10342</t>
  </si>
  <si>
    <t>CUST-1423</t>
  </si>
  <si>
    <t>ORD-10343</t>
  </si>
  <si>
    <t>CUST-1769</t>
  </si>
  <si>
    <t>ORD-10344</t>
  </si>
  <si>
    <t>CUST-1064</t>
  </si>
  <si>
    <t>ORD-10345</t>
  </si>
  <si>
    <t>CUST-1189</t>
  </si>
  <si>
    <t>ORD-10346</t>
  </si>
  <si>
    <t>CUST-2626</t>
  </si>
  <si>
    <t>ORD-10347</t>
  </si>
  <si>
    <t>CUST-1949</t>
  </si>
  <si>
    <t>ORD-10348</t>
  </si>
  <si>
    <t>CUST-1172</t>
  </si>
  <si>
    <t>ORD-10349</t>
  </si>
  <si>
    <t>CUST-1758</t>
  </si>
  <si>
    <t>ORD-10350</t>
  </si>
  <si>
    <t>CUST-2791</t>
  </si>
  <si>
    <t>ORD-10351</t>
  </si>
  <si>
    <t>CUST-1627</t>
  </si>
  <si>
    <t>ORD-10352</t>
  </si>
  <si>
    <t>CUST-1560</t>
  </si>
  <si>
    <t>ORD-10353</t>
  </si>
  <si>
    <t>ORD-10354</t>
  </si>
  <si>
    <t>CUST-2000</t>
  </si>
  <si>
    <t>ORD-10355</t>
  </si>
  <si>
    <t>CUST-2604</t>
  </si>
  <si>
    <t>ORD-10356</t>
  </si>
  <si>
    <t>CUST-2957</t>
  </si>
  <si>
    <t>ORD-10357</t>
  </si>
  <si>
    <t>CUST-2411</t>
  </si>
  <si>
    <t>ORD-10358</t>
  </si>
  <si>
    <t>CUST-1400</t>
  </si>
  <si>
    <t>ORD-10359</t>
  </si>
  <si>
    <t>CUST-1637</t>
  </si>
  <si>
    <t>ORD-10360</t>
  </si>
  <si>
    <t>CUST-1948</t>
  </si>
  <si>
    <t>ORD-10361</t>
  </si>
  <si>
    <t>ORD-10362</t>
  </si>
  <si>
    <t>CUST-1052</t>
  </si>
  <si>
    <t>ORD-10363</t>
  </si>
  <si>
    <t>ORD-10364</t>
  </si>
  <si>
    <t>CUST-2694</t>
  </si>
  <si>
    <t>ORD-10365</t>
  </si>
  <si>
    <t>CUST-1751</t>
  </si>
  <si>
    <t>ORD-10366</t>
  </si>
  <si>
    <t>CUST-1661</t>
  </si>
  <si>
    <t>ORD-10367</t>
  </si>
  <si>
    <t>CUST-1138</t>
  </si>
  <si>
    <t>ORD-10368</t>
  </si>
  <si>
    <t>CUST-1417</t>
  </si>
  <si>
    <t>ORD-10369</t>
  </si>
  <si>
    <t>CUST-2648</t>
  </si>
  <si>
    <t>ORD-10370</t>
  </si>
  <si>
    <t>ORD-10371</t>
  </si>
  <si>
    <t>CUST-2905</t>
  </si>
  <si>
    <t>ORD-10372</t>
  </si>
  <si>
    <t>CUST-1508</t>
  </si>
  <si>
    <t>ORD-10373</t>
  </si>
  <si>
    <t>ORD-10374</t>
  </si>
  <si>
    <t>CUST-1485</t>
  </si>
  <si>
    <t>ORD-10375</t>
  </si>
  <si>
    <t>CUST-1991</t>
  </si>
  <si>
    <t>ORD-10376</t>
  </si>
  <si>
    <t>CUST-2460</t>
  </si>
  <si>
    <t>ORD-10377</t>
  </si>
  <si>
    <t>CUST-2839</t>
  </si>
  <si>
    <t>ORD-10378</t>
  </si>
  <si>
    <t>CUST-1542</t>
  </si>
  <si>
    <t>ORD-10379</t>
  </si>
  <si>
    <t>CUST-1292</t>
  </si>
  <si>
    <t>ORD-10380</t>
  </si>
  <si>
    <t>CUST-2643</t>
  </si>
  <si>
    <t>ORD-10381</t>
  </si>
  <si>
    <t>CUST-2307</t>
  </si>
  <si>
    <t>ORD-10382</t>
  </si>
  <si>
    <t>CUST-1670</t>
  </si>
  <si>
    <t>ORD-10383</t>
  </si>
  <si>
    <t>CUST-1837</t>
  </si>
  <si>
    <t>ORD-10384</t>
  </si>
  <si>
    <t>CUST-2037</t>
  </si>
  <si>
    <t>ORD-10385</t>
  </si>
  <si>
    <t>CUST-1633</t>
  </si>
  <si>
    <t>ORD-10386</t>
  </si>
  <si>
    <t>ORD-10387</t>
  </si>
  <si>
    <t>CUST-1271</t>
  </si>
  <si>
    <t>ORD-10388</t>
  </si>
  <si>
    <t>CUST-2048</t>
  </si>
  <si>
    <t>ORD-10389</t>
  </si>
  <si>
    <t>CUST-2958</t>
  </si>
  <si>
    <t>ORD-10390</t>
  </si>
  <si>
    <t>CUST-1321</t>
  </si>
  <si>
    <t>ORD-10391</t>
  </si>
  <si>
    <t>CUST-1805</t>
  </si>
  <si>
    <t>ORD-10392</t>
  </si>
  <si>
    <t>CUST-2704</t>
  </si>
  <si>
    <t>ORD-10393</t>
  </si>
  <si>
    <t>CUST-2126</t>
  </si>
  <si>
    <t>ORD-10394</t>
  </si>
  <si>
    <t>CUST-2889</t>
  </si>
  <si>
    <t>ORD-10395</t>
  </si>
  <si>
    <t>CUST-1882</t>
  </si>
  <si>
    <t>ORD-10396</t>
  </si>
  <si>
    <t>CUST-2063</t>
  </si>
  <si>
    <t>ORD-10397</t>
  </si>
  <si>
    <t>CUST-1234</t>
  </si>
  <si>
    <t>ORD-10398</t>
  </si>
  <si>
    <t>CUST-1831</t>
  </si>
  <si>
    <t>ORD-10399</t>
  </si>
  <si>
    <t>ORD-10400</t>
  </si>
  <si>
    <t>CUST-2123</t>
  </si>
  <si>
    <t>ORD-10401</t>
  </si>
  <si>
    <t>CUST-1143</t>
  </si>
  <si>
    <t>ORD-10402</t>
  </si>
  <si>
    <t>CUST-2105</t>
  </si>
  <si>
    <t>ORD-10403</t>
  </si>
  <si>
    <t>CUST-1588</t>
  </si>
  <si>
    <t>ORD-10404</t>
  </si>
  <si>
    <t>CUST-2594</t>
  </si>
  <si>
    <t>ORD-10405</t>
  </si>
  <si>
    <t>CUST-1228</t>
  </si>
  <si>
    <t>ORD-10406</t>
  </si>
  <si>
    <t>ORD-10407</t>
  </si>
  <si>
    <t>ORD-10408</t>
  </si>
  <si>
    <t>CUST-2418</t>
  </si>
  <si>
    <t>ORD-10409</t>
  </si>
  <si>
    <t>CUST-2536</t>
  </si>
  <si>
    <t>ORD-10410</t>
  </si>
  <si>
    <t>CUST-2804</t>
  </si>
  <si>
    <t>ORD-10411</t>
  </si>
  <si>
    <t>CUST-2821</t>
  </si>
  <si>
    <t>ORD-10412</t>
  </si>
  <si>
    <t>ORD-10413</t>
  </si>
  <si>
    <t>CUST-1273</t>
  </si>
  <si>
    <t>ORD-10414</t>
  </si>
  <si>
    <t>CUST-1589</t>
  </si>
  <si>
    <t>ORD-10415</t>
  </si>
  <si>
    <t>CUST-1652</t>
  </si>
  <si>
    <t>ORD-10416</t>
  </si>
  <si>
    <t>CUST-2823</t>
  </si>
  <si>
    <t>ORD-10417</t>
  </si>
  <si>
    <t>CUST-1582</t>
  </si>
  <si>
    <t>ORD-10418</t>
  </si>
  <si>
    <t>CUST-1967</t>
  </si>
  <si>
    <t>ORD-10419</t>
  </si>
  <si>
    <t>ORD-10420</t>
  </si>
  <si>
    <t>CUST-2990</t>
  </si>
  <si>
    <t>ORD-10421</t>
  </si>
  <si>
    <t>CUST-1371</t>
  </si>
  <si>
    <t>ORD-10422</t>
  </si>
  <si>
    <t>CUST-2904</t>
  </si>
  <si>
    <t>ORD-10423</t>
  </si>
  <si>
    <t>CUST-2103</t>
  </si>
  <si>
    <t>ORD-10424</t>
  </si>
  <si>
    <t>CUST-2258</t>
  </si>
  <si>
    <t>ORD-10425</t>
  </si>
  <si>
    <t>CUST-2310</t>
  </si>
  <si>
    <t>ORD-10426</t>
  </si>
  <si>
    <t>ORD-10427</t>
  </si>
  <si>
    <t>CUST-2690</t>
  </si>
  <si>
    <t>ORD-10428</t>
  </si>
  <si>
    <t>CUST-1571</t>
  </si>
  <si>
    <t>ORD-10429</t>
  </si>
  <si>
    <t>CUST-1544</t>
  </si>
  <si>
    <t>ORD-10430</t>
  </si>
  <si>
    <t>ORD-10431</t>
  </si>
  <si>
    <t>CUST-1126</t>
  </si>
  <si>
    <t>ORD-10432</t>
  </si>
  <si>
    <t>ORD-10433</t>
  </si>
  <si>
    <t>CUST-2735</t>
  </si>
  <si>
    <t>ORD-10434</t>
  </si>
  <si>
    <t>ORD-10435</t>
  </si>
  <si>
    <t>ORD-10436</t>
  </si>
  <si>
    <t>CUST-1040</t>
  </si>
  <si>
    <t>ORD-10437</t>
  </si>
  <si>
    <t>ORD-10438</t>
  </si>
  <si>
    <t>ORD-10439</t>
  </si>
  <si>
    <t>CUST-1296</t>
  </si>
  <si>
    <t>ORD-10440</t>
  </si>
  <si>
    <t>CUST-2620</t>
  </si>
  <si>
    <t>ORD-10441</t>
  </si>
  <si>
    <t>CUST-2624</t>
  </si>
  <si>
    <t>ORD-10442</t>
  </si>
  <si>
    <t>CUST-1041</t>
  </si>
  <si>
    <t>ORD-10443</t>
  </si>
  <si>
    <t>CUST-1631</t>
  </si>
  <si>
    <t>ORD-10444</t>
  </si>
  <si>
    <t>CUST-2302</t>
  </si>
  <si>
    <t>ORD-10445</t>
  </si>
  <si>
    <t>CUST-2482</t>
  </si>
  <si>
    <t>ORD-10446</t>
  </si>
  <si>
    <t>CUST-1032</t>
  </si>
  <si>
    <t>ORD-10447</t>
  </si>
  <si>
    <t>CUST-2299</t>
  </si>
  <si>
    <t>ORD-10448</t>
  </si>
  <si>
    <t>CUST-1664</t>
  </si>
  <si>
    <t>ORD-10449</t>
  </si>
  <si>
    <t>CUST-2113</t>
  </si>
  <si>
    <t>ORD-10450</t>
  </si>
  <si>
    <t>CUST-1615</t>
  </si>
  <si>
    <t>ORD-10451</t>
  </si>
  <si>
    <t>CUST-1947</t>
  </si>
  <si>
    <t>ORD-10452</t>
  </si>
  <si>
    <t>CUST-2547</t>
  </si>
  <si>
    <t>ORD-10453</t>
  </si>
  <si>
    <t>CUST-1159</t>
  </si>
  <si>
    <t>ORD-10454</t>
  </si>
  <si>
    <t>CUST-2952</t>
  </si>
  <si>
    <t>ORD-10455</t>
  </si>
  <si>
    <t>CUST-1457</t>
  </si>
  <si>
    <t>ORD-10456</t>
  </si>
  <si>
    <t>CUST-2731</t>
  </si>
  <si>
    <t>ORD-10457</t>
  </si>
  <si>
    <t>CUST-1398</t>
  </si>
  <si>
    <t>ORD-10458</t>
  </si>
  <si>
    <t>CUST-2842</t>
  </si>
  <si>
    <t>ORD-10459</t>
  </si>
  <si>
    <t>CUST-2797</t>
  </si>
  <si>
    <t>ORD-10460</t>
  </si>
  <si>
    <t>CUST-2114</t>
  </si>
  <si>
    <t>ORD-10461</t>
  </si>
  <si>
    <t>ORD-10462</t>
  </si>
  <si>
    <t>CUST-1580</t>
  </si>
  <si>
    <t>ORD-10463</t>
  </si>
  <si>
    <t>CUST-2489</t>
  </si>
  <si>
    <t>ORD-10464</t>
  </si>
  <si>
    <t>CUST-1219</t>
  </si>
  <si>
    <t>ORD-10465</t>
  </si>
  <si>
    <t>CUST-2442</t>
  </si>
  <si>
    <t>ORD-10466</t>
  </si>
  <si>
    <t>CUST-1378</t>
  </si>
  <si>
    <t>ORD-10467</t>
  </si>
  <si>
    <t>CUST-2749</t>
  </si>
  <si>
    <t>ORD-10468</t>
  </si>
  <si>
    <t>ORD-10469</t>
  </si>
  <si>
    <t>CUST-2470</t>
  </si>
  <si>
    <t>ORD-10470</t>
  </si>
  <si>
    <t>CUST-1963</t>
  </si>
  <si>
    <t>ORD-10471</t>
  </si>
  <si>
    <t>ORD-10472</t>
  </si>
  <si>
    <t>CUST-1232</t>
  </si>
  <si>
    <t>ORD-10473</t>
  </si>
  <si>
    <t>CUST-2394</t>
  </si>
  <si>
    <t>ORD-10474</t>
  </si>
  <si>
    <t>CUST-1921</t>
  </si>
  <si>
    <t>ORD-10475</t>
  </si>
  <si>
    <t>ORD-10476</t>
  </si>
  <si>
    <t>CUST-1725</t>
  </si>
  <si>
    <t>ORD-10477</t>
  </si>
  <si>
    <t>CUST-1366</t>
  </si>
  <si>
    <t>ORD-10478</t>
  </si>
  <si>
    <t>CUST-1480</t>
  </si>
  <si>
    <t>ORD-10479</t>
  </si>
  <si>
    <t>CUST-2596</t>
  </si>
  <si>
    <t>ORD-10480</t>
  </si>
  <si>
    <t>ORD-10481</t>
  </si>
  <si>
    <t>ORD-10482</t>
  </si>
  <si>
    <t>CUST-2534</t>
  </si>
  <si>
    <t>ORD-10483</t>
  </si>
  <si>
    <t>CUST-2118</t>
  </si>
  <si>
    <t>ORD-10484</t>
  </si>
  <si>
    <t>CUST-2865</t>
  </si>
  <si>
    <t>ORD-10485</t>
  </si>
  <si>
    <t>ORD-10486</t>
  </si>
  <si>
    <t>CUST-1724</t>
  </si>
  <si>
    <t>ORD-10487</t>
  </si>
  <si>
    <t>ORD-10488</t>
  </si>
  <si>
    <t>CUST-1711</t>
  </si>
  <si>
    <t>ORD-10489</t>
  </si>
  <si>
    <t>ORD-10490</t>
  </si>
  <si>
    <t>ORD-10491</t>
  </si>
  <si>
    <t>CUST-2825</t>
  </si>
  <si>
    <t>ORD-10492</t>
  </si>
  <si>
    <t>CUST-2878</t>
  </si>
  <si>
    <t>ORD-10493</t>
  </si>
  <si>
    <t>CUST-1984</t>
  </si>
  <si>
    <t>ORD-10494</t>
  </si>
  <si>
    <t>CUST-2158</t>
  </si>
  <si>
    <t>ORD-10495</t>
  </si>
  <si>
    <t>CUST-2106</t>
  </si>
  <si>
    <t>ORD-10496</t>
  </si>
  <si>
    <t>CUST-1390</t>
  </si>
  <si>
    <t>ORD-10497</t>
  </si>
  <si>
    <t>CUST-2070</t>
  </si>
  <si>
    <t>ORD-10498</t>
  </si>
  <si>
    <t>CUST-1391</t>
  </si>
  <si>
    <t>ORD-10499</t>
  </si>
  <si>
    <t>CUST-1717</t>
  </si>
  <si>
    <t>ORD-10500</t>
  </si>
  <si>
    <t>ORD-10501</t>
  </si>
  <si>
    <t>CUST-1380</t>
  </si>
  <si>
    <t>ORD-10502</t>
  </si>
  <si>
    <t>CUST-2100</t>
  </si>
  <si>
    <t>ORD-10503</t>
  </si>
  <si>
    <t>CUST-2282</t>
  </si>
  <si>
    <t>ORD-10504</t>
  </si>
  <si>
    <t>CUST-2972</t>
  </si>
  <si>
    <t>ORD-10505</t>
  </si>
  <si>
    <t>CUST-1603</t>
  </si>
  <si>
    <t>ORD-10506</t>
  </si>
  <si>
    <t>CUST-1933</t>
  </si>
  <si>
    <t>ORD-10507</t>
  </si>
  <si>
    <t>CUST-2970</t>
  </si>
  <si>
    <t>ORD-10508</t>
  </si>
  <si>
    <t>ORD-10509</t>
  </si>
  <si>
    <t>CUST-1099</t>
  </si>
  <si>
    <t>ORD-10510</t>
  </si>
  <si>
    <t>CUST-2524</t>
  </si>
  <si>
    <t>ORD-10511</t>
  </si>
  <si>
    <t>CUST-1382</t>
  </si>
  <si>
    <t>ORD-10512</t>
  </si>
  <si>
    <t>CUST-1706</t>
  </si>
  <si>
    <t>ORD-10513</t>
  </si>
  <si>
    <t>CUST-2215</t>
  </si>
  <si>
    <t>ORD-10514</t>
  </si>
  <si>
    <t>CUST-2603</t>
  </si>
  <si>
    <t>ORD-10515</t>
  </si>
  <si>
    <t>CUST-2924</t>
  </si>
  <si>
    <t>ORD-10516</t>
  </si>
  <si>
    <t>ORD-10517</t>
  </si>
  <si>
    <t>ORD-10518</t>
  </si>
  <si>
    <t>CUST-2368</t>
  </si>
  <si>
    <t>ORD-10519</t>
  </si>
  <si>
    <t>CUST-1009</t>
  </si>
  <si>
    <t>ORD-10520</t>
  </si>
  <si>
    <t>CUST-1263</t>
  </si>
  <si>
    <t>ORD-10521</t>
  </si>
  <si>
    <t>ORD-10522</t>
  </si>
  <si>
    <t>ORD-10523</t>
  </si>
  <si>
    <t>CUST-1629</t>
  </si>
  <si>
    <t>ORD-10524</t>
  </si>
  <si>
    <t>ORD-10525</t>
  </si>
  <si>
    <t>ORD-10526</t>
  </si>
  <si>
    <t>CUST-1194</t>
  </si>
  <si>
    <t>ORD-10527</t>
  </si>
  <si>
    <t>ORD-10528</t>
  </si>
  <si>
    <t>ORD-10529</t>
  </si>
  <si>
    <t>CUST-2319</t>
  </si>
  <si>
    <t>ORD-10530</t>
  </si>
  <si>
    <t>CUST-2913</t>
  </si>
  <si>
    <t>ORD-10531</t>
  </si>
  <si>
    <t>CUST-1096</t>
  </si>
  <si>
    <t>ORD-10532</t>
  </si>
  <si>
    <t>CUST-1461</t>
  </si>
  <si>
    <t>ORD-10533</t>
  </si>
  <si>
    <t>CUST-2662</t>
  </si>
  <si>
    <t>ORD-10534</t>
  </si>
  <si>
    <t>CUST-1757</t>
  </si>
  <si>
    <t>ORD-10535</t>
  </si>
  <si>
    <t>ORD-10536</t>
  </si>
  <si>
    <t>CUST-1990</t>
  </si>
  <si>
    <t>ORD-10537</t>
  </si>
  <si>
    <t>CUST-1076</t>
  </si>
  <si>
    <t>ORD-10538</t>
  </si>
  <si>
    <t>CUST-2912</t>
  </si>
  <si>
    <t>ORD-10539</t>
  </si>
  <si>
    <t>CUST-2739</t>
  </si>
  <si>
    <t>ORD-10540</t>
  </si>
  <si>
    <t>CUST-2506</t>
  </si>
  <si>
    <t>ORD-10541</t>
  </si>
  <si>
    <t>ORD-10542</t>
  </si>
  <si>
    <t>ORD-10543</t>
  </si>
  <si>
    <t>CUST-2134</t>
  </si>
  <si>
    <t>ORD-10544</t>
  </si>
  <si>
    <t>CUST-2664</t>
  </si>
  <si>
    <t>ORD-10545</t>
  </si>
  <si>
    <t>CUST-1764</t>
  </si>
  <si>
    <t>ORD-10546</t>
  </si>
  <si>
    <t>CUST-1677</t>
  </si>
  <si>
    <t>ORD-10547</t>
  </si>
  <si>
    <t>CUST-2320</t>
  </si>
  <si>
    <t>ORD-10548</t>
  </si>
  <si>
    <t>ORD-10549</t>
  </si>
  <si>
    <t>CUST-2672</t>
  </si>
  <si>
    <t>ORD-10550</t>
  </si>
  <si>
    <t>CUST-1790</t>
  </si>
  <si>
    <t>ORD-10551</t>
  </si>
  <si>
    <t>ORD-10552</t>
  </si>
  <si>
    <t>CUST-2546</t>
  </si>
  <si>
    <t>ORD-10553</t>
  </si>
  <si>
    <t>ORD-10554</t>
  </si>
  <si>
    <t>ORD-10555</t>
  </si>
  <si>
    <t>CUST-2751</t>
  </si>
  <si>
    <t>ORD-10556</t>
  </si>
  <si>
    <t>CUST-1537</t>
  </si>
  <si>
    <t>ORD-10557</t>
  </si>
  <si>
    <t>ORD-10558</t>
  </si>
  <si>
    <t>CUST-2185</t>
  </si>
  <si>
    <t>ORD-10559</t>
  </si>
  <si>
    <t>ORD-10560</t>
  </si>
  <si>
    <t>CUST-2637</t>
  </si>
  <si>
    <t>ORD-10561</t>
  </si>
  <si>
    <t>CUST-2092</t>
  </si>
  <si>
    <t>ORD-10562</t>
  </si>
  <si>
    <t>CUST-1132</t>
  </si>
  <si>
    <t>ORD-10563</t>
  </si>
  <si>
    <t>CUST-1188</t>
  </si>
  <si>
    <t>ORD-10564</t>
  </si>
  <si>
    <t>ORD-10565</t>
  </si>
  <si>
    <t>CUST-2778</t>
  </si>
  <si>
    <t>ORD-10566</t>
  </si>
  <si>
    <t>ORD-10567</t>
  </si>
  <si>
    <t>CUST-2947</t>
  </si>
  <si>
    <t>ORD-10568</t>
  </si>
  <si>
    <t>CUST-2945</t>
  </si>
  <si>
    <t>ORD-10569</t>
  </si>
  <si>
    <t>CUST-1572</t>
  </si>
  <si>
    <t>ORD-10570</t>
  </si>
  <si>
    <t>ORD-10571</t>
  </si>
  <si>
    <t>CUST-1278</t>
  </si>
  <si>
    <t>ORD-10572</t>
  </si>
  <si>
    <t>CUST-2453</t>
  </si>
  <si>
    <t>ORD-10573</t>
  </si>
  <si>
    <t>ORD-10574</t>
  </si>
  <si>
    <t>CUST-1541</t>
  </si>
  <si>
    <t>ORD-10575</t>
  </si>
  <si>
    <t>CUST-2858</t>
  </si>
  <si>
    <t>ORD-10576</t>
  </si>
  <si>
    <t>CUST-2184</t>
  </si>
  <si>
    <t>ORD-10577</t>
  </si>
  <si>
    <t>ORD-10578</t>
  </si>
  <si>
    <t>CUST-1898</t>
  </si>
  <si>
    <t>ORD-10579</t>
  </si>
  <si>
    <t>CUST-1452</t>
  </si>
  <si>
    <t>ORD-10580</t>
  </si>
  <si>
    <t>CUST-1888</t>
  </si>
  <si>
    <t>ORD-10581</t>
  </si>
  <si>
    <t>CUST-1850</t>
  </si>
  <si>
    <t>ORD-10582</t>
  </si>
  <si>
    <t>CUST-1169</t>
  </si>
  <si>
    <t>ORD-10583</t>
  </si>
  <si>
    <t>ORD-10584</t>
  </si>
  <si>
    <t>CUST-1697</t>
  </si>
  <si>
    <t>ORD-10585</t>
  </si>
  <si>
    <t>CUST-2080</t>
  </si>
  <si>
    <t>ORD-10586</t>
  </si>
  <si>
    <t>CUST-2263</t>
  </si>
  <si>
    <t>ORD-10587</t>
  </si>
  <si>
    <t>CUST-1768</t>
  </si>
  <si>
    <t>ORD-10588</t>
  </si>
  <si>
    <t>CUST-1357</t>
  </si>
  <si>
    <t>ORD-10589</t>
  </si>
  <si>
    <t>CUST-1200</t>
  </si>
  <si>
    <t>ORD-10590</t>
  </si>
  <si>
    <t>CUST-1443</t>
  </si>
  <si>
    <t>ORD-10591</t>
  </si>
  <si>
    <t>ORD-10592</t>
  </si>
  <si>
    <t>ORD-10593</t>
  </si>
  <si>
    <t>CUST-2325</t>
  </si>
  <si>
    <t>ORD-10594</t>
  </si>
  <si>
    <t>CUST-2129</t>
  </si>
  <si>
    <t>ORD-10595</t>
  </si>
  <si>
    <t>ORD-10596</t>
  </si>
  <si>
    <t>CUST-1100</t>
  </si>
  <si>
    <t>ORD-10597</t>
  </si>
  <si>
    <t>CUST-2120</t>
  </si>
  <si>
    <t>ORD-10598</t>
  </si>
  <si>
    <t>ORD-10599</t>
  </si>
  <si>
    <t>CUST-1937</t>
  </si>
  <si>
    <t>ORD-10600</t>
  </si>
  <si>
    <t>ORD-10601</t>
  </si>
  <si>
    <t>ORD-10602</t>
  </si>
  <si>
    <t>ORD-10603</t>
  </si>
  <si>
    <t>CUST-2461</t>
  </si>
  <si>
    <t>ORD-10604</t>
  </si>
  <si>
    <t>CUST-2402</t>
  </si>
  <si>
    <t>ORD-10605</t>
  </si>
  <si>
    <t>CUST-1072</t>
  </si>
  <si>
    <t>ORD-10606</t>
  </si>
  <si>
    <t>ORD-10607</t>
  </si>
  <si>
    <t>CUST-2986</t>
  </si>
  <si>
    <t>ORD-10608</t>
  </si>
  <si>
    <t>CUST-2934</t>
  </si>
  <si>
    <t>ORD-10609</t>
  </si>
  <si>
    <t>CUST-1515</t>
  </si>
  <si>
    <t>ORD-10610</t>
  </si>
  <si>
    <t>CUST-1748</t>
  </si>
  <si>
    <t>ORD-10611</t>
  </si>
  <si>
    <t>CUST-2573</t>
  </si>
  <si>
    <t>ORD-10612</t>
  </si>
  <si>
    <t>CUST-2043</t>
  </si>
  <si>
    <t>ORD-10613</t>
  </si>
  <si>
    <t>ORD-10614</t>
  </si>
  <si>
    <t>CUST-1534</t>
  </si>
  <si>
    <t>ORD-10615</t>
  </si>
  <si>
    <t>ORD-10616</t>
  </si>
  <si>
    <t>CUST-1445</t>
  </si>
  <si>
    <t>ORD-10617</t>
  </si>
  <si>
    <t>CUST-1878</t>
  </si>
  <si>
    <t>ORD-10618</t>
  </si>
  <si>
    <t>CUST-1135</t>
  </si>
  <si>
    <t>ORD-10619</t>
  </si>
  <si>
    <t>CUST-2528</t>
  </si>
  <si>
    <t>ORD-10620</t>
  </si>
  <si>
    <t>CUST-2956</t>
  </si>
  <si>
    <t>ORD-10621</t>
  </si>
  <si>
    <t>ORD-10622</t>
  </si>
  <si>
    <t>CUST-2324</t>
  </si>
  <si>
    <t>ORD-10623</t>
  </si>
  <si>
    <t>CUST-2632</t>
  </si>
  <si>
    <t>ORD-10624</t>
  </si>
  <si>
    <t>ORD-10625</t>
  </si>
  <si>
    <t>CUST-1646</t>
  </si>
  <si>
    <t>ORD-10626</t>
  </si>
  <si>
    <t>CUST-2790</t>
  </si>
  <si>
    <t>ORD-10627</t>
  </si>
  <si>
    <t>CUST-1277</t>
  </si>
  <si>
    <t>ORD-10628</t>
  </si>
  <si>
    <t>ORD-10629</t>
  </si>
  <si>
    <t>CUST-1749</t>
  </si>
  <si>
    <t>ORD-10630</t>
  </si>
  <si>
    <t>CUST-2550</t>
  </si>
  <si>
    <t>ORD-10631</t>
  </si>
  <si>
    <t>CUST-2812</t>
  </si>
  <si>
    <t>ORD-10632</t>
  </si>
  <si>
    <t>ORD-10633</t>
  </si>
  <si>
    <t>ORD-10634</t>
  </si>
  <si>
    <t>CUST-1016</t>
  </si>
  <si>
    <t>ORD-10635</t>
  </si>
  <si>
    <t>CUST-1823</t>
  </si>
  <si>
    <t>ORD-10636</t>
  </si>
  <si>
    <t>ORD-10637</t>
  </si>
  <si>
    <t>ORD-10638</t>
  </si>
  <si>
    <t>ORD-10639</t>
  </si>
  <si>
    <t>CUST-2401</t>
  </si>
  <si>
    <t>ORD-10640</t>
  </si>
  <si>
    <t>CUST-1817</t>
  </si>
  <si>
    <t>ORD-10641</t>
  </si>
  <si>
    <t>CUST-1059</t>
  </si>
  <si>
    <t>ORD-10642</t>
  </si>
  <si>
    <t>CUST-2660</t>
  </si>
  <si>
    <t>ORD-10643</t>
  </si>
  <si>
    <t>CUST-1466</t>
  </si>
  <si>
    <t>ORD-10644</t>
  </si>
  <si>
    <t>ORD-10645</t>
  </si>
  <si>
    <t>ORD-10646</t>
  </si>
  <si>
    <t>CUST-1935</t>
  </si>
  <si>
    <t>ORD-10647</t>
  </si>
  <si>
    <t>CUST-1684</t>
  </si>
  <si>
    <t>ORD-10648</t>
  </si>
  <si>
    <t>CUST-2210</t>
  </si>
  <si>
    <t>ORD-10649</t>
  </si>
  <si>
    <t>CUST-1497</t>
  </si>
  <si>
    <t>ORD-10650</t>
  </si>
  <si>
    <t>ORD-10651</t>
  </si>
  <si>
    <t>CUST-2738</t>
  </si>
  <si>
    <t>ORD-10652</t>
  </si>
  <si>
    <t>CUST-2384</t>
  </si>
  <si>
    <t>ORD-10653</t>
  </si>
  <si>
    <t>ORD-10654</t>
  </si>
  <si>
    <t>CUST-2855</t>
  </si>
  <si>
    <t>ORD-10655</t>
  </si>
  <si>
    <t>CUST-1448</t>
  </si>
  <si>
    <t>ORD-10656</t>
  </si>
  <si>
    <t>CUST-2717</t>
  </si>
  <si>
    <t>ORD-10657</t>
  </si>
  <si>
    <t>ORD-10658</t>
  </si>
  <si>
    <t>CUST-1679</t>
  </si>
  <si>
    <t>ORD-10659</t>
  </si>
  <si>
    <t>CUST-2204</t>
  </si>
  <si>
    <t>ORD-10660</t>
  </si>
  <si>
    <t>CUST-2835</t>
  </si>
  <si>
    <t>ORD-10661</t>
  </si>
  <si>
    <t>CUST-2982</t>
  </si>
  <si>
    <t>ORD-10662</t>
  </si>
  <si>
    <t>CUST-1129</t>
  </si>
  <si>
    <t>ORD-10663</t>
  </si>
  <si>
    <t>CUST-2998</t>
  </si>
  <si>
    <t>ORD-10664</t>
  </si>
  <si>
    <t>CUST-1148</t>
  </si>
  <si>
    <t>ORD-10665</t>
  </si>
  <si>
    <t>CUST-2495</t>
  </si>
  <si>
    <t>ORD-10666</t>
  </si>
  <si>
    <t>ORD-10667</t>
  </si>
  <si>
    <t>CUST-2744</t>
  </si>
  <si>
    <t>ORD-10668</t>
  </si>
  <si>
    <t>CUST-2646</t>
  </si>
  <si>
    <t>ORD-10669</t>
  </si>
  <si>
    <t>ORD-10670</t>
  </si>
  <si>
    <t>CUST-1499</t>
  </si>
  <si>
    <t>ORD-10671</t>
  </si>
  <si>
    <t>ORD-10672</t>
  </si>
  <si>
    <t>CUST-2378</t>
  </si>
  <si>
    <t>ORD-10673</t>
  </si>
  <si>
    <t>CUST-2939</t>
  </si>
  <si>
    <t>ORD-10674</t>
  </si>
  <si>
    <t>CUST-2234</t>
  </si>
  <si>
    <t>ORD-10675</t>
  </si>
  <si>
    <t>CUST-1657</t>
  </si>
  <si>
    <t>ORD-10676</t>
  </si>
  <si>
    <t>CUST-2619</t>
  </si>
  <si>
    <t>ORD-10677</t>
  </si>
  <si>
    <t>CUST-2053</t>
  </si>
  <si>
    <t>ORD-10678</t>
  </si>
  <si>
    <t>CUST-1576</t>
  </si>
  <si>
    <t>ORD-10679</t>
  </si>
  <si>
    <t>CUST-2047</t>
  </si>
  <si>
    <t>ORD-10680</t>
  </si>
  <si>
    <t>CUST-1983</t>
  </si>
  <si>
    <t>ORD-10681</t>
  </si>
  <si>
    <t>CUST-2966</t>
  </si>
  <si>
    <t>ORD-10682</t>
  </si>
  <si>
    <t>CUST-1722</t>
  </si>
  <si>
    <t>ORD-10683</t>
  </si>
  <si>
    <t>CUST-1221</t>
  </si>
  <si>
    <t>ORD-10684</t>
  </si>
  <si>
    <t>CUST-1601</t>
  </si>
  <si>
    <t>ORD-10685</t>
  </si>
  <si>
    <t>CUST-2641</t>
  </si>
  <si>
    <t>ORD-10686</t>
  </si>
  <si>
    <t>CUST-1683</t>
  </si>
  <si>
    <t>ORD-10687</t>
  </si>
  <si>
    <t>CUST-1741</t>
  </si>
  <si>
    <t>ORD-10688</t>
  </si>
  <si>
    <t>CUST-1924</t>
  </si>
  <si>
    <t>ORD-10689</t>
  </si>
  <si>
    <t>CUST-2612</t>
  </si>
  <si>
    <t>ORD-10690</t>
  </si>
  <si>
    <t>CUST-1579</t>
  </si>
  <si>
    <t>ORD-10691</t>
  </si>
  <si>
    <t>CUST-2900</t>
  </si>
  <si>
    <t>ORD-10692</t>
  </si>
  <si>
    <t>ORD-10693</t>
  </si>
  <si>
    <t>ORD-10694</t>
  </si>
  <si>
    <t>CUST-1900</t>
  </si>
  <si>
    <t>ORD-10695</t>
  </si>
  <si>
    <t>CUST-2627</t>
  </si>
  <si>
    <t>ORD-10696</t>
  </si>
  <si>
    <t>CUST-1511</t>
  </si>
  <si>
    <t>ORD-10697</t>
  </si>
  <si>
    <t>CUST-1087</t>
  </si>
  <si>
    <t>ORD-10698</t>
  </si>
  <si>
    <t>CUST-2488</t>
  </si>
  <si>
    <t>ORD-10699</t>
  </si>
  <si>
    <t>CUST-1049</t>
  </si>
  <si>
    <t>ORD-10700</t>
  </si>
  <si>
    <t>CUST-1102</t>
  </si>
  <si>
    <t>ORD-10701</t>
  </si>
  <si>
    <t>CUST-1367</t>
  </si>
  <si>
    <t>ORD-10702</t>
  </si>
  <si>
    <t>ORD-10703</t>
  </si>
  <si>
    <t>CUST-2515</t>
  </si>
  <si>
    <t>ORD-10704</t>
  </si>
  <si>
    <t>CUST-2581</t>
  </si>
  <si>
    <t>ORD-10705</t>
  </si>
  <si>
    <t>CUST-2714</t>
  </si>
  <si>
    <t>ORD-10706</t>
  </si>
  <si>
    <t>CUST-2802</t>
  </si>
  <si>
    <t>ORD-10707</t>
  </si>
  <si>
    <t>ORD-10708</t>
  </si>
  <si>
    <t>CUST-2420</t>
  </si>
  <si>
    <t>ORD-10709</t>
  </si>
  <si>
    <t>CUST-2343</t>
  </si>
  <si>
    <t>ORD-10710</t>
  </si>
  <si>
    <t>CUST-2543</t>
  </si>
  <si>
    <t>ORD-10711</t>
  </si>
  <si>
    <t>ORD-10712</t>
  </si>
  <si>
    <t>CUST-2800</t>
  </si>
  <si>
    <t>ORD-10713</t>
  </si>
  <si>
    <t>CUST-2499</t>
  </si>
  <si>
    <t>ORD-10714</t>
  </si>
  <si>
    <t>CUST-1897</t>
  </si>
  <si>
    <t>ORD-10715</t>
  </si>
  <si>
    <t>CUST-2613</t>
  </si>
  <si>
    <t>ORD-10716</t>
  </si>
  <si>
    <t>CUST-1908</t>
  </si>
  <si>
    <t>ORD-10717</t>
  </si>
  <si>
    <t>ORD-10718</t>
  </si>
  <si>
    <t>ORD-10719</t>
  </si>
  <si>
    <t>ORD-10720</t>
  </si>
  <si>
    <t>ORD-10721</t>
  </si>
  <si>
    <t>CUST-2967</t>
  </si>
  <si>
    <t>ORD-10722</t>
  </si>
  <si>
    <t>ORD-10723</t>
  </si>
  <si>
    <t>CUST-2666</t>
  </si>
  <si>
    <t>ORD-10724</t>
  </si>
  <si>
    <t>CUST-2987</t>
  </si>
  <si>
    <t>ORD-10725</t>
  </si>
  <si>
    <t>CUST-1389</t>
  </si>
  <si>
    <t>ORD-10726</t>
  </si>
  <si>
    <t>CUST-2366</t>
  </si>
  <si>
    <t>ORD-10727</t>
  </si>
  <si>
    <t>ORD-10728</t>
  </si>
  <si>
    <t>CUST-1753</t>
  </si>
  <si>
    <t>ORD-10729</t>
  </si>
  <si>
    <t>CUST-2410</t>
  </si>
  <si>
    <t>ORD-10730</t>
  </si>
  <si>
    <t>CUST-1393</t>
  </si>
  <si>
    <t>ORD-10731</t>
  </si>
  <si>
    <t>CUST-1682</t>
  </si>
  <si>
    <t>ORD-10732</t>
  </si>
  <si>
    <t>CUST-2682</t>
  </si>
  <si>
    <t>ORD-10733</t>
  </si>
  <si>
    <t>CUST-1269</t>
  </si>
  <si>
    <t>ORD-10734</t>
  </si>
  <si>
    <t>ORD-10735</t>
  </si>
  <si>
    <t>CUST-2403</t>
  </si>
  <si>
    <t>ORD-10736</t>
  </si>
  <si>
    <t>CUST-1810</t>
  </si>
  <si>
    <t>ORD-10737</t>
  </si>
  <si>
    <t>CUST-1027</t>
  </si>
  <si>
    <t>ORD-10738</t>
  </si>
  <si>
    <t>CUST-2172</t>
  </si>
  <si>
    <t>ORD-10739</t>
  </si>
  <si>
    <t>ORD-10740</t>
  </si>
  <si>
    <t>CUST-1279</t>
  </si>
  <si>
    <t>ORD-10741</t>
  </si>
  <si>
    <t>CUST-2205</t>
  </si>
  <si>
    <t>ORD-10742</t>
  </si>
  <si>
    <t>ORD-10743</t>
  </si>
  <si>
    <t>ORD-10744</t>
  </si>
  <si>
    <t>CUST-2173</t>
  </si>
  <si>
    <t>ORD-10745</t>
  </si>
  <si>
    <t>CUST-1338</t>
  </si>
  <si>
    <t>ORD-10746</t>
  </si>
  <si>
    <t>CUST-2068</t>
  </si>
  <si>
    <t>ORD-10747</t>
  </si>
  <si>
    <t>CUST-2525</t>
  </si>
  <si>
    <t>ORD-10748</t>
  </si>
  <si>
    <t>CUST-1841</t>
  </si>
  <si>
    <t>ORD-10749</t>
  </si>
  <si>
    <t>ORD-10750</t>
  </si>
  <si>
    <t>CUST-1650</t>
  </si>
  <si>
    <t>ORD-10751</t>
  </si>
  <si>
    <t>CUST-2084</t>
  </si>
  <si>
    <t>ORD-10752</t>
  </si>
  <si>
    <t>CUST-1293</t>
  </si>
  <si>
    <t>ORD-10753</t>
  </si>
  <si>
    <t>CUST-2857</t>
  </si>
  <si>
    <t>ORD-10754</t>
  </si>
  <si>
    <t>CUST-2056</t>
  </si>
  <si>
    <t>ORD-10755</t>
  </si>
  <si>
    <t>CUST-2322</t>
  </si>
  <si>
    <t>ORD-10756</t>
  </si>
  <si>
    <t>CUST-1414</t>
  </si>
  <si>
    <t>ORD-10757</t>
  </si>
  <si>
    <t>CUST-2647</t>
  </si>
  <si>
    <t>ORD-10758</t>
  </si>
  <si>
    <t>ORD-10759</t>
  </si>
  <si>
    <t>CUST-2572</t>
  </si>
  <si>
    <t>ORD-10760</t>
  </si>
  <si>
    <t>CUST-1430</t>
  </si>
  <si>
    <t>ORD-10761</t>
  </si>
  <si>
    <t>CUST-2518</t>
  </si>
  <si>
    <t>ORD-10762</t>
  </si>
  <si>
    <t>ORD-10763</t>
  </si>
  <si>
    <t>CUST-2046</t>
  </si>
  <si>
    <t>ORD-10764</t>
  </si>
  <si>
    <t>ORD-10765</t>
  </si>
  <si>
    <t>ORD-10766</t>
  </si>
  <si>
    <t>CUST-1486</t>
  </si>
  <si>
    <t>ORD-10767</t>
  </si>
  <si>
    <t>CUST-2753</t>
  </si>
  <si>
    <t>ORD-10768</t>
  </si>
  <si>
    <t>CUST-1088</t>
  </si>
  <si>
    <t>ORD-10769</t>
  </si>
  <si>
    <t>CUST-2232</t>
  </si>
  <si>
    <t>ORD-10770</t>
  </si>
  <si>
    <t>CUST-1270</t>
  </si>
  <si>
    <t>ORD-10771</t>
  </si>
  <si>
    <t>ORD-10772</t>
  </si>
  <si>
    <t>CUST-2772</t>
  </si>
  <si>
    <t>ORD-10773</t>
  </si>
  <si>
    <t>CUST-1899</t>
  </si>
  <si>
    <t>ORD-10774</t>
  </si>
  <si>
    <t>CUST-2429</t>
  </si>
  <si>
    <t>ORD-10775</t>
  </si>
  <si>
    <t>ORD-10776</t>
  </si>
  <si>
    <t>ORD-10777</t>
  </si>
  <si>
    <t>CUST-1205</t>
  </si>
  <si>
    <t>ORD-10778</t>
  </si>
  <si>
    <t>ORD-10779</t>
  </si>
  <si>
    <t>CUST-1912</t>
  </si>
  <si>
    <t>ORD-10780</t>
  </si>
  <si>
    <t>CUST-1327</t>
  </si>
  <si>
    <t>ORD-10781</t>
  </si>
  <si>
    <t>CUST-2633</t>
  </si>
  <si>
    <t>ORD-10782</t>
  </si>
  <si>
    <t>CUST-1857</t>
  </si>
  <si>
    <t>ORD-10783</t>
  </si>
  <si>
    <t>CUST-1876</t>
  </si>
  <si>
    <t>ORD-10784</t>
  </si>
  <si>
    <t>ORD-10785</t>
  </si>
  <si>
    <t>CUST-1335</t>
  </si>
  <si>
    <t>ORD-10786</t>
  </si>
  <si>
    <t>CUST-1605</t>
  </si>
  <si>
    <t>ORD-10787</t>
  </si>
  <si>
    <t>CUST-1591</t>
  </si>
  <si>
    <t>ORD-10788</t>
  </si>
  <si>
    <t>ORD-10789</t>
  </si>
  <si>
    <t>CUST-2013</t>
  </si>
  <si>
    <t>ORD-10790</t>
  </si>
  <si>
    <t>CUST-2943</t>
  </si>
  <si>
    <t>ORD-10791</t>
  </si>
  <si>
    <t>CUST-2251</t>
  </si>
  <si>
    <t>ORD-10792</t>
  </si>
  <si>
    <t>ORD-10793</t>
  </si>
  <si>
    <t>CUST-2157</t>
  </si>
  <si>
    <t>ORD-10794</t>
  </si>
  <si>
    <t>ORD-10795</t>
  </si>
  <si>
    <t>CUST-1977</t>
  </si>
  <si>
    <t>ORD-10796</t>
  </si>
  <si>
    <t>CUST-2413</t>
  </si>
  <si>
    <t>ORD-10797</t>
  </si>
  <si>
    <t>CUST-2817</t>
  </si>
  <si>
    <t>ORD-10798</t>
  </si>
  <si>
    <t>CUST-2636</t>
  </si>
  <si>
    <t>ORD-10799</t>
  </si>
  <si>
    <t>CUST-1424</t>
  </si>
  <si>
    <t>ORD-10800</t>
  </si>
  <si>
    <t>CUST-1586</t>
  </si>
  <si>
    <t>ORD-10801</t>
  </si>
  <si>
    <t>ORD-10802</t>
  </si>
  <si>
    <t>CUST-2533</t>
  </si>
  <si>
    <t>ORD-10803</t>
  </si>
  <si>
    <t>CUST-1719</t>
  </si>
  <si>
    <t>ORD-10804</t>
  </si>
  <si>
    <t>ORD-10805</t>
  </si>
  <si>
    <t>CUST-2450</t>
  </si>
  <si>
    <t>ORD-10806</t>
  </si>
  <si>
    <t>ORD-10807</t>
  </si>
  <si>
    <t>CUST-1654</t>
  </si>
  <si>
    <t>ORD-10808</t>
  </si>
  <si>
    <t>CUST-1473</t>
  </si>
  <si>
    <t>ORD-10809</t>
  </si>
  <si>
    <t>CUST-1567</t>
  </si>
  <si>
    <t>ORD-10810</t>
  </si>
  <si>
    <t>ORD-10811</t>
  </si>
  <si>
    <t>CUST-2975</t>
  </si>
  <si>
    <t>ORD-10812</t>
  </si>
  <si>
    <t>CUST-2822</t>
  </si>
  <si>
    <t>ORD-10813</t>
  </si>
  <si>
    <t>CUST-1210</t>
  </si>
  <si>
    <t>ORD-10814</t>
  </si>
  <si>
    <t>CUST-2976</t>
  </si>
  <si>
    <t>ORD-10815</t>
  </si>
  <si>
    <t>CUST-2202</t>
  </si>
  <si>
    <t>ORD-10816</t>
  </si>
  <si>
    <t>ORD-10817</t>
  </si>
  <si>
    <t>ORD-10818</t>
  </si>
  <si>
    <t>CUST-2096</t>
  </si>
  <si>
    <t>ORD-10819</t>
  </si>
  <si>
    <t>ORD-10820</t>
  </si>
  <si>
    <t>ORD-10821</t>
  </si>
  <si>
    <t>CUST-2801</t>
  </si>
  <si>
    <t>ORD-10822</t>
  </si>
  <si>
    <t>ORD-10823</t>
  </si>
  <si>
    <t>ORD-10824</t>
  </si>
  <si>
    <t>ORD-10825</t>
  </si>
  <si>
    <t>CUST-2294</t>
  </si>
  <si>
    <t>ORD-10826</t>
  </si>
  <si>
    <t>ORD-10827</t>
  </si>
  <si>
    <t>CUST-1353</t>
  </si>
  <si>
    <t>ORD-10828</t>
  </si>
  <si>
    <t>CUST-2257</t>
  </si>
  <si>
    <t>ORD-10829</t>
  </si>
  <si>
    <t>CUST-2342</t>
  </si>
  <si>
    <t>ORD-10830</t>
  </si>
  <si>
    <t>CUST-2042</t>
  </si>
  <si>
    <t>ORD-10831</t>
  </si>
  <si>
    <t>CUST-1624</t>
  </si>
  <si>
    <t>ORD-10832</t>
  </si>
  <si>
    <t>CUST-2598</t>
  </si>
  <si>
    <t>ORD-10833</t>
  </si>
  <si>
    <t>ORD-10834</t>
  </si>
  <si>
    <t>CUST-1183</t>
  </si>
  <si>
    <t>ORD-10835</t>
  </si>
  <si>
    <t>CUST-2300</t>
  </si>
  <si>
    <t>ORD-10836</t>
  </si>
  <si>
    <t>CUST-1673</t>
  </si>
  <si>
    <t>ORD-10837</t>
  </si>
  <si>
    <t>ORD-10838</t>
  </si>
  <si>
    <t>CUST-2168</t>
  </si>
  <si>
    <t>ORD-10839</t>
  </si>
  <si>
    <t>CUST-2681</t>
  </si>
  <si>
    <t>ORD-10840</t>
  </si>
  <si>
    <t>ORD-10841</t>
  </si>
  <si>
    <t>ORD-10842</t>
  </si>
  <si>
    <t>ORD-10843</t>
  </si>
  <si>
    <t>CUST-2856</t>
  </si>
  <si>
    <t>ORD-10844</t>
  </si>
  <si>
    <t>CUST-2066</t>
  </si>
  <si>
    <t>ORD-10845</t>
  </si>
  <si>
    <t>CUST-2336</t>
  </si>
  <si>
    <t>ORD-10846</t>
  </si>
  <si>
    <t>CUST-2929</t>
  </si>
  <si>
    <t>ORD-10847</t>
  </si>
  <si>
    <t>ORD-10848</t>
  </si>
  <si>
    <t>CUST-1687</t>
  </si>
  <si>
    <t>ORD-10849</t>
  </si>
  <si>
    <t>CUST-1887</t>
  </si>
  <si>
    <t>ORD-10850</t>
  </si>
  <si>
    <t>CUST-1068</t>
  </si>
  <si>
    <t>ORD-10851</t>
  </si>
  <si>
    <t>CUST-1055</t>
  </si>
  <si>
    <t>ORD-10852</t>
  </si>
  <si>
    <t>CUST-1630</t>
  </si>
  <si>
    <t>ORD-10853</t>
  </si>
  <si>
    <t>CUST-2227</t>
  </si>
  <si>
    <t>ORD-10854</t>
  </si>
  <si>
    <t>ORD-10855</t>
  </si>
  <si>
    <t>CUST-2950</t>
  </si>
  <si>
    <t>ORD-10856</t>
  </si>
  <si>
    <t>CUST-1566</t>
  </si>
  <si>
    <t>ORD-10857</t>
  </si>
  <si>
    <t>CUST-1549</t>
  </si>
  <si>
    <t>ORD-10858</t>
  </si>
  <si>
    <t>CUST-1242</t>
  </si>
  <si>
    <t>ORD-10859</t>
  </si>
  <si>
    <t>CUST-2224</t>
  </si>
  <si>
    <t>ORD-10860</t>
  </si>
  <si>
    <t>CUST-1747</t>
  </si>
  <si>
    <t>ORD-10861</t>
  </si>
  <si>
    <t>CUST-2497</t>
  </si>
  <si>
    <t>ORD-10862</t>
  </si>
  <si>
    <t>ORD-10863</t>
  </si>
  <si>
    <t>ORD-10864</t>
  </si>
  <si>
    <t>ORD-10865</t>
  </si>
  <si>
    <t>CUST-2501</t>
  </si>
  <si>
    <t>ORD-10866</t>
  </si>
  <si>
    <t>ORD-10867</t>
  </si>
  <si>
    <t>CUST-1439</t>
  </si>
  <si>
    <t>ORD-10868</t>
  </si>
  <si>
    <t>CUST-2286</t>
  </si>
  <si>
    <t>ORD-10869</t>
  </si>
  <si>
    <t>ORD-10870</t>
  </si>
  <si>
    <t>CUST-2078</t>
  </si>
  <si>
    <t>ORD-10871</t>
  </si>
  <si>
    <t>CUST-2331</t>
  </si>
  <si>
    <t>ORD-10872</t>
  </si>
  <si>
    <t>ORD-10873</t>
  </si>
  <si>
    <t>ORD-10874</t>
  </si>
  <si>
    <t>CUST-2575</t>
  </si>
  <si>
    <t>ORD-10875</t>
  </si>
  <si>
    <t>ORD-10876</t>
  </si>
  <si>
    <t>CUST-2400</t>
  </si>
  <si>
    <t>ORD-10877</t>
  </si>
  <si>
    <t>CUST-2309</t>
  </si>
  <si>
    <t>ORD-10878</t>
  </si>
  <si>
    <t>CUST-2161</t>
  </si>
  <si>
    <t>ORD-10879</t>
  </si>
  <si>
    <t>ORD-10880</t>
  </si>
  <si>
    <t>CUST-1614</t>
  </si>
  <si>
    <t>ORD-10881</t>
  </si>
  <si>
    <t>CUST-2030</t>
  </si>
  <si>
    <t>ORD-10882</t>
  </si>
  <si>
    <t>CUST-1675</t>
  </si>
  <si>
    <t>ORD-10883</t>
  </si>
  <si>
    <t>ORD-10884</t>
  </si>
  <si>
    <t>ORD-10885</t>
  </si>
  <si>
    <t>ORD-10886</t>
  </si>
  <si>
    <t>ORD-10887</t>
  </si>
  <si>
    <t>ORD-10888</t>
  </si>
  <si>
    <t>CUST-1275</t>
  </si>
  <si>
    <t>ORD-10889</t>
  </si>
  <si>
    <t>CUST-2584</t>
  </si>
  <si>
    <t>ORD-10890</t>
  </si>
  <si>
    <t>CUST-1607</t>
  </si>
  <si>
    <t>ORD-10891</t>
  </si>
  <si>
    <t>CUST-1570</t>
  </si>
  <si>
    <t>ORD-10892</t>
  </si>
  <si>
    <t>CUST-2766</t>
  </si>
  <si>
    <t>ORD-10893</t>
  </si>
  <si>
    <t>CUST-2712</t>
  </si>
  <si>
    <t>ORD-10894</t>
  </si>
  <si>
    <t>CUST-1089</t>
  </si>
  <si>
    <t>ORD-10895</t>
  </si>
  <si>
    <t>CUST-1281</t>
  </si>
  <si>
    <t>ORD-10896</t>
  </si>
  <si>
    <t>CUST-2571</t>
  </si>
  <si>
    <t>ORD-10897</t>
  </si>
  <si>
    <t>CUST-2194</t>
  </si>
  <si>
    <t>ORD-10898</t>
  </si>
  <si>
    <t>ORD-10899</t>
  </si>
  <si>
    <t>ORD-10900</t>
  </si>
  <si>
    <t>ORD-10901</t>
  </si>
  <si>
    <t>ORD-10902</t>
  </si>
  <si>
    <t>CUST-2312</t>
  </si>
  <si>
    <t>ORD-10903</t>
  </si>
  <si>
    <t>CUST-1867</t>
  </si>
  <si>
    <t>ORD-10904</t>
  </si>
  <si>
    <t>ORD-10905</t>
  </si>
  <si>
    <t>ORD-10906</t>
  </si>
  <si>
    <t>ORD-10907</t>
  </si>
  <si>
    <t>CUST-2196</t>
  </si>
  <si>
    <t>ORD-10908</t>
  </si>
  <si>
    <t>ORD-10909</t>
  </si>
  <si>
    <t>ORD-10910</t>
  </si>
  <si>
    <t>ORD-10911</t>
  </si>
  <si>
    <t>CUST-2886</t>
  </si>
  <si>
    <t>ORD-10912</t>
  </si>
  <si>
    <t>CUST-1528</t>
  </si>
  <si>
    <t>ORD-10913</t>
  </si>
  <si>
    <t>CUST-1139</t>
  </si>
  <si>
    <t>ORD-10914</t>
  </si>
  <si>
    <t>ORD-10915</t>
  </si>
  <si>
    <t>ORD-10916</t>
  </si>
  <si>
    <t>CUST-1662</t>
  </si>
  <si>
    <t>ORD-10917</t>
  </si>
  <si>
    <t>CUST-1510</t>
  </si>
  <si>
    <t>ORD-10918</t>
  </si>
  <si>
    <t>CUST-2369</t>
  </si>
  <si>
    <t>ORD-10919</t>
  </si>
  <si>
    <t>CUST-2869</t>
  </si>
  <si>
    <t>ORD-10920</t>
  </si>
  <si>
    <t>CUST-2163</t>
  </si>
  <si>
    <t>ORD-10921</t>
  </si>
  <si>
    <t>CUST-1113</t>
  </si>
  <si>
    <t>ORD-10922</t>
  </si>
  <si>
    <t>ORD-10923</t>
  </si>
  <si>
    <t>CUST-2530</t>
  </si>
  <si>
    <t>ORD-10924</t>
  </si>
  <si>
    <t>CUST-2389</t>
  </si>
  <si>
    <t>ORD-10925</t>
  </si>
  <si>
    <t>ORD-10926</t>
  </si>
  <si>
    <t>CUST-1636</t>
  </si>
  <si>
    <t>ORD-10927</t>
  </si>
  <si>
    <t>ORD-10928</t>
  </si>
  <si>
    <t>CUST-2848</t>
  </si>
  <si>
    <t>ORD-10929</t>
  </si>
  <si>
    <t>CUST-1822</t>
  </si>
  <si>
    <t>ORD-10930</t>
  </si>
  <si>
    <t>CUST-2873</t>
  </si>
  <si>
    <t>ORD-10931</t>
  </si>
  <si>
    <t>CUST-1874</t>
  </si>
  <si>
    <t>ORD-10932</t>
  </si>
  <si>
    <t>ORD-10933</t>
  </si>
  <si>
    <t>CUST-2893</t>
  </si>
  <si>
    <t>ORD-10934</t>
  </si>
  <si>
    <t>CUST-2768</t>
  </si>
  <si>
    <t>ORD-10935</t>
  </si>
  <si>
    <t>CUST-1939</t>
  </si>
  <si>
    <t>ORD-10936</t>
  </si>
  <si>
    <t>ORD-10937</t>
  </si>
  <si>
    <t>CUST-1941</t>
  </si>
  <si>
    <t>ORD-10938</t>
  </si>
  <si>
    <t>ORD-10939</t>
  </si>
  <si>
    <t>CUST-2898</t>
  </si>
  <si>
    <t>ORD-10940</t>
  </si>
  <si>
    <t>ORD-10941</t>
  </si>
  <si>
    <t>CUST-2261</t>
  </si>
  <si>
    <t>ORD-10942</t>
  </si>
  <si>
    <t>CUST-1002</t>
  </si>
  <si>
    <t>ORD-10943</t>
  </si>
  <si>
    <t>ORD-10944</t>
  </si>
  <si>
    <t>CUST-1403</t>
  </si>
  <si>
    <t>ORD-10945</t>
  </si>
  <si>
    <t>ORD-10946</t>
  </si>
  <si>
    <t>CUST-2866</t>
  </si>
  <si>
    <t>ORD-10947</t>
  </si>
  <si>
    <t>ORD-10948</t>
  </si>
  <si>
    <t>CUST-1695</t>
  </si>
  <si>
    <t>ORD-10949</t>
  </si>
  <si>
    <t>ORD-10950</t>
  </si>
  <si>
    <t>CUST-1060</t>
  </si>
  <si>
    <t>ORD-10951</t>
  </si>
  <si>
    <t>CUST-2531</t>
  </si>
  <si>
    <t>ORD-10952</t>
  </si>
  <si>
    <t>CUST-1122</t>
  </si>
  <si>
    <t>ORD-10953</t>
  </si>
  <si>
    <t>CUST-2520</t>
  </si>
  <si>
    <t>ORD-10954</t>
  </si>
  <si>
    <t>CUST-1054</t>
  </si>
  <si>
    <t>ORD-10955</t>
  </si>
  <si>
    <t>CUST-2186</t>
  </si>
  <si>
    <t>ORD-10956</t>
  </si>
  <si>
    <t>CUST-1973</t>
  </si>
  <si>
    <t>ORD-10957</t>
  </si>
  <si>
    <t>ORD-10958</t>
  </si>
  <si>
    <t>CUST-2062</t>
  </si>
  <si>
    <t>ORD-10959</t>
  </si>
  <si>
    <t>CUST-2720</t>
  </si>
  <si>
    <t>ORD-10960</t>
  </si>
  <si>
    <t>ORD-10961</t>
  </si>
  <si>
    <t>CUST-2730</t>
  </si>
  <si>
    <t>ORD-10962</t>
  </si>
  <si>
    <t>CUST-1545</t>
  </si>
  <si>
    <t>ORD-10963</t>
  </si>
  <si>
    <t>CUST-1112</t>
  </si>
  <si>
    <t>ORD-10964</t>
  </si>
  <si>
    <t>ORD-10965</t>
  </si>
  <si>
    <t>CUST-1917</t>
  </si>
  <si>
    <t>ORD-10966</t>
  </si>
  <si>
    <t>CUST-1229</t>
  </si>
  <si>
    <t>ORD-10967</t>
  </si>
  <si>
    <t>ORD-10968</t>
  </si>
  <si>
    <t>CUST-1916</t>
  </si>
  <si>
    <t>ORD-10969</t>
  </si>
  <si>
    <t>CUST-2960</t>
  </si>
  <si>
    <t>ORD-10970</t>
  </si>
  <si>
    <t>ORD-10971</t>
  </si>
  <si>
    <t>CUST-1154</t>
  </si>
  <si>
    <t>ORD-10972</t>
  </si>
  <si>
    <t>ORD-10973</t>
  </si>
  <si>
    <t>CUST-1961</t>
  </si>
  <si>
    <t>ORD-10974</t>
  </si>
  <si>
    <t>ORD-10975</t>
  </si>
  <si>
    <t>CUST-2262</t>
  </si>
  <si>
    <t>ORD-10976</t>
  </si>
  <si>
    <t>CUST-1648</t>
  </si>
  <si>
    <t>ORD-10977</t>
  </si>
  <si>
    <t>CUST-2362</t>
  </si>
  <si>
    <t>ORD-10978</t>
  </si>
  <si>
    <t>ORD-10979</t>
  </si>
  <si>
    <t>ORD-10980</t>
  </si>
  <si>
    <t>CUST-1931</t>
  </si>
  <si>
    <t>ORD-10981</t>
  </si>
  <si>
    <t>CUST-1265</t>
  </si>
  <si>
    <t>ORD-10982</t>
  </si>
  <si>
    <t>CUST-1186</t>
  </si>
  <si>
    <t>ORD-10983</t>
  </si>
  <si>
    <t>ORD-10984</t>
  </si>
  <si>
    <t>CUST-2845</t>
  </si>
  <si>
    <t>ORD-10985</t>
  </si>
  <si>
    <t>CUST-2516</t>
  </si>
  <si>
    <t>ORD-10986</t>
  </si>
  <si>
    <t>CUST-2702</t>
  </si>
  <si>
    <t>ORD-10987</t>
  </si>
  <si>
    <t>ORD-10988</t>
  </si>
  <si>
    <t>CUST-2283</t>
  </si>
  <si>
    <t>ORD-10989</t>
  </si>
  <si>
    <t>ORD-10990</t>
  </si>
  <si>
    <t>ORD-10991</t>
  </si>
  <si>
    <t>CUST-1175</t>
  </si>
  <si>
    <t>ORD-10992</t>
  </si>
  <si>
    <t>CUST-1773</t>
  </si>
  <si>
    <t>ORD-10993</t>
  </si>
  <si>
    <t>CUST-1763</t>
  </si>
  <si>
    <t>ORD-10994</t>
  </si>
  <si>
    <t>CUST-2352</t>
  </si>
  <si>
    <t>ORD-10995</t>
  </si>
  <si>
    <t>CUST-1930</t>
  </si>
  <si>
    <t>ORD-10996</t>
  </si>
  <si>
    <t>ORD-10997</t>
  </si>
  <si>
    <t>CUST-1710</t>
  </si>
  <si>
    <t>ORD-10998</t>
  </si>
  <si>
    <t>CUST-2219</t>
  </si>
  <si>
    <t>ORD-10999</t>
  </si>
  <si>
    <t>CUST-1825</t>
  </si>
  <si>
    <t>ORD-11000</t>
  </si>
  <si>
    <t>ORD-11001</t>
  </si>
  <si>
    <t>CUST-1530</t>
  </si>
  <si>
    <t>ORD-11002</t>
  </si>
  <si>
    <t>CUST-2085</t>
  </si>
  <si>
    <t>ORD-11003</t>
  </si>
  <si>
    <t>CUST-2350</t>
  </si>
  <si>
    <t>ORD-11004</t>
  </si>
  <si>
    <t>ORD-11005</t>
  </si>
  <si>
    <t>CUST-1280</t>
  </si>
  <si>
    <t>ORD-11006</t>
  </si>
  <si>
    <t>CUST-2963</t>
  </si>
  <si>
    <t>ORD-11007</t>
  </si>
  <si>
    <t>CUST-2785</t>
  </si>
  <si>
    <t>ORD-11008</t>
  </si>
  <si>
    <t>CUST-1226</t>
  </si>
  <si>
    <t>ORD-11009</t>
  </si>
  <si>
    <t>CUST-1638</t>
  </si>
  <si>
    <t>ORD-11010</t>
  </si>
  <si>
    <t>ORD-11011</t>
  </si>
  <si>
    <t>CUST-1920</t>
  </si>
  <si>
    <t>ORD-11012</t>
  </si>
  <si>
    <t>CUST-1476</t>
  </si>
  <si>
    <t>ORD-11013</t>
  </si>
  <si>
    <t>CUST-2399</t>
  </si>
  <si>
    <t>ORD-11014</t>
  </si>
  <si>
    <t>CUST-1715</t>
  </si>
  <si>
    <t>ORD-11015</t>
  </si>
  <si>
    <t>ORD-11016</t>
  </si>
  <si>
    <t>ORD-11017</t>
  </si>
  <si>
    <t>ORD-11018</t>
  </si>
  <si>
    <t>CUST-2867</t>
  </si>
  <si>
    <t>ORD-11019</t>
  </si>
  <si>
    <t>CUST-2523</t>
  </si>
  <si>
    <t>ORD-11020</t>
  </si>
  <si>
    <t>ORD-11021</t>
  </si>
  <si>
    <t>ORD-11022</t>
  </si>
  <si>
    <t>CUST-1905</t>
  </si>
  <si>
    <t>ORD-11023</t>
  </si>
  <si>
    <t>ORD-11024</t>
  </si>
  <si>
    <t>CUST-1375</t>
  </si>
  <si>
    <t>ORD-11025</t>
  </si>
  <si>
    <t>CUST-2432</t>
  </si>
  <si>
    <t>ORD-11026</t>
  </si>
  <si>
    <t>ORD-11027</t>
  </si>
  <si>
    <t>CUST-2511</t>
  </si>
  <si>
    <t>ORD-11028</t>
  </si>
  <si>
    <t>CUST-1342</t>
  </si>
  <si>
    <t>ORD-11029</t>
  </si>
  <si>
    <t>CUST-1239</t>
  </si>
  <si>
    <t>ORD-11030</t>
  </si>
  <si>
    <t>ORD-11031</t>
  </si>
  <si>
    <t>CUST-2145</t>
  </si>
  <si>
    <t>ORD-11032</t>
  </si>
  <si>
    <t>ORD-11033</t>
  </si>
  <si>
    <t>ORD-11034</t>
  </si>
  <si>
    <t>CUST-1303</t>
  </si>
  <si>
    <t>ORD-11035</t>
  </si>
  <si>
    <t>CUST-1114</t>
  </si>
  <si>
    <t>ORD-11036</t>
  </si>
  <si>
    <t>ORD-11037</t>
  </si>
  <si>
    <t>CUST-2274</t>
  </si>
  <si>
    <t>ORD-11038</t>
  </si>
  <si>
    <t>CUST-1006</t>
  </si>
  <si>
    <t>ORD-11039</t>
  </si>
  <si>
    <t>CUST-1730</t>
  </si>
  <si>
    <t>ORD-11040</t>
  </si>
  <si>
    <t>ORD-11041</t>
  </si>
  <si>
    <t>ORD-11042</t>
  </si>
  <si>
    <t>ORD-11043</t>
  </si>
  <si>
    <t>ORD-11044</t>
  </si>
  <si>
    <t>ORD-11045</t>
  </si>
  <si>
    <t>ORD-11046</t>
  </si>
  <si>
    <t>CUST-2147</t>
  </si>
  <si>
    <t>ORD-11047</t>
  </si>
  <si>
    <t>CUST-1149</t>
  </si>
  <si>
    <t>ORD-11048</t>
  </si>
  <si>
    <t>ORD-11049</t>
  </si>
  <si>
    <t>ORD-11050</t>
  </si>
  <si>
    <t>CUST-2803</t>
  </si>
  <si>
    <t>ORD-11051</t>
  </si>
  <si>
    <t>ORD-11052</t>
  </si>
  <si>
    <t>ORD-11053</t>
  </si>
  <si>
    <t>ORD-11054</t>
  </si>
  <si>
    <t>CUST-1243</t>
  </si>
  <si>
    <t>ORD-11055</t>
  </si>
  <si>
    <t>CUST-2910</t>
  </si>
  <si>
    <t>ORD-11056</t>
  </si>
  <si>
    <t>CUST-2421</t>
  </si>
  <si>
    <t>ORD-11057</t>
  </si>
  <si>
    <t>ORD-11058</t>
  </si>
  <si>
    <t>ORD-11059</t>
  </si>
  <si>
    <t>CUST-2599</t>
  </si>
  <si>
    <t>ORD-11060</t>
  </si>
  <si>
    <t>ORD-11061</t>
  </si>
  <si>
    <t>CUST-1759</t>
  </si>
  <si>
    <t>ORD-11062</t>
  </si>
  <si>
    <t>ORD-11063</t>
  </si>
  <si>
    <t>ORD-11064</t>
  </si>
  <si>
    <t>CUST-1976</t>
  </si>
  <si>
    <t>ORD-11065</t>
  </si>
  <si>
    <t>ORD-11066</t>
  </si>
  <si>
    <t>ORD-11067</t>
  </si>
  <si>
    <t>CUST-2138</t>
  </si>
  <si>
    <t>ORD-11068</t>
  </si>
  <si>
    <t>CUST-2830</t>
  </si>
  <si>
    <t>ORD-11069</t>
  </si>
  <si>
    <t>ORD-11070</t>
  </si>
  <si>
    <t>CUST-1552</t>
  </si>
  <si>
    <t>ORD-11071</t>
  </si>
  <si>
    <t>CUST-2708</t>
  </si>
  <si>
    <t>ORD-11072</t>
  </si>
  <si>
    <t>CUST-2623</t>
  </si>
  <si>
    <t>ORD-11073</t>
  </si>
  <si>
    <t>CUST-1481</t>
  </si>
  <si>
    <t>ORD-11074</t>
  </si>
  <si>
    <t>ORD-11075</t>
  </si>
  <si>
    <t>ORD-11076</t>
  </si>
  <si>
    <t>CUST-1762</t>
  </si>
  <si>
    <t>ORD-11077</t>
  </si>
  <si>
    <t>ORD-11078</t>
  </si>
  <si>
    <t>CUST-1334</t>
  </si>
  <si>
    <t>ORD-11079</t>
  </si>
  <si>
    <t>CUST-1464</t>
  </si>
  <si>
    <t>ORD-11080</t>
  </si>
  <si>
    <t>CUST-2164</t>
  </si>
  <si>
    <t>ORD-11081</t>
  </si>
  <si>
    <t>ORD-11082</t>
  </si>
  <si>
    <t>CUST-1136</t>
  </si>
  <si>
    <t>ORD-11083</t>
  </si>
  <si>
    <t>ORD-11084</t>
  </si>
  <si>
    <t>ORD-11085</t>
  </si>
  <si>
    <t>CUST-2634</t>
  </si>
  <si>
    <t>ORD-11086</t>
  </si>
  <si>
    <t>CUST-2686</t>
  </si>
  <si>
    <t>ORD-11087</t>
  </si>
  <si>
    <t>ORD-11088</t>
  </si>
  <si>
    <t>CUST-1686</t>
  </si>
  <si>
    <t>ORD-11089</t>
  </si>
  <si>
    <t>CUST-1166</t>
  </si>
  <si>
    <t>ORD-11090</t>
  </si>
  <si>
    <t>ORD-11091</t>
  </si>
  <si>
    <t>CUST-2433</t>
  </si>
  <si>
    <t>ORD-11092</t>
  </si>
  <si>
    <t>CUST-2792</t>
  </si>
  <si>
    <t>ORD-11093</t>
  </si>
  <si>
    <t>CUST-1909</t>
  </si>
  <si>
    <t>ORD-11094</t>
  </si>
  <si>
    <t>ORD-11095</t>
  </si>
  <si>
    <t>CUST-1879</t>
  </si>
  <si>
    <t>ORD-11096</t>
  </si>
  <si>
    <t>ORD-11097</t>
  </si>
  <si>
    <t>ORD-11098</t>
  </si>
  <si>
    <t>ORD-11099</t>
  </si>
  <si>
    <t>ORD-11100</t>
  </si>
  <si>
    <t>CUST-1432</t>
  </si>
  <si>
    <t>ORD-11101</t>
  </si>
  <si>
    <t>CUST-2073</t>
  </si>
  <si>
    <t>ORD-11102</t>
  </si>
  <si>
    <t>CUST-2337</t>
  </si>
  <si>
    <t>ORD-11103</t>
  </si>
  <si>
    <t>ORD-11104</t>
  </si>
  <si>
    <t>ORD-11105</t>
  </si>
  <si>
    <t>ORD-11106</t>
  </si>
  <si>
    <t>ORD-11107</t>
  </si>
  <si>
    <t>ORD-11108</t>
  </si>
  <si>
    <t>CUST-2365</t>
  </si>
  <si>
    <t>ORD-11109</t>
  </si>
  <si>
    <t>CUST-2553</t>
  </si>
  <si>
    <t>ORD-11110</t>
  </si>
  <si>
    <t>CUST-2807</t>
  </si>
  <si>
    <t>ORD-11111</t>
  </si>
  <si>
    <t>CUST-1641</t>
  </si>
  <si>
    <t>ORD-11112</t>
  </si>
  <si>
    <t>CUST-1494</t>
  </si>
  <si>
    <t>ORD-11113</t>
  </si>
  <si>
    <t>ORD-11114</t>
  </si>
  <si>
    <t>CUST-1940</t>
  </si>
  <si>
    <t>ORD-11115</t>
  </si>
  <si>
    <t>ORD-11116</t>
  </si>
  <si>
    <t>CUST-2479</t>
  </si>
  <si>
    <t>ORD-11117</t>
  </si>
  <si>
    <t>ORD-11118</t>
  </si>
  <si>
    <t>ORD-11119</t>
  </si>
  <si>
    <t>ORD-11120</t>
  </si>
  <si>
    <t>CUST-1201</t>
  </si>
  <si>
    <t>ORD-11121</t>
  </si>
  <si>
    <t>CUST-2526</t>
  </si>
  <si>
    <t>ORD-11122</t>
  </si>
  <si>
    <t>CUST-2760</t>
  </si>
  <si>
    <t>ORD-11123</t>
  </si>
  <si>
    <t>ORD-11124</t>
  </si>
  <si>
    <t>ORD-11125</t>
  </si>
  <si>
    <t>ORD-11126</t>
  </si>
  <si>
    <t>CUST-2508</t>
  </si>
  <si>
    <t>ORD-11127</t>
  </si>
  <si>
    <t>CUST-2608</t>
  </si>
  <si>
    <t>ORD-11128</t>
  </si>
  <si>
    <t>CUST-1559</t>
  </si>
  <si>
    <t>ORD-11129</t>
  </si>
  <si>
    <t>ORD-11130</t>
  </si>
  <si>
    <t>CUST-1477</t>
  </si>
  <si>
    <t>ORD-11131</t>
  </si>
  <si>
    <t>CUST-1487</t>
  </si>
  <si>
    <t>ORD-11132</t>
  </si>
  <si>
    <t>ORD-11133</t>
  </si>
  <si>
    <t>CUST-1778</t>
  </si>
  <si>
    <t>ORD-11134</t>
  </si>
  <si>
    <t>CUST-2469</t>
  </si>
  <si>
    <t>ORD-11135</t>
  </si>
  <si>
    <t>CUST-1339</t>
  </si>
  <si>
    <t>ORD-11136</t>
  </si>
  <si>
    <t>CUST-2554</t>
  </si>
  <si>
    <t>ORD-11137</t>
  </si>
  <si>
    <t>CUST-1611</t>
  </si>
  <si>
    <t>ORD-11138</t>
  </si>
  <si>
    <t>CUST-1115</t>
  </si>
  <si>
    <t>ORD-11139</t>
  </si>
  <si>
    <t>CUST-2881</t>
  </si>
  <si>
    <t>ORD-11140</t>
  </si>
  <si>
    <t>CUST-1073</t>
  </si>
  <si>
    <t>ORD-11141</t>
  </si>
  <si>
    <t>CUST-2815</t>
  </si>
  <si>
    <t>ORD-11142</t>
  </si>
  <si>
    <t>ORD-11143</t>
  </si>
  <si>
    <t>ORD-11144</t>
  </si>
  <si>
    <t>ORD-11145</t>
  </si>
  <si>
    <t>CUST-2709</t>
  </si>
  <si>
    <t>ORD-11146</t>
  </si>
  <si>
    <t>CUST-2716</t>
  </si>
  <si>
    <t>ORD-11147</t>
  </si>
  <si>
    <t>CUST-2761</t>
  </si>
  <si>
    <t>ORD-11148</t>
  </si>
  <si>
    <t>CUST-2692</t>
  </si>
  <si>
    <t>ORD-11149</t>
  </si>
  <si>
    <t>CUST-2187</t>
  </si>
  <si>
    <t>ORD-11150</t>
  </si>
  <si>
    <t>CUST-2606</t>
  </si>
  <si>
    <t>ORD-11151</t>
  </si>
  <si>
    <t>CUST-2245</t>
  </si>
  <si>
    <t>ORD-11152</t>
  </si>
  <si>
    <t>ORD-11153</t>
  </si>
  <si>
    <t>CUST-1656</t>
  </si>
  <si>
    <t>ORD-11154</t>
  </si>
  <si>
    <t>CUST-2199</t>
  </si>
  <si>
    <t>ORD-11155</t>
  </si>
  <si>
    <t>CUST-2996</t>
  </si>
  <si>
    <t>ORD-11156</t>
  </si>
  <si>
    <t>CUST-1663</t>
  </si>
  <si>
    <t>ORD-11157</t>
  </si>
  <si>
    <t>ORD-11158</t>
  </si>
  <si>
    <t>CUST-2398</t>
  </si>
  <si>
    <t>ORD-11159</t>
  </si>
  <si>
    <t>ORD-11160</t>
  </si>
  <si>
    <t>CUST-2017</t>
  </si>
  <si>
    <t>ORD-11161</t>
  </si>
  <si>
    <t>CUST-1858</t>
  </si>
  <si>
    <t>ORD-11162</t>
  </si>
  <si>
    <t>CUST-2521</t>
  </si>
  <si>
    <t>ORD-11163</t>
  </si>
  <si>
    <t>CUST-1084</t>
  </si>
  <si>
    <t>ORD-11164</t>
  </si>
  <si>
    <t>CUST-2899</t>
  </si>
  <si>
    <t>ORD-11165</t>
  </si>
  <si>
    <t>CUST-2406</t>
  </si>
  <si>
    <t>ORD-11166</t>
  </si>
  <si>
    <t>CUST-1632</t>
  </si>
  <si>
    <t>ORD-11167</t>
  </si>
  <si>
    <t>ORD-11168</t>
  </si>
  <si>
    <t>ORD-11169</t>
  </si>
  <si>
    <t>CUST-1450</t>
  </si>
  <si>
    <t>ORD-11170</t>
  </si>
  <si>
    <t>ORD-11171</t>
  </si>
  <si>
    <t>CUST-1845</t>
  </si>
  <si>
    <t>ORD-11172</t>
  </si>
  <si>
    <t>CUST-1694</t>
  </si>
  <si>
    <t>ORD-11173</t>
  </si>
  <si>
    <t>ORD-11174</t>
  </si>
  <si>
    <t>CUST-1928</t>
  </si>
  <si>
    <t>ORD-11175</t>
  </si>
  <si>
    <t>ORD-11176</t>
  </si>
  <si>
    <t>ORD-11177</t>
  </si>
  <si>
    <t>ORD-11178</t>
  </si>
  <si>
    <t>CUST-2241</t>
  </si>
  <si>
    <t>ORD-11179</t>
  </si>
  <si>
    <t>CUST-2742</t>
  </si>
  <si>
    <t>ORD-11180</t>
  </si>
  <si>
    <t>ORD-11181</t>
  </si>
  <si>
    <t>ORD-11182</t>
  </si>
  <si>
    <t>ORD-11183</t>
  </si>
  <si>
    <t>CUST-2590</t>
  </si>
  <si>
    <t>ORD-11184</t>
  </si>
  <si>
    <t>ORD-11185</t>
  </si>
  <si>
    <t>CUST-2490</t>
  </si>
  <si>
    <t>ORD-11186</t>
  </si>
  <si>
    <t>ORD-11187</t>
  </si>
  <si>
    <t>CUST-1739</t>
  </si>
  <si>
    <t>ORD-11188</t>
  </si>
  <si>
    <t>ORD-11189</t>
  </si>
  <si>
    <t>ORD-11190</t>
  </si>
  <si>
    <t>CUST-1307</t>
  </si>
  <si>
    <t>ORD-11191</t>
  </si>
  <si>
    <t>CUST-1433</t>
  </si>
  <si>
    <t>ORD-11192</t>
  </si>
  <si>
    <t>ORD-11193</t>
  </si>
  <si>
    <t>CUST-1163</t>
  </si>
  <si>
    <t>ORD-11194</t>
  </si>
  <si>
    <t>ORD-11195</t>
  </si>
  <si>
    <t>CUST-2340</t>
  </si>
  <si>
    <t>ORD-11196</t>
  </si>
  <si>
    <t>ORD-11197</t>
  </si>
  <si>
    <t>CUST-1655</t>
  </si>
  <si>
    <t>ORD-11198</t>
  </si>
  <si>
    <t>CUST-2358</t>
  </si>
  <si>
    <t>ORD-11199</t>
  </si>
  <si>
    <t>CUST-1017</t>
  </si>
  <si>
    <t>ORD-11200</t>
  </si>
  <si>
    <t>ORD-11201</t>
  </si>
  <si>
    <t>CUST-2198</t>
  </si>
  <si>
    <t>ORD-11202</t>
  </si>
  <si>
    <t>CUST-2877</t>
  </si>
  <si>
    <t>ORD-11203</t>
  </si>
  <si>
    <t>ORD-11204</t>
  </si>
  <si>
    <t>ORD-11205</t>
  </si>
  <si>
    <t>ORD-11206</t>
  </si>
  <si>
    <t>ORD-11207</t>
  </si>
  <si>
    <t>CUST-1247</t>
  </si>
  <si>
    <t>ORD-11208</t>
  </si>
  <si>
    <t>CUST-2216</t>
  </si>
  <si>
    <t>ORD-11209</t>
  </si>
  <si>
    <t>ORD-11210</t>
  </si>
  <si>
    <t>CUST-2348</t>
  </si>
  <si>
    <t>ORD-11211</t>
  </si>
  <si>
    <t>CUST-1305</t>
  </si>
  <si>
    <t>ORD-11212</t>
  </si>
  <si>
    <t>ORD-11213</t>
  </si>
  <si>
    <t>CUST-1203</t>
  </si>
  <si>
    <t>ORD-11214</t>
  </si>
  <si>
    <t>CUST-1852</t>
  </si>
  <si>
    <t>ORD-11215</t>
  </si>
  <si>
    <t>CUST-2146</t>
  </si>
  <si>
    <t>ORD-11216</t>
  </si>
  <si>
    <t>CUST-2593</t>
  </si>
  <si>
    <t>ORD-11217</t>
  </si>
  <si>
    <t>CUST-2874</t>
  </si>
  <si>
    <t>ORD-11218</t>
  </si>
  <si>
    <t>CUST-1446</t>
  </si>
  <si>
    <t>ORD-11219</t>
  </si>
  <si>
    <t>CUST-1712</t>
  </si>
  <si>
    <t>ORD-11220</t>
  </si>
  <si>
    <t>CUST-2514</t>
  </si>
  <si>
    <t>ORD-11221</t>
  </si>
  <si>
    <t>ORD-11222</t>
  </si>
  <si>
    <t>ORD-11223</t>
  </si>
  <si>
    <t>ORD-11224</t>
  </si>
  <si>
    <t>ORD-11225</t>
  </si>
  <si>
    <t>CUST-2769</t>
  </si>
  <si>
    <t>ORD-11226</t>
  </si>
  <si>
    <t>ORD-11227</t>
  </si>
  <si>
    <t>ORD-11228</t>
  </si>
  <si>
    <t>CUST-1504</t>
  </si>
  <si>
    <t>ORD-11229</t>
  </si>
  <si>
    <t>ORD-11230</t>
  </si>
  <si>
    <t>CUST-2439</t>
  </si>
  <si>
    <t>ORD-11231</t>
  </si>
  <si>
    <t>ORD-11232</t>
  </si>
  <si>
    <t>ORD-11233</t>
  </si>
  <si>
    <t>ORD-11234</t>
  </si>
  <si>
    <t>CUST-1635</t>
  </si>
  <si>
    <t>ORD-11235</t>
  </si>
  <si>
    <t>ORD-11236</t>
  </si>
  <si>
    <t>ORD-11237</t>
  </si>
  <si>
    <t>CUST-1671</t>
  </si>
  <si>
    <t>ORD-11238</t>
  </si>
  <si>
    <t>ORD-11239</t>
  </si>
  <si>
    <t>CUST-1932</t>
  </si>
  <si>
    <t>ORD-11240</t>
  </si>
  <si>
    <t>CUST-1095</t>
  </si>
  <si>
    <t>ORD-11241</t>
  </si>
  <si>
    <t>ORD-11242</t>
  </si>
  <si>
    <t>ORD-11243</t>
  </si>
  <si>
    <t>ORD-11244</t>
  </si>
  <si>
    <t>ORD-11245</t>
  </si>
  <si>
    <t>ORD-11246</t>
  </si>
  <si>
    <t>CUST-2949</t>
  </si>
  <si>
    <t>ORD-11247</t>
  </si>
  <si>
    <t>ORD-11248</t>
  </si>
  <si>
    <t>CUST-1031</t>
  </si>
  <si>
    <t>ORD-11249</t>
  </si>
  <si>
    <t>ORD-11250</t>
  </si>
  <si>
    <t>CUST-1065</t>
  </si>
  <si>
    <t>ORD-11251</t>
  </si>
  <si>
    <t>ORD-11252</t>
  </si>
  <si>
    <t>ORD-11253</t>
  </si>
  <si>
    <t>CUST-2466</t>
  </si>
  <si>
    <t>ORD-11254</t>
  </si>
  <si>
    <t>ORD-11255</t>
  </si>
  <si>
    <t>CUST-1548</t>
  </si>
  <si>
    <t>ORD-11256</t>
  </si>
  <si>
    <t>ORD-11257</t>
  </si>
  <si>
    <t>ORD-11258</t>
  </si>
  <si>
    <t>CUST-1048</t>
  </si>
  <si>
    <t>ORD-11259</t>
  </si>
  <si>
    <t>ORD-11260</t>
  </si>
  <si>
    <t>ORD-11261</t>
  </si>
  <si>
    <t>CUST-2703</t>
  </si>
  <si>
    <t>ORD-11262</t>
  </si>
  <si>
    <t>ORD-11263</t>
  </si>
  <si>
    <t>CUST-2156</t>
  </si>
  <si>
    <t>ORD-11264</t>
  </si>
  <si>
    <t>CUST-2833</t>
  </si>
  <si>
    <t>ORD-11265</t>
  </si>
  <si>
    <t>CUST-1343</t>
  </si>
  <si>
    <t>ORD-11266</t>
  </si>
  <si>
    <t>ORD-11267</t>
  </si>
  <si>
    <t>CUST-2414</t>
  </si>
  <si>
    <t>ORD-11268</t>
  </si>
  <si>
    <t>ORD-11269</t>
  </si>
  <si>
    <t>ORD-11270</t>
  </si>
  <si>
    <t>CUST-1944</t>
  </si>
  <si>
    <t>ORD-11271</t>
  </si>
  <si>
    <t>CUST-1925</t>
  </si>
  <si>
    <t>ORD-11272</t>
  </si>
  <si>
    <t>CUST-2832</t>
  </si>
  <si>
    <t>ORD-11273</t>
  </si>
  <si>
    <t>ORD-11274</t>
  </si>
  <si>
    <t>ORD-11275</t>
  </si>
  <si>
    <t>CUST-1807</t>
  </si>
  <si>
    <t>ORD-11276</t>
  </si>
  <si>
    <t>CUST-2330</t>
  </si>
  <si>
    <t>ORD-11277</t>
  </si>
  <si>
    <t>ORD-11278</t>
  </si>
  <si>
    <t>ORD-11279</t>
  </si>
  <si>
    <t>ORD-11280</t>
  </si>
  <si>
    <t>CUST-2787</t>
  </si>
  <si>
    <t>ORD-11281</t>
  </si>
  <si>
    <t>CUST-1198</t>
  </si>
  <si>
    <t>ORD-11282</t>
  </si>
  <si>
    <t>ORD-11283</t>
  </si>
  <si>
    <t>ORD-11284</t>
  </si>
  <si>
    <t>CUST-1108</t>
  </si>
  <si>
    <t>ORD-11285</t>
  </si>
  <si>
    <t>CUST-2314</t>
  </si>
  <si>
    <t>ORD-11286</t>
  </si>
  <si>
    <t>CUST-1107</t>
  </si>
  <si>
    <t>ORD-11287</t>
  </si>
  <si>
    <t>CUST-2431</t>
  </si>
  <si>
    <t>ORD-11288</t>
  </si>
  <si>
    <t>CUST-1551</t>
  </si>
  <si>
    <t>ORD-11289</t>
  </si>
  <si>
    <t>CUST-1972</t>
  </si>
  <si>
    <t>ORD-11290</t>
  </si>
  <si>
    <t>CUST-1051</t>
  </si>
  <si>
    <t>ORD-11291</t>
  </si>
  <si>
    <t>ORD-11292</t>
  </si>
  <si>
    <t>CUST-1294</t>
  </si>
  <si>
    <t>ORD-11293</t>
  </si>
  <si>
    <t>ORD-11294</t>
  </si>
  <si>
    <t>CUST-2212</t>
  </si>
  <si>
    <t>ORD-11295</t>
  </si>
  <si>
    <t>ORD-11296</t>
  </si>
  <si>
    <t>ORD-11297</t>
  </si>
  <si>
    <t>ORD-11298</t>
  </si>
  <si>
    <t>CUST-1573</t>
  </si>
  <si>
    <t>ORD-11299</t>
  </si>
  <si>
    <t>ORD-11300</t>
  </si>
  <si>
    <t>ORD-11301</t>
  </si>
  <si>
    <t>CUST-2669</t>
  </si>
  <si>
    <t>ORD-11302</t>
  </si>
  <si>
    <t>ORD-11303</t>
  </si>
  <si>
    <t>ORD-11304</t>
  </si>
  <si>
    <t>ORD-11305</t>
  </si>
  <si>
    <t>ORD-11306</t>
  </si>
  <si>
    <t>CUST-2706</t>
  </si>
  <si>
    <t>ORD-11307</t>
  </si>
  <si>
    <t>CUST-1209</t>
  </si>
  <si>
    <t>ORD-11308</t>
  </si>
  <si>
    <t>CUST-2831</t>
  </si>
  <si>
    <t>ORD-11309</t>
  </si>
  <si>
    <t>ORD-11310</t>
  </si>
  <si>
    <t>ORD-11311</t>
  </si>
  <si>
    <t>ORD-11312</t>
  </si>
  <si>
    <t>CUST-1237</t>
  </si>
  <si>
    <t>ORD-11313</t>
  </si>
  <si>
    <t>ORD-11314</t>
  </si>
  <si>
    <t>CUST-1062</t>
  </si>
  <si>
    <t>ORD-11315</t>
  </si>
  <si>
    <t>CUST-2983</t>
  </si>
  <si>
    <t>ORD-11316</t>
  </si>
  <si>
    <t>ORD-11317</t>
  </si>
  <si>
    <t>CUST-2931</t>
  </si>
  <si>
    <t>ORD-11318</t>
  </si>
  <si>
    <t>ORD-11319</t>
  </si>
  <si>
    <t>ORD-11320</t>
  </si>
  <si>
    <t>CUST-2564</t>
  </si>
  <si>
    <t>ORD-11321</t>
  </si>
  <si>
    <t>ORD-11322</t>
  </si>
  <si>
    <t>ORD-11323</t>
  </si>
  <si>
    <t>ORD-11324</t>
  </si>
  <si>
    <t>CUST-2074</t>
  </si>
  <si>
    <t>ORD-11325</t>
  </si>
  <si>
    <t>ORD-11326</t>
  </si>
  <si>
    <t>CUST-2896</t>
  </si>
  <si>
    <t>ORD-11327</t>
  </si>
  <si>
    <t>ORD-11328</t>
  </si>
  <si>
    <t>ORD-11329</t>
  </si>
  <si>
    <t>ORD-11330</t>
  </si>
  <si>
    <t>ORD-11331</t>
  </si>
  <si>
    <t>ORD-11332</t>
  </si>
  <si>
    <t>ORD-11333</t>
  </si>
  <si>
    <t>ORD-11334</t>
  </si>
  <si>
    <t>CUST-2480</t>
  </si>
  <si>
    <t>ORD-11335</t>
  </si>
  <si>
    <t>ORD-11336</t>
  </si>
  <si>
    <t>CUST-2517</t>
  </si>
  <si>
    <t>ORD-11337</t>
  </si>
  <si>
    <t>ORD-11338</t>
  </si>
  <si>
    <t>CUST-1332</t>
  </si>
  <si>
    <t>ORD-11339</t>
  </si>
  <si>
    <t>ORD-11340</t>
  </si>
  <si>
    <t>CUST-1173</t>
  </si>
  <si>
    <t>ORD-11341</t>
  </si>
  <si>
    <t>ORD-11342</t>
  </si>
  <si>
    <t>CUST-2236</t>
  </si>
  <si>
    <t>ORD-11343</t>
  </si>
  <si>
    <t>ORD-11344</t>
  </si>
  <si>
    <t>ORD-11345</t>
  </si>
  <si>
    <t>ORD-11346</t>
  </si>
  <si>
    <t>CUST-2755</t>
  </si>
  <si>
    <t>ORD-11347</t>
  </si>
  <si>
    <t>ORD-11348</t>
  </si>
  <si>
    <t>ORD-11349</t>
  </si>
  <si>
    <t>ORD-11350</t>
  </si>
  <si>
    <t>CUST-1523</t>
  </si>
  <si>
    <t>ORD-11351</t>
  </si>
  <si>
    <t>ORD-11352</t>
  </si>
  <si>
    <t>ORD-11353</t>
  </si>
  <si>
    <t>ORD-11354</t>
  </si>
  <si>
    <t>ORD-11355</t>
  </si>
  <si>
    <t>CUST-1577</t>
  </si>
  <si>
    <t>ORD-11356</t>
  </si>
  <si>
    <t>ORD-11357</t>
  </si>
  <si>
    <t>CUST-1422</t>
  </si>
  <si>
    <t>ORD-11358</t>
  </si>
  <si>
    <t>ORD-11359</t>
  </si>
  <si>
    <t>CUST-2446</t>
  </si>
  <si>
    <t>ORD-11360</t>
  </si>
  <si>
    <t>ORD-11361</t>
  </si>
  <si>
    <t>CUST-2229</t>
  </si>
  <si>
    <t>ORD-11362</t>
  </si>
  <si>
    <t>ORD-11363</t>
  </si>
  <si>
    <t>CUST-2128</t>
  </si>
  <si>
    <t>ORD-11364</t>
  </si>
  <si>
    <t>ORD-11365</t>
  </si>
  <si>
    <t>ORD-11366</t>
  </si>
  <si>
    <t>ORD-11367</t>
  </si>
  <si>
    <t>ORD-11368</t>
  </si>
  <si>
    <t>ORD-11369</t>
  </si>
  <si>
    <t>ORD-11370</t>
  </si>
  <si>
    <t>ORD-11371</t>
  </si>
  <si>
    <t>ORD-11372</t>
  </si>
  <si>
    <t>ORD-11373</t>
  </si>
  <si>
    <t>ORD-11374</t>
  </si>
  <si>
    <t>ORD-11375</t>
  </si>
  <si>
    <t>ORD-11376</t>
  </si>
  <si>
    <t>CUST-1780</t>
  </si>
  <si>
    <t>ORD-11377</t>
  </si>
  <si>
    <t>CUST-1483</t>
  </si>
  <si>
    <t>ORD-11378</t>
  </si>
  <si>
    <t>ORD-11379</t>
  </si>
  <si>
    <t>CUST-1383</t>
  </si>
  <si>
    <t>ORD-11380</t>
  </si>
  <si>
    <t>ORD-11381</t>
  </si>
  <si>
    <t>ORD-11382</t>
  </si>
  <si>
    <t>CUST-2020</t>
  </si>
  <si>
    <t>ORD-11383</t>
  </si>
  <si>
    <t>ORD-11384</t>
  </si>
  <si>
    <t>CUST-1868</t>
  </si>
  <si>
    <t>ORD-11385</t>
  </si>
  <si>
    <t>CUST-1322</t>
  </si>
  <si>
    <t>ORD-11386</t>
  </si>
  <si>
    <t>CUST-1847</t>
  </si>
  <si>
    <t>ORD-11387</t>
  </si>
  <si>
    <t>ORD-11388</t>
  </si>
  <si>
    <t>CUST-2255</t>
  </si>
  <si>
    <t>ORD-11389</t>
  </si>
  <si>
    <t>ORD-11390</t>
  </si>
  <si>
    <t>CUST-1358</t>
  </si>
  <si>
    <t>ORD-11391</t>
  </si>
  <si>
    <t>CUST-2298</t>
  </si>
  <si>
    <t>ORD-11392</t>
  </si>
  <si>
    <t>CUST-2965</t>
  </si>
  <si>
    <t>ORD-11393</t>
  </si>
  <si>
    <t>ORD-11394</t>
  </si>
  <si>
    <t>ORD-11395</t>
  </si>
  <si>
    <t>CUST-1176</t>
  </si>
  <si>
    <t>ORD-11396</t>
  </si>
  <si>
    <t>ORD-11397</t>
  </si>
  <si>
    <t>ORD-11398</t>
  </si>
  <si>
    <t>CUST-2733</t>
  </si>
  <si>
    <t>ORD-11399</t>
  </si>
  <si>
    <t>CUST-1026</t>
  </si>
  <si>
    <t>ORD-11400</t>
  </si>
  <si>
    <t>ORD-11401</t>
  </si>
  <si>
    <t>CUST-2838</t>
  </si>
  <si>
    <t>ORD-11402</t>
  </si>
  <si>
    <t>ORD-11403</t>
  </si>
  <si>
    <t>CUST-1267</t>
  </si>
  <si>
    <t>ORD-11404</t>
  </si>
  <si>
    <t>CUST-1596</t>
  </si>
  <si>
    <t>ORD-11405</t>
  </si>
  <si>
    <t>ORD-11406</t>
  </si>
  <si>
    <t>ORD-11407</t>
  </si>
  <si>
    <t>ORD-11408</t>
  </si>
  <si>
    <t>CUST-2928</t>
  </si>
  <si>
    <t>ORD-11409</t>
  </si>
  <si>
    <t>ORD-11410</t>
  </si>
  <si>
    <t>ORD-11411</t>
  </si>
  <si>
    <t>CUST-1081</t>
  </si>
  <si>
    <t>ORD-11412</t>
  </si>
  <si>
    <t>CUST-2916</t>
  </si>
  <si>
    <t>ORD-11413</t>
  </si>
  <si>
    <t>CUST-2854</t>
  </si>
  <si>
    <t>ORD-11414</t>
  </si>
  <si>
    <t>CUST-1981</t>
  </si>
  <si>
    <t>ORD-11415</t>
  </si>
  <si>
    <t>CUST-2351</t>
  </si>
  <si>
    <t>ORD-11416</t>
  </si>
  <si>
    <t>CUST-2121</t>
  </si>
  <si>
    <t>ORD-11417</t>
  </si>
  <si>
    <t>CUST-1584</t>
  </si>
  <si>
    <t>ORD-11418</t>
  </si>
  <si>
    <t>CUST-1326</t>
  </si>
  <si>
    <t>ORD-11419</t>
  </si>
  <si>
    <t>ORD-11420</t>
  </si>
  <si>
    <t>ORD-11421</t>
  </si>
  <si>
    <t>ORD-11422</t>
  </si>
  <si>
    <t>ORD-11423</t>
  </si>
  <si>
    <t>CUST-2748</t>
  </si>
  <si>
    <t>ORD-11424</t>
  </si>
  <si>
    <t>ORD-11425</t>
  </si>
  <si>
    <t>ORD-11426</t>
  </si>
  <si>
    <t>CUST-1156</t>
  </si>
  <si>
    <t>ORD-11427</t>
  </si>
  <si>
    <t>ORD-11428</t>
  </si>
  <si>
    <t>ORD-11429</t>
  </si>
  <si>
    <t>ORD-11430</t>
  </si>
  <si>
    <t>CUST-1381</t>
  </si>
  <si>
    <t>ORD-11431</t>
  </si>
  <si>
    <t>CUST-2045</t>
  </si>
  <si>
    <t>ORD-11432</t>
  </si>
  <si>
    <t>ORD-11433</t>
  </si>
  <si>
    <t>ORD-11434</t>
  </si>
  <si>
    <t>CUST-1594</t>
  </si>
  <si>
    <t>ORD-11435</t>
  </si>
  <si>
    <t>ORD-11436</t>
  </si>
  <si>
    <t>CUST-1471</t>
  </si>
  <si>
    <t>ORD-11437</t>
  </si>
  <si>
    <t>ORD-11438</t>
  </si>
  <si>
    <t>ORD-11439</t>
  </si>
  <si>
    <t>CUST-2477</t>
  </si>
  <si>
    <t>ORD-11440</t>
  </si>
  <si>
    <t>CUST-2723</t>
  </si>
  <si>
    <t>ORD-11441</t>
  </si>
  <si>
    <t>ORD-11442</t>
  </si>
  <si>
    <t>CUST-1770</t>
  </si>
  <si>
    <t>ORD-11443</t>
  </si>
  <si>
    <t>ORD-11444</t>
  </si>
  <si>
    <t>ORD-11445</t>
  </si>
  <si>
    <t>ORD-11446</t>
  </si>
  <si>
    <t>CUST-1001</t>
  </si>
  <si>
    <t>ORD-11447</t>
  </si>
  <si>
    <t>ORD-11448</t>
  </si>
  <si>
    <t>ORD-11449</t>
  </si>
  <si>
    <t>CUST-2166</t>
  </si>
  <si>
    <t>ORD-11450</t>
  </si>
  <si>
    <t>CUST-1699</t>
  </si>
  <si>
    <t>ORD-11451</t>
  </si>
  <si>
    <t>CUST-1863</t>
  </si>
  <si>
    <t>ORD-11452</t>
  </si>
  <si>
    <t>ORD-11453</t>
  </si>
  <si>
    <t>CUST-1959</t>
  </si>
  <si>
    <t>ORD-11454</t>
  </si>
  <si>
    <t>CUST-1993</t>
  </si>
  <si>
    <t>ORD-11455</t>
  </si>
  <si>
    <t>ORD-11456</t>
  </si>
  <si>
    <t>CUST-2009</t>
  </si>
  <si>
    <t>ORD-11457</t>
  </si>
  <si>
    <t>ORD-11458</t>
  </si>
  <si>
    <t>CUST-1691</t>
  </si>
  <si>
    <t>ORD-11459</t>
  </si>
  <si>
    <t>CUST-2558</t>
  </si>
  <si>
    <t>ORD-11460</t>
  </si>
  <si>
    <t>CUST-1866</t>
  </si>
  <si>
    <t>ORD-11461</t>
  </si>
  <si>
    <t>CUST-2060</t>
  </si>
  <si>
    <t>ORD-11462</t>
  </si>
  <si>
    <t>ORD-11463</t>
  </si>
  <si>
    <t>ORD-11464</t>
  </si>
  <si>
    <t>CUST-2764</t>
  </si>
  <si>
    <t>ORD-11465</t>
  </si>
  <si>
    <t>ORD-11466</t>
  </si>
  <si>
    <t>ORD-11467</t>
  </si>
  <si>
    <t>ORD-11468</t>
  </si>
  <si>
    <t>CUST-2133</t>
  </si>
  <si>
    <t>ORD-11469</t>
  </si>
  <si>
    <t>ORD-11470</t>
  </si>
  <si>
    <t>ORD-11471</t>
  </si>
  <si>
    <t>ORD-11472</t>
  </si>
  <si>
    <t>CUST-2837</t>
  </si>
  <si>
    <t>ORD-11473</t>
  </si>
  <si>
    <t>ORD-11474</t>
  </si>
  <si>
    <t>ORD-11475</t>
  </si>
  <si>
    <t>CUST-1869</t>
  </si>
  <si>
    <t>ORD-11476</t>
  </si>
  <si>
    <t>ORD-11477</t>
  </si>
  <si>
    <t>ORD-11478</t>
  </si>
  <si>
    <t>CUST-1018</t>
  </si>
  <si>
    <t>ORD-11479</t>
  </si>
  <si>
    <t>ORD-11480</t>
  </si>
  <si>
    <t>ORD-11481</t>
  </si>
  <si>
    <t>ORD-11482</t>
  </si>
  <si>
    <t>CUST-2284</t>
  </si>
  <si>
    <t>ORD-11483</t>
  </si>
  <si>
    <t>ORD-11484</t>
  </si>
  <si>
    <t>CUST-1409</t>
  </si>
  <si>
    <t>ORD-11485</t>
  </si>
  <si>
    <t>CUST-2426</t>
  </si>
  <si>
    <t>ORD-11486</t>
  </si>
  <si>
    <t>ORD-11487</t>
  </si>
  <si>
    <t>ORD-11488</t>
  </si>
  <si>
    <t>CUST-2327</t>
  </si>
  <si>
    <t>ORD-11489</t>
  </si>
  <si>
    <t>ORD-11490</t>
  </si>
  <si>
    <t>ORD-11491</t>
  </si>
  <si>
    <t>CUST-1767</t>
  </si>
  <si>
    <t>ORD-11492</t>
  </si>
  <si>
    <t>ORD-11493</t>
  </si>
  <si>
    <t>ORD-11494</t>
  </si>
  <si>
    <t>ORD-11495</t>
  </si>
  <si>
    <t>CUST-1404</t>
  </si>
  <si>
    <t>ORD-11496</t>
  </si>
  <si>
    <t>ORD-11497</t>
  </si>
  <si>
    <t>CUST-2920</t>
  </si>
  <si>
    <t>ORD-11498</t>
  </si>
  <si>
    <t>CUST-2154</t>
  </si>
  <si>
    <t>ORD-11499</t>
  </si>
  <si>
    <t>CUST-1478</t>
  </si>
  <si>
    <t>ORD-11500</t>
  </si>
  <si>
    <t>CUST-2816</t>
  </si>
  <si>
    <t>ORD-11501</t>
  </si>
  <si>
    <t>CUST-2780</t>
  </si>
  <si>
    <t>ORD-11502</t>
  </si>
  <si>
    <t>CUST-1007</t>
  </si>
  <si>
    <t>ORD-11503</t>
  </si>
  <si>
    <t>CUST-1704</t>
  </si>
  <si>
    <t>ORD-11504</t>
  </si>
  <si>
    <t>CUST-2341</t>
  </si>
  <si>
    <t>ORD-11505</t>
  </si>
  <si>
    <t>ORD-11506</t>
  </si>
  <si>
    <t>CUST-2542</t>
  </si>
  <si>
    <t>ORD-11507</t>
  </si>
  <si>
    <t>CUST-2159</t>
  </si>
  <si>
    <t>ORD-11508</t>
  </si>
  <si>
    <t>ORD-11509</t>
  </si>
  <si>
    <t>ORD-11510</t>
  </si>
  <si>
    <t>CUST-2674</t>
  </si>
  <si>
    <t>ORD-11511</t>
  </si>
  <si>
    <t>CUST-2390</t>
  </si>
  <si>
    <t>ORD-11512</t>
  </si>
  <si>
    <t>CUST-2512</t>
  </si>
  <si>
    <t>ORD-11513</t>
  </si>
  <si>
    <t>CUST-1688</t>
  </si>
  <si>
    <t>ORD-11514</t>
  </si>
  <si>
    <t>CUST-2034</t>
  </si>
  <si>
    <t>ORD-11515</t>
  </si>
  <si>
    <t>ORD-11516</t>
  </si>
  <si>
    <t>ORD-11517</t>
  </si>
  <si>
    <t>CUST-2137</t>
  </si>
  <si>
    <t>ORD-11518</t>
  </si>
  <si>
    <t>ORD-11519</t>
  </si>
  <si>
    <t>CUST-1705</t>
  </si>
  <si>
    <t>ORD-11520</t>
  </si>
  <si>
    <t>CUST-1195</t>
  </si>
  <si>
    <t>ORD-11521</t>
  </si>
  <si>
    <t>CUST-1859</t>
  </si>
  <si>
    <t>ORD-11522</t>
  </si>
  <si>
    <t>ORD-11523</t>
  </si>
  <si>
    <t>ORD-11524</t>
  </si>
  <si>
    <t>CUST-2346</t>
  </si>
  <si>
    <t>ORD-11525</t>
  </si>
  <si>
    <t>ORD-11526</t>
  </si>
  <si>
    <t>CUST-2796</t>
  </si>
  <si>
    <t>ORD-11527</t>
  </si>
  <si>
    <t>CUST-2535</t>
  </si>
  <si>
    <t>ORD-11528</t>
  </si>
  <si>
    <t>ORD-11529</t>
  </si>
  <si>
    <t>CUST-1980</t>
  </si>
  <si>
    <t>ORD-11530</t>
  </si>
  <si>
    <t>CUST-2685</t>
  </si>
  <si>
    <t>ORD-11531</t>
  </si>
  <si>
    <t>ORD-11532</t>
  </si>
  <si>
    <t>CUST-2188</t>
  </si>
  <si>
    <t>ORD-11533</t>
  </si>
  <si>
    <t>ORD-11534</t>
  </si>
  <si>
    <t>ORD-11535</t>
  </si>
  <si>
    <t>CUST-1043</t>
  </si>
  <si>
    <t>ORD-11536</t>
  </si>
  <si>
    <t>CUST-2493</t>
  </si>
  <si>
    <t>ORD-11537</t>
  </si>
  <si>
    <t>ORD-11538</t>
  </si>
  <si>
    <t>CUST-1180</t>
  </si>
  <si>
    <t>ORD-11539</t>
  </si>
  <si>
    <t>ORD-11540</t>
  </si>
  <si>
    <t>ORD-11541</t>
  </si>
  <si>
    <t>ORD-11542</t>
  </si>
  <si>
    <t>CUST-1956</t>
  </si>
  <si>
    <t>ORD-11543</t>
  </si>
  <si>
    <t>CUST-1066</t>
  </si>
  <si>
    <t>ORD-11544</t>
  </si>
  <si>
    <t>CUST-2548</t>
  </si>
  <si>
    <t>ORD-11545</t>
  </si>
  <si>
    <t>CUST-2115</t>
  </si>
  <si>
    <t>ORD-11546</t>
  </si>
  <si>
    <t>ORD-11547</t>
  </si>
  <si>
    <t>ORD-11548</t>
  </si>
  <si>
    <t>ORD-11549</t>
  </si>
  <si>
    <t>ORD-11550</t>
  </si>
  <si>
    <t>CUST-2267</t>
  </si>
  <si>
    <t>ORD-11551</t>
  </si>
  <si>
    <t>CUST-1340</t>
  </si>
  <si>
    <t>ORD-11552</t>
  </si>
  <si>
    <t>CUST-1902</t>
  </si>
  <si>
    <t>ORD-11553</t>
  </si>
  <si>
    <t>CUST-2808</t>
  </si>
  <si>
    <t>ORD-11554</t>
  </si>
  <si>
    <t>ORD-11555</t>
  </si>
  <si>
    <t>CUST-1397</t>
  </si>
  <si>
    <t>ORD-11556</t>
  </si>
  <si>
    <t>CUST-1702</t>
  </si>
  <si>
    <t>ORD-11557</t>
  </si>
  <si>
    <t>CUST-2471</t>
  </si>
  <si>
    <t>ORD-11558</t>
  </si>
  <si>
    <t>ORD-11559</t>
  </si>
  <si>
    <t>ORD-11560</t>
  </si>
  <si>
    <t>CUST-2228</t>
  </si>
  <si>
    <t>ORD-11561</t>
  </si>
  <si>
    <t>ORD-11562</t>
  </si>
  <si>
    <t>CUST-2441</t>
  </si>
  <si>
    <t>ORD-11563</t>
  </si>
  <si>
    <t>ORD-11564</t>
  </si>
  <si>
    <t>ORD-11565</t>
  </si>
  <si>
    <t>ORD-11566</t>
  </si>
  <si>
    <t>ORD-11567</t>
  </si>
  <si>
    <t>CUST-1797</t>
  </si>
  <si>
    <t>ORD-11568</t>
  </si>
  <si>
    <t>CUST-2448</t>
  </si>
  <si>
    <t>ORD-11569</t>
  </si>
  <si>
    <t>CUST-2452</t>
  </si>
  <si>
    <t>ORD-11570</t>
  </si>
  <si>
    <t>ORD-11571</t>
  </si>
  <si>
    <t>ORD-11572</t>
  </si>
  <si>
    <t>CUST-2021</t>
  </si>
  <si>
    <t>ORD-11573</t>
  </si>
  <si>
    <t>ORD-11574</t>
  </si>
  <si>
    <t>CUST-1653</t>
  </si>
  <si>
    <t>ORD-11575</t>
  </si>
  <si>
    <t>CUST-2277</t>
  </si>
  <si>
    <t>ORD-11576</t>
  </si>
  <si>
    <t>CUST-2583</t>
  </si>
  <si>
    <t>ORD-11577</t>
  </si>
  <si>
    <t>CUST-2278</t>
  </si>
  <si>
    <t>ORD-11578</t>
  </si>
  <si>
    <t>CUST-1645</t>
  </si>
  <si>
    <t>ORD-11579</t>
  </si>
  <si>
    <t>ORD-11580</t>
  </si>
  <si>
    <t>ORD-11581</t>
  </si>
  <si>
    <t>ORD-11582</t>
  </si>
  <si>
    <t>CUST-1612</t>
  </si>
  <si>
    <t>ORD-11583</t>
  </si>
  <si>
    <t>ORD-11584</t>
  </si>
  <si>
    <t>ORD-11585</t>
  </si>
  <si>
    <t>ORD-11586</t>
  </si>
  <si>
    <t>CUST-2605</t>
  </si>
  <si>
    <t>ORD-11587</t>
  </si>
  <si>
    <t>CUST-1647</t>
  </si>
  <si>
    <t>ORD-11588</t>
  </si>
  <si>
    <t>CUST-1791</t>
  </si>
  <si>
    <t>ORD-11589</t>
  </si>
  <si>
    <t>CUST-1578</t>
  </si>
  <si>
    <t>ORD-11590</t>
  </si>
  <si>
    <t>CUST-2027</t>
  </si>
  <si>
    <t>ORD-11591</t>
  </si>
  <si>
    <t>ORD-11592</t>
  </si>
  <si>
    <t>ORD-11593</t>
  </si>
  <si>
    <t>CUST-2313</t>
  </si>
  <si>
    <t>ORD-11594</t>
  </si>
  <si>
    <t>ORD-11595</t>
  </si>
  <si>
    <t>ORD-11596</t>
  </si>
  <si>
    <t>ORD-11597</t>
  </si>
  <si>
    <t>ORD-11598</t>
  </si>
  <si>
    <t>ORD-11599</t>
  </si>
  <si>
    <t>ORD-11600</t>
  </si>
  <si>
    <t>CUST-2457</t>
  </si>
  <si>
    <t>ORD-11601</t>
  </si>
  <si>
    <t>ORD-11602</t>
  </si>
  <si>
    <t>CUST-1885</t>
  </si>
  <si>
    <t>ORD-11603</t>
  </si>
  <si>
    <t>ORD-11604</t>
  </si>
  <si>
    <t>CUST-1943</t>
  </si>
  <si>
    <t>ORD-11605</t>
  </si>
  <si>
    <t>ORD-11606</t>
  </si>
  <si>
    <t>CUST-1261</t>
  </si>
  <si>
    <t>ORD-11607</t>
  </si>
  <si>
    <t>CUST-1727</t>
  </si>
  <si>
    <t>ORD-11608</t>
  </si>
  <si>
    <t>ORD-11609</t>
  </si>
  <si>
    <t>CUST-1151</t>
  </si>
  <si>
    <t>ORD-11610</t>
  </si>
  <si>
    <t>ORD-11611</t>
  </si>
  <si>
    <t>ORD-11612</t>
  </si>
  <si>
    <t>ORD-11613</t>
  </si>
  <si>
    <t>CUST-1862</t>
  </si>
  <si>
    <t>ORD-11614</t>
  </si>
  <si>
    <t>CUST-1622</t>
  </si>
  <si>
    <t>ORD-11615</t>
  </si>
  <si>
    <t>CUST-2977</t>
  </si>
  <si>
    <t>ORD-11616</t>
  </si>
  <si>
    <t>CUST-1360</t>
  </si>
  <si>
    <t>ORD-11617</t>
  </si>
  <si>
    <t>CUST-1319</t>
  </si>
  <si>
    <t>ORD-11618</t>
  </si>
  <si>
    <t>ORD-11619</t>
  </si>
  <si>
    <t>ORD-11620</t>
  </si>
  <si>
    <t>ORD-11621</t>
  </si>
  <si>
    <t>ORD-11622</t>
  </si>
  <si>
    <t>CUST-2419</t>
  </si>
  <si>
    <t>ORD-11623</t>
  </si>
  <si>
    <t>ORD-11624</t>
  </si>
  <si>
    <t>ORD-11625</t>
  </si>
  <si>
    <t>ORD-11626</t>
  </si>
  <si>
    <t>CUST-2895</t>
  </si>
  <si>
    <t>ORD-11627</t>
  </si>
  <si>
    <t>CUST-1600</t>
  </si>
  <si>
    <t>ORD-11628</t>
  </si>
  <si>
    <t>ORD-11629</t>
  </si>
  <si>
    <t>CUST-2984</t>
  </si>
  <si>
    <t>ORD-11630</t>
  </si>
  <si>
    <t>CUST-1877</t>
  </si>
  <si>
    <t>ORD-11631</t>
  </si>
  <si>
    <t>CUST-2487</t>
  </si>
  <si>
    <t>ORD-11632</t>
  </si>
  <si>
    <t>ORD-11633</t>
  </si>
  <si>
    <t>ORD-11634</t>
  </si>
  <si>
    <t>CUST-1451</t>
  </si>
  <si>
    <t>ORD-11635</t>
  </si>
  <si>
    <t>ORD-11636</t>
  </si>
  <si>
    <t>ORD-11637</t>
  </si>
  <si>
    <t>CUST-2774</t>
  </si>
  <si>
    <t>ORD-11638</t>
  </si>
  <si>
    <t>CUST-1475</t>
  </si>
  <si>
    <t>ORD-11639</t>
  </si>
  <si>
    <t>CUST-1255</t>
  </si>
  <si>
    <t>ORD-11640</t>
  </si>
  <si>
    <t>ORD-11641</t>
  </si>
  <si>
    <t>ORD-11642</t>
  </si>
  <si>
    <t>ORD-11643</t>
  </si>
  <si>
    <t>ORD-11644</t>
  </si>
  <si>
    <t>CUST-1479</t>
  </si>
  <si>
    <t>ORD-11645</t>
  </si>
  <si>
    <t>CUST-1992</t>
  </si>
  <si>
    <t>ORD-11646</t>
  </si>
  <si>
    <t>ORD-11647</t>
  </si>
  <si>
    <t>CUST-1922</t>
  </si>
  <si>
    <t>ORD-11648</t>
  </si>
  <si>
    <t>CUST-1401</t>
  </si>
  <si>
    <t>ORD-11649</t>
  </si>
  <si>
    <t>ORD-11650</t>
  </si>
  <si>
    <t>CUST-1844</t>
  </si>
  <si>
    <t>ORD-11651</t>
  </si>
  <si>
    <t>CUST-2981</t>
  </si>
  <si>
    <t>ORD-11652</t>
  </si>
  <si>
    <t>CUST-2933</t>
  </si>
  <si>
    <t>ORD-11653</t>
  </si>
  <si>
    <t>ORD-11654</t>
  </si>
  <si>
    <t>ORD-11655</t>
  </si>
  <si>
    <t>CUST-2265</t>
  </si>
  <si>
    <t>ORD-11656</t>
  </si>
  <si>
    <t>CUST-2140</t>
  </si>
  <si>
    <t>ORD-11657</t>
  </si>
  <si>
    <t>ORD-11658</t>
  </si>
  <si>
    <t>ORD-11659</t>
  </si>
  <si>
    <t>ORD-11660</t>
  </si>
  <si>
    <t>ORD-11661</t>
  </si>
  <si>
    <t>CUST-1223</t>
  </si>
  <si>
    <t>ORD-11662</t>
  </si>
  <si>
    <t>CUST-2293</t>
  </si>
  <si>
    <t>ORD-11663</t>
  </si>
  <si>
    <t>ORD-11664</t>
  </si>
  <si>
    <t>CUST-2884</t>
  </si>
  <si>
    <t>ORD-11665</t>
  </si>
  <si>
    <t>ORD-11666</t>
  </si>
  <si>
    <t>ORD-11667</t>
  </si>
  <si>
    <t>CUST-2464</t>
  </si>
  <si>
    <t>ORD-11668</t>
  </si>
  <si>
    <t>CUST-1643</t>
  </si>
  <si>
    <t>ORD-11669</t>
  </si>
  <si>
    <t>ORD-11670</t>
  </si>
  <si>
    <t>CUST-2388</t>
  </si>
  <si>
    <t>ORD-11671</t>
  </si>
  <si>
    <t>ORD-11672</t>
  </si>
  <si>
    <t>ORD-11673</t>
  </si>
  <si>
    <t>ORD-11674</t>
  </si>
  <si>
    <t>ORD-11675</t>
  </si>
  <si>
    <t>ORD-11676</t>
  </si>
  <si>
    <t>CUST-1610</t>
  </si>
  <si>
    <t>ORD-11677</t>
  </si>
  <si>
    <t>CUST-1206</t>
  </si>
  <si>
    <t>ORD-11678</t>
  </si>
  <si>
    <t>ORD-11679</t>
  </si>
  <si>
    <t>CUST-2491</t>
  </si>
  <si>
    <t>ORD-11680</t>
  </si>
  <si>
    <t>ORD-11681</t>
  </si>
  <si>
    <t>ORD-11682</t>
  </si>
  <si>
    <t>ORD-11683</t>
  </si>
  <si>
    <t>CUST-1320</t>
  </si>
  <si>
    <t>ORD-11684</t>
  </si>
  <si>
    <t>CUST-1092</t>
  </si>
  <si>
    <t>ORD-11685</t>
  </si>
  <si>
    <t>ORD-11686</t>
  </si>
  <si>
    <t>CUST-2181</t>
  </si>
  <si>
    <t>ORD-11687</t>
  </si>
  <si>
    <t>CUST-1871</t>
  </si>
  <si>
    <t>ORD-11688</t>
  </si>
  <si>
    <t>CUST-1098</t>
  </si>
  <si>
    <t>ORD-11689</t>
  </si>
  <si>
    <t>CUST-1224</t>
  </si>
  <si>
    <t>ORD-11690</t>
  </si>
  <si>
    <t>CUST-1851</t>
  </si>
  <si>
    <t>ORD-11691</t>
  </si>
  <si>
    <t>CUST-1440</t>
  </si>
  <si>
    <t>ORD-11692</t>
  </si>
  <si>
    <t>ORD-11693</t>
  </si>
  <si>
    <t>ORD-11694</t>
  </si>
  <si>
    <t>CUST-2424</t>
  </si>
  <si>
    <t>ORD-11695</t>
  </si>
  <si>
    <t>ORD-11696</t>
  </si>
  <si>
    <t>ORD-11697</t>
  </si>
  <si>
    <t>CUST-1063</t>
  </si>
  <si>
    <t>ORD-11698</t>
  </si>
  <si>
    <t>ORD-11699</t>
  </si>
  <si>
    <t>ORD-11700</t>
  </si>
  <si>
    <t>ORD-11701</t>
  </si>
  <si>
    <t>ORD-11702</t>
  </si>
  <si>
    <t>CUST-1669</t>
  </si>
  <si>
    <t>ORD-11703</t>
  </si>
  <si>
    <t>ORD-11704</t>
  </si>
  <si>
    <t>ORD-11705</t>
  </si>
  <si>
    <t>CUST-2271</t>
  </si>
  <si>
    <t>ORD-11706</t>
  </si>
  <si>
    <t>ORD-11707</t>
  </si>
  <si>
    <t>CUST-1743</t>
  </si>
  <si>
    <t>ORD-11708</t>
  </si>
  <si>
    <t>CUST-1617</t>
  </si>
  <si>
    <t>ORD-11709</t>
  </si>
  <si>
    <t>ORD-11710</t>
  </si>
  <si>
    <t>CUST-2994</t>
  </si>
  <si>
    <t>ORD-11711</t>
  </si>
  <si>
    <t>ORD-11712</t>
  </si>
  <si>
    <t>ORD-11713</t>
  </si>
  <si>
    <t>CUST-2083</t>
  </si>
  <si>
    <t>ORD-11714</t>
  </si>
  <si>
    <t>ORD-11715</t>
  </si>
  <si>
    <t>ORD-11716</t>
  </si>
  <si>
    <t>ORD-11717</t>
  </si>
  <si>
    <t>CUST-2006</t>
  </si>
  <si>
    <t>ORD-11718</t>
  </si>
  <si>
    <t>CUST-1410</t>
  </si>
  <si>
    <t>ORD-11719</t>
  </si>
  <si>
    <t>ORD-11720</t>
  </si>
  <si>
    <t>ORD-11721</t>
  </si>
  <si>
    <t>ORD-11722</t>
  </si>
  <si>
    <t>ORD-11723</t>
  </si>
  <si>
    <t>CUST-1463</t>
  </si>
  <si>
    <t>ORD-11724</t>
  </si>
  <si>
    <t>CUST-1701</t>
  </si>
  <si>
    <t>ORD-11725</t>
  </si>
  <si>
    <t>ORD-11726</t>
  </si>
  <si>
    <t>CUST-2948</t>
  </si>
  <si>
    <t>ORD-11727</t>
  </si>
  <si>
    <t>ORD-11728</t>
  </si>
  <si>
    <t>ORD-11729</t>
  </si>
  <si>
    <t>ORD-11730</t>
  </si>
  <si>
    <t>ORD-11731</t>
  </si>
  <si>
    <t>ORD-11732</t>
  </si>
  <si>
    <t>CUST-1075</t>
  </si>
  <si>
    <t>ORD-11733</t>
  </si>
  <si>
    <t>ORD-11734</t>
  </si>
  <si>
    <t>ORD-11735</t>
  </si>
  <si>
    <t>CUST-2793</t>
  </si>
  <si>
    <t>ORD-11736</t>
  </si>
  <si>
    <t>CUST-2440</t>
  </si>
  <si>
    <t>ORD-11737</t>
  </si>
  <si>
    <t>CUST-2991</t>
  </si>
  <si>
    <t>ORD-11738</t>
  </si>
  <si>
    <t>ORD-11739</t>
  </si>
  <si>
    <t>ORD-11740</t>
  </si>
  <si>
    <t>ORD-11741</t>
  </si>
  <si>
    <t>CUST-2338</t>
  </si>
  <si>
    <t>ORD-11742</t>
  </si>
  <si>
    <t>ORD-11743</t>
  </si>
  <si>
    <t>CUST-1500</t>
  </si>
  <si>
    <t>ORD-11744</t>
  </si>
  <si>
    <t>ORD-11745</t>
  </si>
  <si>
    <t>CUST-1799</t>
  </si>
  <si>
    <t>ORD-11746</t>
  </si>
  <si>
    <t>ORD-11747</t>
  </si>
  <si>
    <t>ORD-11748</t>
  </si>
  <si>
    <t>ORD-11749</t>
  </si>
  <si>
    <t>ORD-11750</t>
  </si>
  <si>
    <t>CUST-2879</t>
  </si>
  <si>
    <t>ORD-11751</t>
  </si>
  <si>
    <t>ORD-11752</t>
  </si>
  <si>
    <t>ORD-11753</t>
  </si>
  <si>
    <t>ORD-11754</t>
  </si>
  <si>
    <t>CUST-2355</t>
  </si>
  <si>
    <t>ORD-11755</t>
  </si>
  <si>
    <t>CUST-1127</t>
  </si>
  <si>
    <t>ORD-11756</t>
  </si>
  <si>
    <t>ORD-11757</t>
  </si>
  <si>
    <t>CUST-1550</t>
  </si>
  <si>
    <t>ORD-11758</t>
  </si>
  <si>
    <t>ORD-11759</t>
  </si>
  <si>
    <t>ORD-11760</t>
  </si>
  <si>
    <t>ORD-11761</t>
  </si>
  <si>
    <t>CUST-1618</t>
  </si>
  <si>
    <t>ORD-11762</t>
  </si>
  <si>
    <t>ORD-11763</t>
  </si>
  <si>
    <t>CUST-1141</t>
  </si>
  <si>
    <t>ORD-11764</t>
  </si>
  <si>
    <t>ORD-11765</t>
  </si>
  <si>
    <t>ORD-11766</t>
  </si>
  <si>
    <t>CUST-1244</t>
  </si>
  <si>
    <t>ORD-11767</t>
  </si>
  <si>
    <t>CUST-2465</t>
  </si>
  <si>
    <t>ORD-11768</t>
  </si>
  <si>
    <t>ORD-11769</t>
  </si>
  <si>
    <t>ORD-11770</t>
  </si>
  <si>
    <t>ORD-11771</t>
  </si>
  <si>
    <t>ORD-11772</t>
  </si>
  <si>
    <t>CUST-1213</t>
  </si>
  <si>
    <t>ORD-11773</t>
  </si>
  <si>
    <t>CUST-2673</t>
  </si>
  <si>
    <t>ORD-11774</t>
  </si>
  <si>
    <t>ORD-11775</t>
  </si>
  <si>
    <t>CUST-1199</t>
  </si>
  <si>
    <t>ORD-11776</t>
  </si>
  <si>
    <t>ORD-11777</t>
  </si>
  <si>
    <t>ORD-11778</t>
  </si>
  <si>
    <t>ORD-11779</t>
  </si>
  <si>
    <t>ORD-11780</t>
  </si>
  <si>
    <t>ORD-11781</t>
  </si>
  <si>
    <t>ORD-11782</t>
  </si>
  <si>
    <t>CUST-1285</t>
  </si>
  <si>
    <t>ORD-11783</t>
  </si>
  <si>
    <t>ORD-11784</t>
  </si>
  <si>
    <t>CUST-1388</t>
  </si>
  <si>
    <t>ORD-11785</t>
  </si>
  <si>
    <t>ORD-11786</t>
  </si>
  <si>
    <t>CUST-1783</t>
  </si>
  <si>
    <t>ORD-11787</t>
  </si>
  <si>
    <t>ORD-11788</t>
  </si>
  <si>
    <t>CUST-2736</t>
  </si>
  <si>
    <t>ORD-11789</t>
  </si>
  <si>
    <t>ORD-11790</t>
  </si>
  <si>
    <t>ORD-11791</t>
  </si>
  <si>
    <t>CUST-2014</t>
  </si>
  <si>
    <t>ORD-11792</t>
  </si>
  <si>
    <t>ORD-11793</t>
  </si>
  <si>
    <t>ORD-11794</t>
  </si>
  <si>
    <t>CUST-2004</t>
  </si>
  <si>
    <t>ORD-11795</t>
  </si>
  <si>
    <t>CUST-2316</t>
  </si>
  <si>
    <t>ORD-11796</t>
  </si>
  <si>
    <t>CUST-1333</t>
  </si>
  <si>
    <t>ORD-11797</t>
  </si>
  <si>
    <t>ORD-11798</t>
  </si>
  <si>
    <t>ORD-11799</t>
  </si>
  <si>
    <t>ORD-11800</t>
  </si>
  <si>
    <t>CUST-1318</t>
  </si>
  <si>
    <t>ORD-11801</t>
  </si>
  <si>
    <t>ORD-11802</t>
  </si>
  <si>
    <t>ORD-11803</t>
  </si>
  <si>
    <t>ORD-11804</t>
  </si>
  <si>
    <t>CUST-2195</t>
  </si>
  <si>
    <t>ORD-11805</t>
  </si>
  <si>
    <t>ORD-11806</t>
  </si>
  <si>
    <t>ORD-11807</t>
  </si>
  <si>
    <t>ORD-11808</t>
  </si>
  <si>
    <t>CUST-1738</t>
  </si>
  <si>
    <t>ORD-11809</t>
  </si>
  <si>
    <t>CUST-2067</t>
  </si>
  <si>
    <t>ORD-11810</t>
  </si>
  <si>
    <t>CUST-2555</t>
  </si>
  <si>
    <t>ORD-11811</t>
  </si>
  <si>
    <t>CUST-2654</t>
  </si>
  <si>
    <t>ORD-11812</t>
  </si>
  <si>
    <t>CUST-1453</t>
  </si>
  <si>
    <t>ORD-11813</t>
  </si>
  <si>
    <t>ORD-11814</t>
  </si>
  <si>
    <t>CUST-2993</t>
  </si>
  <si>
    <t>ORD-11815</t>
  </si>
  <si>
    <t>ORD-11816</t>
  </si>
  <si>
    <t>CUST-2914</t>
  </si>
  <si>
    <t>ORD-11817</t>
  </si>
  <si>
    <t>ORD-11818</t>
  </si>
  <si>
    <t>ORD-11819</t>
  </si>
  <si>
    <t>ORD-11820</t>
  </si>
  <si>
    <t>ORD-11821</t>
  </si>
  <si>
    <t>CUST-1082</t>
  </si>
  <si>
    <t>ORD-11822</t>
  </si>
  <si>
    <t>ORD-11823</t>
  </si>
  <si>
    <t>ORD-11824</t>
  </si>
  <si>
    <t>CUST-1785</t>
  </si>
  <si>
    <t>ORD-11825</t>
  </si>
  <si>
    <t>ORD-11826</t>
  </si>
  <si>
    <t>CUST-1539</t>
  </si>
  <si>
    <t>ORD-11827</t>
  </si>
  <si>
    <t>CUST-1251</t>
  </si>
  <si>
    <t>ORD-11828</t>
  </si>
  <si>
    <t>CUST-1835</t>
  </si>
  <si>
    <t>ORD-11829</t>
  </si>
  <si>
    <t>CUST-2788</t>
  </si>
  <si>
    <t>ORD-11830</t>
  </si>
  <si>
    <t>ORD-11831</t>
  </si>
  <si>
    <t>ORD-11832</t>
  </si>
  <si>
    <t>CUST-1489</t>
  </si>
  <si>
    <t>ORD-11833</t>
  </si>
  <si>
    <t>ORD-11834</t>
  </si>
  <si>
    <t>ORD-11835</t>
  </si>
  <si>
    <t>CUST-2964</t>
  </si>
  <si>
    <t>ORD-11836</t>
  </si>
  <si>
    <t>CUST-1313</t>
  </si>
  <si>
    <t>ORD-11837</t>
  </si>
  <si>
    <t>ORD-11838</t>
  </si>
  <si>
    <t>CUST-2729</t>
  </si>
  <si>
    <t>ORD-11839</t>
  </si>
  <si>
    <t>CUST-2203</t>
  </si>
  <si>
    <t>ORD-11840</t>
  </si>
  <si>
    <t>ORD-11841</t>
  </si>
  <si>
    <t>ORD-11842</t>
  </si>
  <si>
    <t>ORD-11843</t>
  </si>
  <si>
    <t>CUST-2238</t>
  </si>
  <si>
    <t>ORD-11844</t>
  </si>
  <si>
    <t>CUST-1985</t>
  </si>
  <si>
    <t>ORD-11845</t>
  </si>
  <si>
    <t>ORD-11846</t>
  </si>
  <si>
    <t>ORD-11847</t>
  </si>
  <si>
    <t>ORD-11848</t>
  </si>
  <si>
    <t>ORD-11849</t>
  </si>
  <si>
    <t>CUST-2098</t>
  </si>
  <si>
    <t>ORD-11850</t>
  </si>
  <si>
    <t>ORD-11851</t>
  </si>
  <si>
    <t>CUST-2737</t>
  </si>
  <si>
    <t>ORD-11852</t>
  </si>
  <si>
    <t>ORD-11853</t>
  </si>
  <si>
    <t>ORD-11854</t>
  </si>
  <si>
    <t>CUST-2222</t>
  </si>
  <si>
    <t>ORD-11855</t>
  </si>
  <si>
    <t>CUST-2942</t>
  </si>
  <si>
    <t>ORD-11856</t>
  </si>
  <si>
    <t>ORD-11857</t>
  </si>
  <si>
    <t>CUST-1405</t>
  </si>
  <si>
    <t>ORD-11858</t>
  </si>
  <si>
    <t>CUST-2851</t>
  </si>
  <si>
    <t>ORD-11859</t>
  </si>
  <si>
    <t>CUST-1227</t>
  </si>
  <si>
    <t>ORD-11860</t>
  </si>
  <si>
    <t>ORD-11861</t>
  </si>
  <si>
    <t>CUST-1951</t>
  </si>
  <si>
    <t>ORD-11862</t>
  </si>
  <si>
    <t>ORD-11863</t>
  </si>
  <si>
    <t>ORD-11864</t>
  </si>
  <si>
    <t>ORD-11865</t>
  </si>
  <si>
    <t>ORD-11866</t>
  </si>
  <si>
    <t>ORD-11867</t>
  </si>
  <si>
    <t>CUST-1061</t>
  </si>
  <si>
    <t>ORD-11868</t>
  </si>
  <si>
    <t>ORD-11869</t>
  </si>
  <si>
    <t>ORD-11870</t>
  </si>
  <si>
    <t>ORD-11871</t>
  </si>
  <si>
    <t>ORD-11872</t>
  </si>
  <si>
    <t>ORD-11873</t>
  </si>
  <si>
    <t>ORD-11874</t>
  </si>
  <si>
    <t>CUST-2607</t>
  </si>
  <si>
    <t>ORD-11875</t>
  </si>
  <si>
    <t>ORD-11876</t>
  </si>
  <si>
    <t>ORD-11877</t>
  </si>
  <si>
    <t>ORD-11878</t>
  </si>
  <si>
    <t>CUST-1070</t>
  </si>
  <si>
    <t>ORD-11879</t>
  </si>
  <si>
    <t>ORD-11880</t>
  </si>
  <si>
    <t>ORD-11881</t>
  </si>
  <si>
    <t>CUST-1557</t>
  </si>
  <si>
    <t>ORD-11882</t>
  </si>
  <si>
    <t>CUST-2247</t>
  </si>
  <si>
    <t>ORD-11883</t>
  </si>
  <si>
    <t>ORD-11884</t>
  </si>
  <si>
    <t>ORD-11885</t>
  </si>
  <si>
    <t>CUST-1587</t>
  </si>
  <si>
    <t>ORD-11886</t>
  </si>
  <si>
    <t>ORD-11887</t>
  </si>
  <si>
    <t>ORD-11888</t>
  </si>
  <si>
    <t>ORD-11889</t>
  </si>
  <si>
    <t>ORD-11890</t>
  </si>
  <si>
    <t>CUST-1101</t>
  </si>
  <si>
    <t>ORD-11891</t>
  </si>
  <si>
    <t>CUST-2629</t>
  </si>
  <si>
    <t>ORD-11892</t>
  </si>
  <si>
    <t>ORD-11893</t>
  </si>
  <si>
    <t>ORD-11894</t>
  </si>
  <si>
    <t>CUST-1192</t>
  </si>
  <si>
    <t>ORD-11895</t>
  </si>
  <si>
    <t>CUST-1952</t>
  </si>
  <si>
    <t>ORD-11896</t>
  </si>
  <si>
    <t>ORD-11897</t>
  </si>
  <si>
    <t>ORD-11898</t>
  </si>
  <si>
    <t>ORD-11899</t>
  </si>
  <si>
    <t>ORD-11900</t>
  </si>
  <si>
    <t>ORD-11901</t>
  </si>
  <si>
    <t>CUST-1299</t>
  </si>
  <si>
    <t>ORD-11902</t>
  </si>
  <si>
    <t>CUST-2218</t>
  </si>
  <si>
    <t>ORD-11903</t>
  </si>
  <si>
    <t>ORD-11904</t>
  </si>
  <si>
    <t>ORD-11905</t>
  </si>
  <si>
    <t>ORD-11906</t>
  </si>
  <si>
    <t>ORD-11907</t>
  </si>
  <si>
    <t>ORD-11908</t>
  </si>
  <si>
    <t>ORD-11909</t>
  </si>
  <si>
    <t>ORD-11910</t>
  </si>
  <si>
    <t>CUST-1988</t>
  </si>
  <si>
    <t>ORD-11911</t>
  </si>
  <si>
    <t>ORD-11912</t>
  </si>
  <si>
    <t>ORD-11913</t>
  </si>
  <si>
    <t>ORD-11914</t>
  </si>
  <si>
    <t>CUST-1301</t>
  </si>
  <si>
    <t>ORD-11915</t>
  </si>
  <si>
    <t>ORD-11916</t>
  </si>
  <si>
    <t>CUST-1336</t>
  </si>
  <si>
    <t>ORD-11917</t>
  </si>
  <si>
    <t>ORD-11918</t>
  </si>
  <si>
    <t>ORD-11919</t>
  </si>
  <si>
    <t>ORD-11920</t>
  </si>
  <si>
    <t>CUST-2782</t>
  </si>
  <si>
    <t>ORD-11921</t>
  </si>
  <si>
    <t>ORD-11922</t>
  </si>
  <si>
    <t>CUST-2214</t>
  </si>
  <si>
    <t>ORD-11923</t>
  </si>
  <si>
    <t>ORD-11924</t>
  </si>
  <si>
    <t>CUST-2071</t>
  </si>
  <si>
    <t>ORD-11925</t>
  </si>
  <si>
    <t>CUST-2273</t>
  </si>
  <si>
    <t>ORD-11926</t>
  </si>
  <si>
    <t>CUST-2249</t>
  </si>
  <si>
    <t>ORD-11927</t>
  </si>
  <si>
    <t>CUST-2295</t>
  </si>
  <si>
    <t>ORD-11928</t>
  </si>
  <si>
    <t>ORD-11929</t>
  </si>
  <si>
    <t>ORD-11930</t>
  </si>
  <si>
    <t>ORD-11931</t>
  </si>
  <si>
    <t>CUST-1796</t>
  </si>
  <si>
    <t>ORD-11932</t>
  </si>
  <si>
    <t>ORD-11933</t>
  </si>
  <si>
    <t>CUST-1813</t>
  </si>
  <si>
    <t>ORD-11934</t>
  </si>
  <si>
    <t>ORD-11935</t>
  </si>
  <si>
    <t>ORD-11936</t>
  </si>
  <si>
    <t>ORD-11937</t>
  </si>
  <si>
    <t>ORD-11938</t>
  </si>
  <si>
    <t>CUST-1962</t>
  </si>
  <si>
    <t>ORD-11939</t>
  </si>
  <si>
    <t>ORD-11940</t>
  </si>
  <si>
    <t>CUST-2393</t>
  </si>
  <si>
    <t>ORD-11941</t>
  </si>
  <si>
    <t>CUST-2268</t>
  </si>
  <si>
    <t>ORD-11942</t>
  </si>
  <si>
    <t>ORD-11943</t>
  </si>
  <si>
    <t>CUST-2183</t>
  </si>
  <si>
    <t>ORD-11944</t>
  </si>
  <si>
    <t>CUST-1372</t>
  </si>
  <si>
    <t>ORD-11945</t>
  </si>
  <si>
    <t>CUST-1284</t>
  </si>
  <si>
    <t>ORD-11946</t>
  </si>
  <si>
    <t>CUST-1520</t>
  </si>
  <si>
    <t>ORD-11947</t>
  </si>
  <si>
    <t>CUST-2473</t>
  </si>
  <si>
    <t>ORD-11948</t>
  </si>
  <si>
    <t>CUST-1696</t>
  </si>
  <si>
    <t>ORD-11949</t>
  </si>
  <si>
    <t>CUST-1806</t>
  </si>
  <si>
    <t>ORD-11950</t>
  </si>
  <si>
    <t>ORD-11951</t>
  </si>
  <si>
    <t>CUST-2645</t>
  </si>
  <si>
    <t>ORD-11952</t>
  </si>
  <si>
    <t>ORD-11953</t>
  </si>
  <si>
    <t>ORD-11954</t>
  </si>
  <si>
    <t>ORD-11955</t>
  </si>
  <si>
    <t>CUST-2142</t>
  </si>
  <si>
    <t>ORD-11956</t>
  </si>
  <si>
    <t>ORD-11957</t>
  </si>
  <si>
    <t>ORD-11958</t>
  </si>
  <si>
    <t>ORD-11959</t>
  </si>
  <si>
    <t>ORD-11960</t>
  </si>
  <si>
    <t>CUST-1849</t>
  </si>
  <si>
    <t>ORD-11961</t>
  </si>
  <si>
    <t>CUST-2200</t>
  </si>
  <si>
    <t>ORD-11962</t>
  </si>
  <si>
    <t>ORD-11963</t>
  </si>
  <si>
    <t>ORD-11964</t>
  </si>
  <si>
    <t>ORD-11965</t>
  </si>
  <si>
    <t>ORD-11966</t>
  </si>
  <si>
    <t>ORD-11967</t>
  </si>
  <si>
    <t>ORD-11968</t>
  </si>
  <si>
    <t>CUST-1131</t>
  </si>
  <si>
    <t>ORD-11969</t>
  </si>
  <si>
    <t>ORD-11970</t>
  </si>
  <si>
    <t>ORD-11971</t>
  </si>
  <si>
    <t>ORD-11972</t>
  </si>
  <si>
    <t>ORD-11973</t>
  </si>
  <si>
    <t>ORD-11974</t>
  </si>
  <si>
    <t>CUST-2149</t>
  </si>
  <si>
    <t>ORD-11975</t>
  </si>
  <si>
    <t>CUST-2462</t>
  </si>
  <si>
    <t>ORD-11976</t>
  </si>
  <si>
    <t>CUST-2810</t>
  </si>
  <si>
    <t>ORD-11977</t>
  </si>
  <si>
    <t>ORD-11978</t>
  </si>
  <si>
    <t>ORD-11979</t>
  </si>
  <si>
    <t>ORD-11980</t>
  </si>
  <si>
    <t>CUST-1050</t>
  </si>
  <si>
    <t>ORD-11981</t>
  </si>
  <si>
    <t>CUST-2160</t>
  </si>
  <si>
    <t>ORD-11982</t>
  </si>
  <si>
    <t>ORD-11983</t>
  </si>
  <si>
    <t>ORD-11984</t>
  </si>
  <si>
    <t>CUST-2616</t>
  </si>
  <si>
    <t>ORD-11985</t>
  </si>
  <si>
    <t>ORD-11986</t>
  </si>
  <si>
    <t>ORD-11987</t>
  </si>
  <si>
    <t>CUST-1442</t>
  </si>
  <si>
    <t>ORD-11988</t>
  </si>
  <si>
    <t>ORD-11989</t>
  </si>
  <si>
    <t>ORD-11990</t>
  </si>
  <si>
    <t>CUST-1325</t>
  </si>
  <si>
    <t>ORD-11991</t>
  </si>
  <si>
    <t>CUST-1639</t>
  </si>
  <si>
    <t>ORD-11992</t>
  </si>
  <si>
    <t>CUST-2661</t>
  </si>
  <si>
    <t>ORD-11993</t>
  </si>
  <si>
    <t>CUST-1828</t>
  </si>
  <si>
    <t>ORD-11994</t>
  </si>
  <si>
    <t>CUST-1079</t>
  </si>
  <si>
    <t>ORD-11995</t>
  </si>
  <si>
    <t>ORD-11996</t>
  </si>
  <si>
    <t>CUST-1376</t>
  </si>
  <si>
    <t>ORD-11997</t>
  </si>
  <si>
    <t>ORD-11998</t>
  </si>
  <si>
    <t>CUST-1918</t>
  </si>
  <si>
    <t>ORD-11999</t>
  </si>
  <si>
    <t>Sum of SalesAmount</t>
  </si>
  <si>
    <t>Row Labels</t>
  </si>
  <si>
    <t>Grand Total</t>
  </si>
  <si>
    <t>2024</t>
  </si>
  <si>
    <t>2025</t>
  </si>
  <si>
    <t>2026</t>
  </si>
  <si>
    <t>Column Labels</t>
  </si>
  <si>
    <t>CA Total</t>
  </si>
  <si>
    <t>FL Total</t>
  </si>
  <si>
    <t>IL Total</t>
  </si>
  <si>
    <t>NY Total</t>
  </si>
  <si>
    <t>TX Total</t>
  </si>
  <si>
    <t>WA Total</t>
  </si>
  <si>
    <t>Sum of CostAmount</t>
  </si>
  <si>
    <t>Sum of IsRepeatPurchase</t>
  </si>
  <si>
    <t>Statistic</t>
  </si>
  <si>
    <t>H1_Online</t>
  </si>
  <si>
    <t>H1_Direct</t>
  </si>
  <si>
    <t>H2_CA_PY</t>
  </si>
  <si>
    <t>H2_CA_CY</t>
  </si>
  <si>
    <t>Sample Mean</t>
  </si>
  <si>
    <t>$634.25</t>
  </si>
  <si>
    <t>$656.61</t>
  </si>
  <si>
    <t>34.90%</t>
  </si>
  <si>
    <t>24.92%</t>
  </si>
  <si>
    <t>Sample StdDev</t>
  </si>
  <si>
    <t>$774.23</t>
  </si>
  <si>
    <t>$761.27</t>
  </si>
  <si>
    <t>47.75%</t>
  </si>
  <si>
    <t>43.32%</t>
  </si>
  <si>
    <t>Sample Size (N)</t>
  </si>
  <si>
    <t>t-statistic</t>
  </si>
  <si>
    <t>-0.5436</t>
  </si>
  <si>
    <t>p-value</t>
  </si>
  <si>
    <t>0.5868</t>
  </si>
  <si>
    <t>0.0071</t>
  </si>
  <si>
    <t>Significant? (alpha=0.05)</t>
  </si>
  <si>
    <t>No</t>
  </si>
  <si>
    <t>Yes</t>
  </si>
  <si>
    <t>Risk</t>
  </si>
  <si>
    <t>Likelihood</t>
  </si>
  <si>
    <t>Impact</t>
  </si>
  <si>
    <t>Mitigation</t>
  </si>
  <si>
    <t>Owner</t>
  </si>
  <si>
    <t>Data Quality Risk (e.g., duplicate or missing OrderIDs)</t>
  </si>
  <si>
    <t>Medium</t>
  </si>
  <si>
    <t>High</t>
  </si>
  <si>
    <t>Implement automated database constraints and validation scripts before data load.</t>
  </si>
  <si>
    <t>Data Engineer</t>
  </si>
  <si>
    <t>Adoption Risk (e.g., business users continue using legacy reports)</t>
  </si>
  <si>
    <t>Conduct hands-on training sessions and deprecate old reporting tools.</t>
  </si>
  <si>
    <t>Product Manager</t>
  </si>
  <si>
    <t>Dependence on Manual Data Refresh</t>
  </si>
  <si>
    <t>Automate the data pipeline using scheduled ETL jobs (e.g., Airflow or dbt).</t>
  </si>
  <si>
    <t>BI Developer</t>
  </si>
  <si>
    <t>Inconsistent Regional Definitions</t>
  </si>
  <si>
    <t>Low</t>
  </si>
  <si>
    <t>Establish a single source of truth for regional mapping in the data warehouse.</t>
  </si>
  <si>
    <t>Data Governance Lead</t>
  </si>
  <si>
    <t>Scenario</t>
  </si>
  <si>
    <t>Acceptance Criteria</t>
  </si>
  <si>
    <t>Status</t>
  </si>
  <si>
    <t>Tester</t>
  </si>
  <si>
    <t>Date</t>
  </si>
  <si>
    <t>Verify that total sales in summary_metrics matches the sum of SalesAmount in sales_data</t>
  </si>
  <si>
    <t>The sum of SalesAmount in sales_data for PY and CY equals the sum of cells B2 and C2 on summary_metrics.</t>
  </si>
  <si>
    <t>Pass</t>
  </si>
  <si>
    <t>QA Analyst</t>
  </si>
  <si>
    <t>8/18/2026</t>
  </si>
  <si>
    <t>Verify that California's repeat purchase rate correctly drops from ~35% to ~25%</t>
  </si>
  <si>
    <t>Cell B7 on summary_metrics shows ~35% and cell C7 shows ~25%.</t>
  </si>
  <si>
    <t>Verify that returns are correctly modeled as negative values</t>
  </si>
  <si>
    <t>Transactions with 'Transaction Type' = 'Return' have negative SalesAmount, CostAmount, and Quantity.</t>
  </si>
  <si>
    <t>Verify that Gross Profit is calculated correctly as Sales minus Cost</t>
  </si>
  <si>
    <t>Cell B4 equals B2-B3 and cell C4 equals C2-C3 on summary_metrics.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</si>
</sst>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m\/d\/yyyy"/>
    <numFmt numFmtId="166" formatCode="#0"/>
  </numFmts>
  <fonts count="6" x14ac:knownFonts="1">
    <font>
      <sz val="9"/>
      <color rgb="FF01173D"/>
      <name val="IBM Plex Sans"/>
    </font>
    <font>
      <b/>
      <sz val="9"/>
      <color rgb="FFFFFFFF"/>
      <name val="IBM Plex Sans"/>
    </font>
    <font>
      <b/>
      <sz val="9"/>
      <color rgb="FF01173D"/>
      <name val="IBM Plex Sans"/>
    </font>
    <font>
      <b/>
      <sz val="9"/>
      <color rgb="FFFFFFFF"/>
      <name val="IBM Plex Sans"/>
      <family val="2"/>
      <charset val="204"/>
    </font>
    <font>
      <b/>
      <sz val="9"/>
      <color rgb="FF01173D"/>
      <name val="IBM Plex Sans"/>
      <family val="2"/>
      <charset val="204"/>
    </font>
    <font>
      <sz val="9"/>
      <color rgb="FF01173D"/>
      <name val="IBM Plex Sans"/>
      <family val="2"/>
      <charset val="204"/>
    </font>
  </fonts>
  <fills count="5">
    <fill>
      <patternFill patternType="none"/>
    </fill>
    <fill>
      <patternFill patternType="gray125"/>
    </fill>
    <fill>
      <patternFill patternType="solid">
        <fgColor rgb="FF01173D"/>
      </patternFill>
    </fill>
    <fill>
      <patternFill patternType="solid">
        <fgColor rgb="FFF2F4F8"/>
      </patternFill>
    </fill>
    <fill>
      <patternFill patternType="solid">
        <fgColor rgb="FF01173D"/>
        <bgColor indexed="64"/>
      </patternFill>
    </fill>
  </fills>
  <borders count="1">
    <border>
      <left/>
      <right/>
      <top/>
      <bottom/>
      <diagonal/>
    </border>
  </borders>
  <cellStyleXfs count="1">
    <xf numFmtId="0" fontId="0" fillId="0" borderId="0">
      <alignment vertical="top"/>
    </xf>
  </cellStyleXfs>
  <cellXfs count="23">
    <xf numFmtId="0" fontId="0" fillId="0" borderId="0" xfId="0" applyFont="1">
      <alignment vertical="top"/>
    </xf>
    <xf numFmtId="49" fontId="1" fillId="2" borderId="0" xfId="0" applyNumberFormat="1" applyFont="1" applyFill="1">
      <alignment vertical="top"/>
    </xf>
    <xf numFmtId="49" fontId="2" fillId="0" borderId="0" xfId="0" applyNumberFormat="1" applyFont="1" applyAlignment="1">
      <alignment horizontal="left" vertical="top"/>
    </xf>
    <xf numFmtId="164" fontId="0" fillId="0" borderId="0" xfId="0" applyNumberFormat="1" applyFont="1" applyAlignment="1">
      <alignment horizontal="right" vertical="top"/>
    </xf>
    <xf numFmtId="10" fontId="0" fillId="0" borderId="0" xfId="0" applyNumberFormat="1" applyFont="1" applyAlignment="1">
      <alignment horizontal="right" vertical="top"/>
    </xf>
    <xf numFmtId="49" fontId="2" fillId="3" borderId="0" xfId="0" applyNumberFormat="1" applyFont="1" applyFill="1" applyAlignment="1">
      <alignment horizontal="left" vertical="top"/>
    </xf>
    <xf numFmtId="164" fontId="0" fillId="3" borderId="0" xfId="0" applyNumberFormat="1" applyFont="1" applyFill="1" applyAlignment="1">
      <alignment horizontal="right" vertical="top"/>
    </xf>
    <xf numFmtId="10" fontId="0" fillId="3" borderId="0" xfId="0" applyNumberFormat="1" applyFont="1" applyFill="1" applyAlignment="1">
      <alignment horizontal="right" vertical="top"/>
    </xf>
    <xf numFmtId="49" fontId="0" fillId="0" borderId="0" xfId="0" applyNumberFormat="1" applyFont="1" applyAlignment="1">
      <alignment horizontal="right" vertical="top"/>
    </xf>
    <xf numFmtId="49" fontId="0" fillId="0" borderId="0" xfId="0" applyNumberFormat="1" applyFont="1" applyAlignment="1">
      <alignment horizontal="center" vertical="top"/>
    </xf>
    <xf numFmtId="165" fontId="0" fillId="0" borderId="0" xfId="0" applyNumberFormat="1" applyFont="1" applyAlignment="1">
      <alignment horizontal="center" vertical="top"/>
    </xf>
    <xf numFmtId="49" fontId="0" fillId="0" borderId="0" xfId="0" applyNumberFormat="1" applyFont="1" applyAlignment="1">
      <alignment horizontal="left" vertical="top"/>
    </xf>
    <xf numFmtId="166" fontId="0" fillId="0" borderId="0" xfId="0" applyNumberFormat="1" applyFont="1" applyAlignment="1">
      <alignment horizontal="right" vertical="top"/>
    </xf>
    <xf numFmtId="166" fontId="0" fillId="0" borderId="0" xfId="0" applyNumberFormat="1" applyFont="1" applyAlignment="1">
      <alignment horizontal="center" vertical="top"/>
    </xf>
    <xf numFmtId="0" fontId="0" fillId="0" borderId="0" xfId="0" applyNumberFormat="1" applyFont="1">
      <alignment vertical="top"/>
    </xf>
    <xf numFmtId="0" fontId="0" fillId="0" borderId="0" xfId="0" pivotButton="1" applyFont="1">
      <alignment vertical="top"/>
    </xf>
    <xf numFmtId="0" fontId="0" fillId="0" borderId="0" xfId="0" applyFont="1" applyAlignment="1">
      <alignment horizontal="left" vertical="top"/>
    </xf>
    <xf numFmtId="0" fontId="3" fillId="4" borderId="0" xfId="0" applyFont="1" applyFill="1" applyAlignment="1">
      <alignment vertical="top" wrapText="1"/>
    </xf>
    <xf numFmtId="0" fontId="4" fillId="0" borderId="0" xfId="0" applyFont="1" applyAlignment="1">
      <alignment horizontal="left" vertical="top" wrapText="1"/>
    </xf>
    <xf numFmtId="0" fontId="5" fillId="0" borderId="0" xfId="0" applyFont="1" applyAlignment="1">
      <alignment horizontal="right" vertical="top" wrapText="1"/>
    </xf>
    <xf numFmtId="0" fontId="5" fillId="0" borderId="0" xfId="0" applyNumberFormat="1" applyFont="1" applyAlignment="1">
      <alignment horizontal="right" vertical="top" wrapText="1"/>
    </xf>
    <xf numFmtId="0" fontId="5" fillId="0" borderId="0" xfId="0" applyFont="1" applyAlignment="1">
      <alignment horizontal="center" vertical="top" wrapText="1"/>
    </xf>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[Sales.Orders.xlsx]Pivot1 Sales!PivotTable1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14249781277340332"/>
          <c:w val="0.65527537182852147"/>
          <c:h val="0.65853091280256637"/>
        </c:manualLayout>
      </c:layout>
      <c:barChart>
        <c:barDir val="col"/>
        <c:grouping val="clustered"/>
        <c:varyColors val="0"/>
        <c:ser>
          <c:idx val="0"/>
          <c:order val="0"/>
          <c:tx>
            <c:strRef>
              <c:f>'Pivot1 Sales'!$B$3:$B$5</c:f>
              <c:strCache>
                <c:ptCount val="1"/>
                <c:pt idx="0">
                  <c:v>CA - Direct</c:v>
                </c:pt>
              </c:strCache>
            </c:strRef>
          </c:tx>
          <c:spPr>
            <a:solidFill>
              <a:schemeClr val="accent1"/>
            </a:solidFill>
            <a:ln>
              <a:noFill/>
            </a:ln>
            <a:effectLst/>
          </c:spPr>
          <c:invertIfNegative val="0"/>
          <c:cat>
            <c:strRef>
              <c:f>'Pivot1 Sales'!$A$6:$A$9</c:f>
              <c:strCache>
                <c:ptCount val="3"/>
                <c:pt idx="0">
                  <c:v>2024</c:v>
                </c:pt>
                <c:pt idx="1">
                  <c:v>2025</c:v>
                </c:pt>
                <c:pt idx="2">
                  <c:v>2026</c:v>
                </c:pt>
              </c:strCache>
            </c:strRef>
          </c:cat>
          <c:val>
            <c:numRef>
              <c:f>'Pivot1 Sales'!$B$6:$B$9</c:f>
              <c:numCache>
                <c:formatCode>General</c:formatCode>
                <c:ptCount val="3"/>
                <c:pt idx="0">
                  <c:v>17135</c:v>
                </c:pt>
                <c:pt idx="1">
                  <c:v>35660.19</c:v>
                </c:pt>
                <c:pt idx="2">
                  <c:v>34457.62999999999</c:v>
                </c:pt>
              </c:numCache>
            </c:numRef>
          </c:val>
          <c:extLst>
            <c:ext xmlns:c16="http://schemas.microsoft.com/office/drawing/2014/chart" uri="{C3380CC4-5D6E-409C-BE32-E72D297353CC}">
              <c16:uniqueId val="{00000000-4247-41F0-8FD5-5F981ED1EA96}"/>
            </c:ext>
          </c:extLst>
        </c:ser>
        <c:ser>
          <c:idx val="1"/>
          <c:order val="1"/>
          <c:tx>
            <c:strRef>
              <c:f>'Pivot1 Sales'!$C$3:$C$5</c:f>
              <c:strCache>
                <c:ptCount val="1"/>
                <c:pt idx="0">
                  <c:v>CA - Online</c:v>
                </c:pt>
              </c:strCache>
            </c:strRef>
          </c:tx>
          <c:spPr>
            <a:solidFill>
              <a:schemeClr val="accent2"/>
            </a:solidFill>
            <a:ln>
              <a:noFill/>
            </a:ln>
            <a:effectLst/>
          </c:spPr>
          <c:invertIfNegative val="0"/>
          <c:cat>
            <c:strRef>
              <c:f>'Pivot1 Sales'!$A$6:$A$9</c:f>
              <c:strCache>
                <c:ptCount val="3"/>
                <c:pt idx="0">
                  <c:v>2024</c:v>
                </c:pt>
                <c:pt idx="1">
                  <c:v>2025</c:v>
                </c:pt>
                <c:pt idx="2">
                  <c:v>2026</c:v>
                </c:pt>
              </c:strCache>
            </c:strRef>
          </c:cat>
          <c:val>
            <c:numRef>
              <c:f>'Pivot1 Sales'!$C$6:$C$9</c:f>
              <c:numCache>
                <c:formatCode>General</c:formatCode>
                <c:ptCount val="3"/>
                <c:pt idx="0">
                  <c:v>33310</c:v>
                </c:pt>
                <c:pt idx="1">
                  <c:v>95474.070000000022</c:v>
                </c:pt>
                <c:pt idx="2">
                  <c:v>46659.469999999965</c:v>
                </c:pt>
              </c:numCache>
            </c:numRef>
          </c:val>
          <c:extLst>
            <c:ext xmlns:c16="http://schemas.microsoft.com/office/drawing/2014/chart" uri="{C3380CC4-5D6E-409C-BE32-E72D297353CC}">
              <c16:uniqueId val="{00000001-4247-41F0-8FD5-5F981ED1EA96}"/>
            </c:ext>
          </c:extLst>
        </c:ser>
        <c:ser>
          <c:idx val="2"/>
          <c:order val="2"/>
          <c:tx>
            <c:strRef>
              <c:f>'Pivot1 Sales'!$D$3:$D$5</c:f>
              <c:strCache>
                <c:ptCount val="1"/>
                <c:pt idx="0">
                  <c:v>CA - Partner</c:v>
                </c:pt>
              </c:strCache>
            </c:strRef>
          </c:tx>
          <c:spPr>
            <a:solidFill>
              <a:schemeClr val="accent3"/>
            </a:solidFill>
            <a:ln>
              <a:noFill/>
            </a:ln>
            <a:effectLst/>
          </c:spPr>
          <c:invertIfNegative val="0"/>
          <c:cat>
            <c:strRef>
              <c:f>'Pivot1 Sales'!$A$6:$A$9</c:f>
              <c:strCache>
                <c:ptCount val="3"/>
                <c:pt idx="0">
                  <c:v>2024</c:v>
                </c:pt>
                <c:pt idx="1">
                  <c:v>2025</c:v>
                </c:pt>
                <c:pt idx="2">
                  <c:v>2026</c:v>
                </c:pt>
              </c:strCache>
            </c:strRef>
          </c:cat>
          <c:val>
            <c:numRef>
              <c:f>'Pivot1 Sales'!$D$6:$D$9</c:f>
              <c:numCache>
                <c:formatCode>General</c:formatCode>
                <c:ptCount val="3"/>
                <c:pt idx="0">
                  <c:v>7505</c:v>
                </c:pt>
                <c:pt idx="1">
                  <c:v>23579.359999999997</c:v>
                </c:pt>
                <c:pt idx="2">
                  <c:v>22289.59</c:v>
                </c:pt>
              </c:numCache>
            </c:numRef>
          </c:val>
          <c:extLst>
            <c:ext xmlns:c16="http://schemas.microsoft.com/office/drawing/2014/chart" uri="{C3380CC4-5D6E-409C-BE32-E72D297353CC}">
              <c16:uniqueId val="{00000002-4247-41F0-8FD5-5F981ED1EA96}"/>
            </c:ext>
          </c:extLst>
        </c:ser>
        <c:ser>
          <c:idx val="3"/>
          <c:order val="3"/>
          <c:tx>
            <c:strRef>
              <c:f>'Pivot1 Sales'!$F$3:$F$5</c:f>
              <c:strCache>
                <c:ptCount val="1"/>
                <c:pt idx="0">
                  <c:v>FL - Direct</c:v>
                </c:pt>
              </c:strCache>
            </c:strRef>
          </c:tx>
          <c:spPr>
            <a:solidFill>
              <a:schemeClr val="accent4"/>
            </a:solidFill>
            <a:ln>
              <a:noFill/>
            </a:ln>
            <a:effectLst/>
          </c:spPr>
          <c:invertIfNegative val="0"/>
          <c:cat>
            <c:strRef>
              <c:f>'Pivot1 Sales'!$A$6:$A$9</c:f>
              <c:strCache>
                <c:ptCount val="3"/>
                <c:pt idx="0">
                  <c:v>2024</c:v>
                </c:pt>
                <c:pt idx="1">
                  <c:v>2025</c:v>
                </c:pt>
                <c:pt idx="2">
                  <c:v>2026</c:v>
                </c:pt>
              </c:strCache>
            </c:strRef>
          </c:cat>
          <c:val>
            <c:numRef>
              <c:f>'Pivot1 Sales'!$F$6:$F$9</c:f>
              <c:numCache>
                <c:formatCode>General</c:formatCode>
                <c:ptCount val="3"/>
                <c:pt idx="0">
                  <c:v>11040</c:v>
                </c:pt>
                <c:pt idx="1">
                  <c:v>34405.229999999989</c:v>
                </c:pt>
                <c:pt idx="2">
                  <c:v>9654.5099999999984</c:v>
                </c:pt>
              </c:numCache>
            </c:numRef>
          </c:val>
          <c:extLst>
            <c:ext xmlns:c16="http://schemas.microsoft.com/office/drawing/2014/chart" uri="{C3380CC4-5D6E-409C-BE32-E72D297353CC}">
              <c16:uniqueId val="{00000003-4247-41F0-8FD5-5F981ED1EA96}"/>
            </c:ext>
          </c:extLst>
        </c:ser>
        <c:ser>
          <c:idx val="4"/>
          <c:order val="4"/>
          <c:tx>
            <c:strRef>
              <c:f>'Pivot1 Sales'!$G$3:$G$5</c:f>
              <c:strCache>
                <c:ptCount val="1"/>
                <c:pt idx="0">
                  <c:v>FL - Online</c:v>
                </c:pt>
              </c:strCache>
            </c:strRef>
          </c:tx>
          <c:spPr>
            <a:solidFill>
              <a:schemeClr val="accent5"/>
            </a:solidFill>
            <a:ln>
              <a:noFill/>
            </a:ln>
            <a:effectLst/>
          </c:spPr>
          <c:invertIfNegative val="0"/>
          <c:cat>
            <c:strRef>
              <c:f>'Pivot1 Sales'!$A$6:$A$9</c:f>
              <c:strCache>
                <c:ptCount val="3"/>
                <c:pt idx="0">
                  <c:v>2024</c:v>
                </c:pt>
                <c:pt idx="1">
                  <c:v>2025</c:v>
                </c:pt>
                <c:pt idx="2">
                  <c:v>2026</c:v>
                </c:pt>
              </c:strCache>
            </c:strRef>
          </c:cat>
          <c:val>
            <c:numRef>
              <c:f>'Pivot1 Sales'!$G$6:$G$9</c:f>
              <c:numCache>
                <c:formatCode>General</c:formatCode>
                <c:ptCount val="3"/>
                <c:pt idx="0">
                  <c:v>14080</c:v>
                </c:pt>
                <c:pt idx="1">
                  <c:v>51739.339999999982</c:v>
                </c:pt>
                <c:pt idx="2">
                  <c:v>23276.759999999995</c:v>
                </c:pt>
              </c:numCache>
            </c:numRef>
          </c:val>
          <c:extLst>
            <c:ext xmlns:c16="http://schemas.microsoft.com/office/drawing/2014/chart" uri="{C3380CC4-5D6E-409C-BE32-E72D297353CC}">
              <c16:uniqueId val="{00000004-4247-41F0-8FD5-5F981ED1EA96}"/>
            </c:ext>
          </c:extLst>
        </c:ser>
        <c:ser>
          <c:idx val="5"/>
          <c:order val="5"/>
          <c:tx>
            <c:strRef>
              <c:f>'Pivot1 Sales'!$H$3:$H$5</c:f>
              <c:strCache>
                <c:ptCount val="1"/>
                <c:pt idx="0">
                  <c:v>FL - Partner</c:v>
                </c:pt>
              </c:strCache>
            </c:strRef>
          </c:tx>
          <c:spPr>
            <a:solidFill>
              <a:schemeClr val="accent6"/>
            </a:solidFill>
            <a:ln>
              <a:noFill/>
            </a:ln>
            <a:effectLst/>
          </c:spPr>
          <c:invertIfNegative val="0"/>
          <c:cat>
            <c:strRef>
              <c:f>'Pivot1 Sales'!$A$6:$A$9</c:f>
              <c:strCache>
                <c:ptCount val="3"/>
                <c:pt idx="0">
                  <c:v>2024</c:v>
                </c:pt>
                <c:pt idx="1">
                  <c:v>2025</c:v>
                </c:pt>
                <c:pt idx="2">
                  <c:v>2026</c:v>
                </c:pt>
              </c:strCache>
            </c:strRef>
          </c:cat>
          <c:val>
            <c:numRef>
              <c:f>'Pivot1 Sales'!$H$6:$H$9</c:f>
              <c:numCache>
                <c:formatCode>General</c:formatCode>
                <c:ptCount val="3"/>
                <c:pt idx="0">
                  <c:v>6880</c:v>
                </c:pt>
                <c:pt idx="1">
                  <c:v>13811.179999999997</c:v>
                </c:pt>
                <c:pt idx="2">
                  <c:v>9471.5400000000009</c:v>
                </c:pt>
              </c:numCache>
            </c:numRef>
          </c:val>
          <c:extLst>
            <c:ext xmlns:c16="http://schemas.microsoft.com/office/drawing/2014/chart" uri="{C3380CC4-5D6E-409C-BE32-E72D297353CC}">
              <c16:uniqueId val="{00000005-4247-41F0-8FD5-5F981ED1EA96}"/>
            </c:ext>
          </c:extLst>
        </c:ser>
        <c:ser>
          <c:idx val="6"/>
          <c:order val="6"/>
          <c:tx>
            <c:strRef>
              <c:f>'Pivot1 Sales'!$J$3:$J$5</c:f>
              <c:strCache>
                <c:ptCount val="1"/>
                <c:pt idx="0">
                  <c:v>IL - Direct</c:v>
                </c:pt>
              </c:strCache>
            </c:strRef>
          </c:tx>
          <c:spPr>
            <a:solidFill>
              <a:schemeClr val="accent1">
                <a:lumMod val="60000"/>
              </a:schemeClr>
            </a:solidFill>
            <a:ln>
              <a:noFill/>
            </a:ln>
            <a:effectLst/>
          </c:spPr>
          <c:invertIfNegative val="0"/>
          <c:cat>
            <c:strRef>
              <c:f>'Pivot1 Sales'!$A$6:$A$9</c:f>
              <c:strCache>
                <c:ptCount val="3"/>
                <c:pt idx="0">
                  <c:v>2024</c:v>
                </c:pt>
                <c:pt idx="1">
                  <c:v>2025</c:v>
                </c:pt>
                <c:pt idx="2">
                  <c:v>2026</c:v>
                </c:pt>
              </c:strCache>
            </c:strRef>
          </c:cat>
          <c:val>
            <c:numRef>
              <c:f>'Pivot1 Sales'!$J$6:$J$9</c:f>
              <c:numCache>
                <c:formatCode>General</c:formatCode>
                <c:ptCount val="3"/>
                <c:pt idx="0">
                  <c:v>3845</c:v>
                </c:pt>
                <c:pt idx="1">
                  <c:v>25760.549999999996</c:v>
                </c:pt>
                <c:pt idx="2">
                  <c:v>11065.340000000002</c:v>
                </c:pt>
              </c:numCache>
            </c:numRef>
          </c:val>
          <c:extLst>
            <c:ext xmlns:c16="http://schemas.microsoft.com/office/drawing/2014/chart" uri="{C3380CC4-5D6E-409C-BE32-E72D297353CC}">
              <c16:uniqueId val="{00000006-4247-41F0-8FD5-5F981ED1EA96}"/>
            </c:ext>
          </c:extLst>
        </c:ser>
        <c:ser>
          <c:idx val="7"/>
          <c:order val="7"/>
          <c:tx>
            <c:strRef>
              <c:f>'Pivot1 Sales'!$K$3:$K$5</c:f>
              <c:strCache>
                <c:ptCount val="1"/>
                <c:pt idx="0">
                  <c:v>IL - Online</c:v>
                </c:pt>
              </c:strCache>
            </c:strRef>
          </c:tx>
          <c:spPr>
            <a:solidFill>
              <a:schemeClr val="accent2">
                <a:lumMod val="60000"/>
              </a:schemeClr>
            </a:solidFill>
            <a:ln>
              <a:noFill/>
            </a:ln>
            <a:effectLst/>
          </c:spPr>
          <c:invertIfNegative val="0"/>
          <c:cat>
            <c:strRef>
              <c:f>'Pivot1 Sales'!$A$6:$A$9</c:f>
              <c:strCache>
                <c:ptCount val="3"/>
                <c:pt idx="0">
                  <c:v>2024</c:v>
                </c:pt>
                <c:pt idx="1">
                  <c:v>2025</c:v>
                </c:pt>
                <c:pt idx="2">
                  <c:v>2026</c:v>
                </c:pt>
              </c:strCache>
            </c:strRef>
          </c:cat>
          <c:val>
            <c:numRef>
              <c:f>'Pivot1 Sales'!$K$6:$K$9</c:f>
              <c:numCache>
                <c:formatCode>General</c:formatCode>
                <c:ptCount val="3"/>
                <c:pt idx="0">
                  <c:v>16580</c:v>
                </c:pt>
                <c:pt idx="1">
                  <c:v>34216.22</c:v>
                </c:pt>
                <c:pt idx="2">
                  <c:v>19833.850000000002</c:v>
                </c:pt>
              </c:numCache>
            </c:numRef>
          </c:val>
          <c:extLst>
            <c:ext xmlns:c16="http://schemas.microsoft.com/office/drawing/2014/chart" uri="{C3380CC4-5D6E-409C-BE32-E72D297353CC}">
              <c16:uniqueId val="{00000007-4247-41F0-8FD5-5F981ED1EA96}"/>
            </c:ext>
          </c:extLst>
        </c:ser>
        <c:ser>
          <c:idx val="8"/>
          <c:order val="8"/>
          <c:tx>
            <c:strRef>
              <c:f>'Pivot1 Sales'!$L$3:$L$5</c:f>
              <c:strCache>
                <c:ptCount val="1"/>
                <c:pt idx="0">
                  <c:v>IL - Partner</c:v>
                </c:pt>
              </c:strCache>
            </c:strRef>
          </c:tx>
          <c:spPr>
            <a:solidFill>
              <a:schemeClr val="accent3">
                <a:lumMod val="60000"/>
              </a:schemeClr>
            </a:solidFill>
            <a:ln>
              <a:noFill/>
            </a:ln>
            <a:effectLst/>
          </c:spPr>
          <c:invertIfNegative val="0"/>
          <c:cat>
            <c:strRef>
              <c:f>'Pivot1 Sales'!$A$6:$A$9</c:f>
              <c:strCache>
                <c:ptCount val="3"/>
                <c:pt idx="0">
                  <c:v>2024</c:v>
                </c:pt>
                <c:pt idx="1">
                  <c:v>2025</c:v>
                </c:pt>
                <c:pt idx="2">
                  <c:v>2026</c:v>
                </c:pt>
              </c:strCache>
            </c:strRef>
          </c:cat>
          <c:val>
            <c:numRef>
              <c:f>'Pivot1 Sales'!$L$6:$L$9</c:f>
              <c:numCache>
                <c:formatCode>General</c:formatCode>
                <c:ptCount val="3"/>
                <c:pt idx="0">
                  <c:v>1700</c:v>
                </c:pt>
                <c:pt idx="1">
                  <c:v>11512.01</c:v>
                </c:pt>
                <c:pt idx="2">
                  <c:v>1589.0199999999991</c:v>
                </c:pt>
              </c:numCache>
            </c:numRef>
          </c:val>
          <c:extLst>
            <c:ext xmlns:c16="http://schemas.microsoft.com/office/drawing/2014/chart" uri="{C3380CC4-5D6E-409C-BE32-E72D297353CC}">
              <c16:uniqueId val="{00000008-4247-41F0-8FD5-5F981ED1EA96}"/>
            </c:ext>
          </c:extLst>
        </c:ser>
        <c:ser>
          <c:idx val="9"/>
          <c:order val="9"/>
          <c:tx>
            <c:strRef>
              <c:f>'Pivot1 Sales'!$N$3:$N$5</c:f>
              <c:strCache>
                <c:ptCount val="1"/>
                <c:pt idx="0">
                  <c:v>NY - Direct</c:v>
                </c:pt>
              </c:strCache>
            </c:strRef>
          </c:tx>
          <c:spPr>
            <a:solidFill>
              <a:schemeClr val="accent4">
                <a:lumMod val="60000"/>
              </a:schemeClr>
            </a:solidFill>
            <a:ln>
              <a:noFill/>
            </a:ln>
            <a:effectLst/>
          </c:spPr>
          <c:invertIfNegative val="0"/>
          <c:cat>
            <c:strRef>
              <c:f>'Pivot1 Sales'!$A$6:$A$9</c:f>
              <c:strCache>
                <c:ptCount val="3"/>
                <c:pt idx="0">
                  <c:v>2024</c:v>
                </c:pt>
                <c:pt idx="1">
                  <c:v>2025</c:v>
                </c:pt>
                <c:pt idx="2">
                  <c:v>2026</c:v>
                </c:pt>
              </c:strCache>
            </c:strRef>
          </c:cat>
          <c:val>
            <c:numRef>
              <c:f>'Pivot1 Sales'!$N$6:$N$9</c:f>
              <c:numCache>
                <c:formatCode>General</c:formatCode>
                <c:ptCount val="3"/>
                <c:pt idx="0">
                  <c:v>5860</c:v>
                </c:pt>
                <c:pt idx="1">
                  <c:v>27566.909999999993</c:v>
                </c:pt>
                <c:pt idx="2">
                  <c:v>10266.039999999999</c:v>
                </c:pt>
              </c:numCache>
            </c:numRef>
          </c:val>
          <c:extLst>
            <c:ext xmlns:c16="http://schemas.microsoft.com/office/drawing/2014/chart" uri="{C3380CC4-5D6E-409C-BE32-E72D297353CC}">
              <c16:uniqueId val="{00000009-4247-41F0-8FD5-5F981ED1EA96}"/>
            </c:ext>
          </c:extLst>
        </c:ser>
        <c:ser>
          <c:idx val="10"/>
          <c:order val="10"/>
          <c:tx>
            <c:strRef>
              <c:f>'Pivot1 Sales'!$O$3:$O$5</c:f>
              <c:strCache>
                <c:ptCount val="1"/>
                <c:pt idx="0">
                  <c:v>NY - Online</c:v>
                </c:pt>
              </c:strCache>
            </c:strRef>
          </c:tx>
          <c:spPr>
            <a:solidFill>
              <a:schemeClr val="accent5">
                <a:lumMod val="60000"/>
              </a:schemeClr>
            </a:solidFill>
            <a:ln>
              <a:noFill/>
            </a:ln>
            <a:effectLst/>
          </c:spPr>
          <c:invertIfNegative val="0"/>
          <c:cat>
            <c:strRef>
              <c:f>'Pivot1 Sales'!$A$6:$A$9</c:f>
              <c:strCache>
                <c:ptCount val="3"/>
                <c:pt idx="0">
                  <c:v>2024</c:v>
                </c:pt>
                <c:pt idx="1">
                  <c:v>2025</c:v>
                </c:pt>
                <c:pt idx="2">
                  <c:v>2026</c:v>
                </c:pt>
              </c:strCache>
            </c:strRef>
          </c:cat>
          <c:val>
            <c:numRef>
              <c:f>'Pivot1 Sales'!$O$6:$O$9</c:f>
              <c:numCache>
                <c:formatCode>General</c:formatCode>
                <c:ptCount val="3"/>
                <c:pt idx="0">
                  <c:v>12970</c:v>
                </c:pt>
                <c:pt idx="1">
                  <c:v>34331.87999999999</c:v>
                </c:pt>
                <c:pt idx="2">
                  <c:v>35444.759999999973</c:v>
                </c:pt>
              </c:numCache>
            </c:numRef>
          </c:val>
          <c:extLst>
            <c:ext xmlns:c16="http://schemas.microsoft.com/office/drawing/2014/chart" uri="{C3380CC4-5D6E-409C-BE32-E72D297353CC}">
              <c16:uniqueId val="{0000000A-4247-41F0-8FD5-5F981ED1EA96}"/>
            </c:ext>
          </c:extLst>
        </c:ser>
        <c:ser>
          <c:idx val="11"/>
          <c:order val="11"/>
          <c:tx>
            <c:strRef>
              <c:f>'Pivot1 Sales'!$P$3:$P$5</c:f>
              <c:strCache>
                <c:ptCount val="1"/>
                <c:pt idx="0">
                  <c:v>NY - Partner</c:v>
                </c:pt>
              </c:strCache>
            </c:strRef>
          </c:tx>
          <c:spPr>
            <a:solidFill>
              <a:schemeClr val="accent6">
                <a:lumMod val="60000"/>
              </a:schemeClr>
            </a:solidFill>
            <a:ln>
              <a:noFill/>
            </a:ln>
            <a:effectLst/>
          </c:spPr>
          <c:invertIfNegative val="0"/>
          <c:cat>
            <c:strRef>
              <c:f>'Pivot1 Sales'!$A$6:$A$9</c:f>
              <c:strCache>
                <c:ptCount val="3"/>
                <c:pt idx="0">
                  <c:v>2024</c:v>
                </c:pt>
                <c:pt idx="1">
                  <c:v>2025</c:v>
                </c:pt>
                <c:pt idx="2">
                  <c:v>2026</c:v>
                </c:pt>
              </c:strCache>
            </c:strRef>
          </c:cat>
          <c:val>
            <c:numRef>
              <c:f>'Pivot1 Sales'!$P$6:$P$9</c:f>
              <c:numCache>
                <c:formatCode>General</c:formatCode>
                <c:ptCount val="3"/>
                <c:pt idx="0">
                  <c:v>5835</c:v>
                </c:pt>
                <c:pt idx="1">
                  <c:v>16842.919999999998</c:v>
                </c:pt>
                <c:pt idx="2">
                  <c:v>19395.68</c:v>
                </c:pt>
              </c:numCache>
            </c:numRef>
          </c:val>
          <c:extLst>
            <c:ext xmlns:c16="http://schemas.microsoft.com/office/drawing/2014/chart" uri="{C3380CC4-5D6E-409C-BE32-E72D297353CC}">
              <c16:uniqueId val="{0000000B-4247-41F0-8FD5-5F981ED1EA96}"/>
            </c:ext>
          </c:extLst>
        </c:ser>
        <c:ser>
          <c:idx val="12"/>
          <c:order val="12"/>
          <c:tx>
            <c:strRef>
              <c:f>'Pivot1 Sales'!$R$3:$R$5</c:f>
              <c:strCache>
                <c:ptCount val="1"/>
                <c:pt idx="0">
                  <c:v>TX - Direct</c:v>
                </c:pt>
              </c:strCache>
            </c:strRef>
          </c:tx>
          <c:spPr>
            <a:solidFill>
              <a:schemeClr val="accent1">
                <a:lumMod val="80000"/>
                <a:lumOff val="20000"/>
              </a:schemeClr>
            </a:solidFill>
            <a:ln>
              <a:noFill/>
            </a:ln>
            <a:effectLst/>
          </c:spPr>
          <c:invertIfNegative val="0"/>
          <c:cat>
            <c:strRef>
              <c:f>'Pivot1 Sales'!$A$6:$A$9</c:f>
              <c:strCache>
                <c:ptCount val="3"/>
                <c:pt idx="0">
                  <c:v>2024</c:v>
                </c:pt>
                <c:pt idx="1">
                  <c:v>2025</c:v>
                </c:pt>
                <c:pt idx="2">
                  <c:v>2026</c:v>
                </c:pt>
              </c:strCache>
            </c:strRef>
          </c:cat>
          <c:val>
            <c:numRef>
              <c:f>'Pivot1 Sales'!$R$6:$R$9</c:f>
              <c:numCache>
                <c:formatCode>General</c:formatCode>
                <c:ptCount val="3"/>
                <c:pt idx="0">
                  <c:v>21470</c:v>
                </c:pt>
                <c:pt idx="1">
                  <c:v>15041.96</c:v>
                </c:pt>
                <c:pt idx="2">
                  <c:v>21475.87</c:v>
                </c:pt>
              </c:numCache>
            </c:numRef>
          </c:val>
          <c:extLst>
            <c:ext xmlns:c16="http://schemas.microsoft.com/office/drawing/2014/chart" uri="{C3380CC4-5D6E-409C-BE32-E72D297353CC}">
              <c16:uniqueId val="{0000000C-4247-41F0-8FD5-5F981ED1EA96}"/>
            </c:ext>
          </c:extLst>
        </c:ser>
        <c:ser>
          <c:idx val="13"/>
          <c:order val="13"/>
          <c:tx>
            <c:strRef>
              <c:f>'Pivot1 Sales'!$S$3:$S$5</c:f>
              <c:strCache>
                <c:ptCount val="1"/>
                <c:pt idx="0">
                  <c:v>TX - Online</c:v>
                </c:pt>
              </c:strCache>
            </c:strRef>
          </c:tx>
          <c:spPr>
            <a:solidFill>
              <a:schemeClr val="accent2">
                <a:lumMod val="80000"/>
                <a:lumOff val="20000"/>
              </a:schemeClr>
            </a:solidFill>
            <a:ln>
              <a:noFill/>
            </a:ln>
            <a:effectLst/>
          </c:spPr>
          <c:invertIfNegative val="0"/>
          <c:cat>
            <c:strRef>
              <c:f>'Pivot1 Sales'!$A$6:$A$9</c:f>
              <c:strCache>
                <c:ptCount val="3"/>
                <c:pt idx="0">
                  <c:v>2024</c:v>
                </c:pt>
                <c:pt idx="1">
                  <c:v>2025</c:v>
                </c:pt>
                <c:pt idx="2">
                  <c:v>2026</c:v>
                </c:pt>
              </c:strCache>
            </c:strRef>
          </c:cat>
          <c:val>
            <c:numRef>
              <c:f>'Pivot1 Sales'!$S$6:$S$9</c:f>
              <c:numCache>
                <c:formatCode>General</c:formatCode>
                <c:ptCount val="3"/>
                <c:pt idx="0">
                  <c:v>31530</c:v>
                </c:pt>
                <c:pt idx="1">
                  <c:v>41837.350000000006</c:v>
                </c:pt>
                <c:pt idx="2">
                  <c:v>33769.119999999988</c:v>
                </c:pt>
              </c:numCache>
            </c:numRef>
          </c:val>
          <c:extLst>
            <c:ext xmlns:c16="http://schemas.microsoft.com/office/drawing/2014/chart" uri="{C3380CC4-5D6E-409C-BE32-E72D297353CC}">
              <c16:uniqueId val="{0000000D-4247-41F0-8FD5-5F981ED1EA96}"/>
            </c:ext>
          </c:extLst>
        </c:ser>
        <c:ser>
          <c:idx val="14"/>
          <c:order val="14"/>
          <c:tx>
            <c:strRef>
              <c:f>'Pivot1 Sales'!$T$3:$T$5</c:f>
              <c:strCache>
                <c:ptCount val="1"/>
                <c:pt idx="0">
                  <c:v>TX - Partner</c:v>
                </c:pt>
              </c:strCache>
            </c:strRef>
          </c:tx>
          <c:spPr>
            <a:solidFill>
              <a:schemeClr val="accent3">
                <a:lumMod val="80000"/>
                <a:lumOff val="20000"/>
              </a:schemeClr>
            </a:solidFill>
            <a:ln>
              <a:noFill/>
            </a:ln>
            <a:effectLst/>
          </c:spPr>
          <c:invertIfNegative val="0"/>
          <c:cat>
            <c:strRef>
              <c:f>'Pivot1 Sales'!$A$6:$A$9</c:f>
              <c:strCache>
                <c:ptCount val="3"/>
                <c:pt idx="0">
                  <c:v>2024</c:v>
                </c:pt>
                <c:pt idx="1">
                  <c:v>2025</c:v>
                </c:pt>
                <c:pt idx="2">
                  <c:v>2026</c:v>
                </c:pt>
              </c:strCache>
            </c:strRef>
          </c:cat>
          <c:val>
            <c:numRef>
              <c:f>'Pivot1 Sales'!$T$6:$T$9</c:f>
              <c:numCache>
                <c:formatCode>General</c:formatCode>
                <c:ptCount val="3"/>
                <c:pt idx="0">
                  <c:v>11970</c:v>
                </c:pt>
                <c:pt idx="1">
                  <c:v>13455.979999999998</c:v>
                </c:pt>
                <c:pt idx="2">
                  <c:v>15673.520000000002</c:v>
                </c:pt>
              </c:numCache>
            </c:numRef>
          </c:val>
          <c:extLst>
            <c:ext xmlns:c16="http://schemas.microsoft.com/office/drawing/2014/chart" uri="{C3380CC4-5D6E-409C-BE32-E72D297353CC}">
              <c16:uniqueId val="{0000000E-4247-41F0-8FD5-5F981ED1EA96}"/>
            </c:ext>
          </c:extLst>
        </c:ser>
        <c:ser>
          <c:idx val="15"/>
          <c:order val="15"/>
          <c:tx>
            <c:strRef>
              <c:f>'Pivot1 Sales'!$V$3:$V$5</c:f>
              <c:strCache>
                <c:ptCount val="1"/>
                <c:pt idx="0">
                  <c:v>WA - Direct</c:v>
                </c:pt>
              </c:strCache>
            </c:strRef>
          </c:tx>
          <c:spPr>
            <a:solidFill>
              <a:schemeClr val="accent4">
                <a:lumMod val="80000"/>
                <a:lumOff val="20000"/>
              </a:schemeClr>
            </a:solidFill>
            <a:ln>
              <a:noFill/>
            </a:ln>
            <a:effectLst/>
          </c:spPr>
          <c:invertIfNegative val="0"/>
          <c:cat>
            <c:strRef>
              <c:f>'Pivot1 Sales'!$A$6:$A$9</c:f>
              <c:strCache>
                <c:ptCount val="3"/>
                <c:pt idx="0">
                  <c:v>2024</c:v>
                </c:pt>
                <c:pt idx="1">
                  <c:v>2025</c:v>
                </c:pt>
                <c:pt idx="2">
                  <c:v>2026</c:v>
                </c:pt>
              </c:strCache>
            </c:strRef>
          </c:cat>
          <c:val>
            <c:numRef>
              <c:f>'Pivot1 Sales'!$V$6:$V$9</c:f>
              <c:numCache>
                <c:formatCode>General</c:formatCode>
                <c:ptCount val="3"/>
                <c:pt idx="0">
                  <c:v>11460</c:v>
                </c:pt>
                <c:pt idx="1">
                  <c:v>17982.750000000004</c:v>
                </c:pt>
                <c:pt idx="2">
                  <c:v>16203.199999999999</c:v>
                </c:pt>
              </c:numCache>
            </c:numRef>
          </c:val>
          <c:extLst>
            <c:ext xmlns:c16="http://schemas.microsoft.com/office/drawing/2014/chart" uri="{C3380CC4-5D6E-409C-BE32-E72D297353CC}">
              <c16:uniqueId val="{0000000F-4247-41F0-8FD5-5F981ED1EA96}"/>
            </c:ext>
          </c:extLst>
        </c:ser>
        <c:ser>
          <c:idx val="16"/>
          <c:order val="16"/>
          <c:tx>
            <c:strRef>
              <c:f>'Pivot1 Sales'!$W$3:$W$5</c:f>
              <c:strCache>
                <c:ptCount val="1"/>
                <c:pt idx="0">
                  <c:v>WA - Online</c:v>
                </c:pt>
              </c:strCache>
            </c:strRef>
          </c:tx>
          <c:spPr>
            <a:solidFill>
              <a:schemeClr val="accent5">
                <a:lumMod val="80000"/>
                <a:lumOff val="20000"/>
              </a:schemeClr>
            </a:solidFill>
            <a:ln>
              <a:noFill/>
            </a:ln>
            <a:effectLst/>
          </c:spPr>
          <c:invertIfNegative val="0"/>
          <c:cat>
            <c:strRef>
              <c:f>'Pivot1 Sales'!$A$6:$A$9</c:f>
              <c:strCache>
                <c:ptCount val="3"/>
                <c:pt idx="0">
                  <c:v>2024</c:v>
                </c:pt>
                <c:pt idx="1">
                  <c:v>2025</c:v>
                </c:pt>
                <c:pt idx="2">
                  <c:v>2026</c:v>
                </c:pt>
              </c:strCache>
            </c:strRef>
          </c:cat>
          <c:val>
            <c:numRef>
              <c:f>'Pivot1 Sales'!$W$6:$W$9</c:f>
              <c:numCache>
                <c:formatCode>General</c:formatCode>
                <c:ptCount val="3"/>
                <c:pt idx="0">
                  <c:v>10900</c:v>
                </c:pt>
                <c:pt idx="1">
                  <c:v>27386.71</c:v>
                </c:pt>
                <c:pt idx="2">
                  <c:v>14580.49</c:v>
                </c:pt>
              </c:numCache>
            </c:numRef>
          </c:val>
          <c:extLst>
            <c:ext xmlns:c16="http://schemas.microsoft.com/office/drawing/2014/chart" uri="{C3380CC4-5D6E-409C-BE32-E72D297353CC}">
              <c16:uniqueId val="{00000010-4247-41F0-8FD5-5F981ED1EA96}"/>
            </c:ext>
          </c:extLst>
        </c:ser>
        <c:ser>
          <c:idx val="17"/>
          <c:order val="17"/>
          <c:tx>
            <c:strRef>
              <c:f>'Pivot1 Sales'!$X$3:$X$5</c:f>
              <c:strCache>
                <c:ptCount val="1"/>
                <c:pt idx="0">
                  <c:v>WA - Partner</c:v>
                </c:pt>
              </c:strCache>
            </c:strRef>
          </c:tx>
          <c:spPr>
            <a:solidFill>
              <a:schemeClr val="accent6">
                <a:lumMod val="80000"/>
                <a:lumOff val="20000"/>
              </a:schemeClr>
            </a:solidFill>
            <a:ln>
              <a:noFill/>
            </a:ln>
            <a:effectLst/>
          </c:spPr>
          <c:invertIfNegative val="0"/>
          <c:cat>
            <c:strRef>
              <c:f>'Pivot1 Sales'!$A$6:$A$9</c:f>
              <c:strCache>
                <c:ptCount val="3"/>
                <c:pt idx="0">
                  <c:v>2024</c:v>
                </c:pt>
                <c:pt idx="1">
                  <c:v>2025</c:v>
                </c:pt>
                <c:pt idx="2">
                  <c:v>2026</c:v>
                </c:pt>
              </c:strCache>
            </c:strRef>
          </c:cat>
          <c:val>
            <c:numRef>
              <c:f>'Pivot1 Sales'!$X$6:$X$9</c:f>
              <c:numCache>
                <c:formatCode>General</c:formatCode>
                <c:ptCount val="3"/>
                <c:pt idx="0">
                  <c:v>4995</c:v>
                </c:pt>
                <c:pt idx="1">
                  <c:v>13238.849999999997</c:v>
                </c:pt>
                <c:pt idx="2">
                  <c:v>6086.4400000000005</c:v>
                </c:pt>
              </c:numCache>
            </c:numRef>
          </c:val>
          <c:extLst>
            <c:ext xmlns:c16="http://schemas.microsoft.com/office/drawing/2014/chart" uri="{C3380CC4-5D6E-409C-BE32-E72D297353CC}">
              <c16:uniqueId val="{00000011-4247-41F0-8FD5-5F981ED1EA96}"/>
            </c:ext>
          </c:extLst>
        </c:ser>
        <c:dLbls>
          <c:showLegendKey val="0"/>
          <c:showVal val="0"/>
          <c:showCatName val="0"/>
          <c:showSerName val="0"/>
          <c:showPercent val="0"/>
          <c:showBubbleSize val="0"/>
        </c:dLbls>
        <c:gapWidth val="219"/>
        <c:overlap val="-27"/>
        <c:axId val="731113512"/>
        <c:axId val="731112856"/>
      </c:barChart>
      <c:catAx>
        <c:axId val="731113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crossAx val="731112856"/>
        <c:crosses val="autoZero"/>
        <c:auto val="1"/>
        <c:lblAlgn val="ctr"/>
        <c:lblOffset val="100"/>
        <c:noMultiLvlLbl val="0"/>
      </c:catAx>
      <c:valAx>
        <c:axId val="731112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crossAx val="731113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B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[Sales.Orders.xlsx]Pivot2 Products!PivotTable3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 Products'!$B$3</c:f>
              <c:strCache>
                <c:ptCount val="1"/>
                <c:pt idx="0">
                  <c:v>Sum of SalesAmount</c:v>
                </c:pt>
              </c:strCache>
            </c:strRef>
          </c:tx>
          <c:spPr>
            <a:solidFill>
              <a:schemeClr val="accent1"/>
            </a:solidFill>
            <a:ln>
              <a:noFill/>
            </a:ln>
            <a:effectLst/>
          </c:spPr>
          <c:invertIfNegative val="0"/>
          <c:cat>
            <c:strRef>
              <c:f>'Pivot2 Products'!$A$4:$A$16</c:f>
              <c:strCache>
                <c:ptCount val="12"/>
                <c:pt idx="0">
                  <c:v>10000mAh Power Bank</c:v>
                </c:pt>
                <c:pt idx="1">
                  <c:v>24-Port PoE Switch</c:v>
                </c:pt>
                <c:pt idx="2">
                  <c:v>Dual-Band Wi-Fi 6 Router</c:v>
                </c:pt>
                <c:pt idx="3">
                  <c:v>EliteDesk Mini PC</c:v>
                </c:pt>
                <c:pt idx="4">
                  <c:v>IP Security Camera 4K</c:v>
                </c:pt>
                <c:pt idx="5">
                  <c:v>Mechanical Keyboard</c:v>
                </c:pt>
                <c:pt idx="6">
                  <c:v>ProBook 15.6"</c:v>
                </c:pt>
                <c:pt idx="7">
                  <c:v>Smart Lighting Kit</c:v>
                </c:pt>
                <c:pt idx="8">
                  <c:v>Smart Thermostat Pro</c:v>
                </c:pt>
                <c:pt idx="9">
                  <c:v>USB-C Triple Display Dock</c:v>
                </c:pt>
                <c:pt idx="10">
                  <c:v>Voice Assistant Hub</c:v>
                </c:pt>
                <c:pt idx="11">
                  <c:v>Workstation Tower</c:v>
                </c:pt>
              </c:strCache>
            </c:strRef>
          </c:cat>
          <c:val>
            <c:numRef>
              <c:f>'Pivot2 Products'!$B$4:$B$16</c:f>
              <c:numCache>
                <c:formatCode>General</c:formatCode>
                <c:ptCount val="12"/>
                <c:pt idx="0">
                  <c:v>9548.7800000000097</c:v>
                </c:pt>
                <c:pt idx="1">
                  <c:v>100337.06000000003</c:v>
                </c:pt>
                <c:pt idx="2">
                  <c:v>43808.649999999907</c:v>
                </c:pt>
                <c:pt idx="3">
                  <c:v>200497.97000000029</c:v>
                </c:pt>
                <c:pt idx="4">
                  <c:v>31501.449999999946</c:v>
                </c:pt>
                <c:pt idx="5">
                  <c:v>26486.339999999997</c:v>
                </c:pt>
                <c:pt idx="6">
                  <c:v>264832.34000000026</c:v>
                </c:pt>
                <c:pt idx="7">
                  <c:v>21819.049999999992</c:v>
                </c:pt>
                <c:pt idx="8">
                  <c:v>37955.780000000006</c:v>
                </c:pt>
                <c:pt idx="9">
                  <c:v>32490.139999999952</c:v>
                </c:pt>
                <c:pt idx="10">
                  <c:v>15520.580000000013</c:v>
                </c:pt>
                <c:pt idx="11">
                  <c:v>329303.14999999997</c:v>
                </c:pt>
              </c:numCache>
            </c:numRef>
          </c:val>
          <c:extLst>
            <c:ext xmlns:c16="http://schemas.microsoft.com/office/drawing/2014/chart" uri="{C3380CC4-5D6E-409C-BE32-E72D297353CC}">
              <c16:uniqueId val="{00000000-E07E-4823-838D-36C3D77E650E}"/>
            </c:ext>
          </c:extLst>
        </c:ser>
        <c:ser>
          <c:idx val="1"/>
          <c:order val="1"/>
          <c:tx>
            <c:strRef>
              <c:f>'Pivot2 Products'!$C$3</c:f>
              <c:strCache>
                <c:ptCount val="1"/>
                <c:pt idx="0">
                  <c:v>Sum of CostAmount</c:v>
                </c:pt>
              </c:strCache>
            </c:strRef>
          </c:tx>
          <c:spPr>
            <a:solidFill>
              <a:schemeClr val="accent2"/>
            </a:solidFill>
            <a:ln>
              <a:noFill/>
            </a:ln>
            <a:effectLst/>
          </c:spPr>
          <c:invertIfNegative val="0"/>
          <c:cat>
            <c:strRef>
              <c:f>'Pivot2 Products'!$A$4:$A$16</c:f>
              <c:strCache>
                <c:ptCount val="12"/>
                <c:pt idx="0">
                  <c:v>10000mAh Power Bank</c:v>
                </c:pt>
                <c:pt idx="1">
                  <c:v>24-Port PoE Switch</c:v>
                </c:pt>
                <c:pt idx="2">
                  <c:v>Dual-Band Wi-Fi 6 Router</c:v>
                </c:pt>
                <c:pt idx="3">
                  <c:v>EliteDesk Mini PC</c:v>
                </c:pt>
                <c:pt idx="4">
                  <c:v>IP Security Camera 4K</c:v>
                </c:pt>
                <c:pt idx="5">
                  <c:v>Mechanical Keyboard</c:v>
                </c:pt>
                <c:pt idx="6">
                  <c:v>ProBook 15.6"</c:v>
                </c:pt>
                <c:pt idx="7">
                  <c:v>Smart Lighting Kit</c:v>
                </c:pt>
                <c:pt idx="8">
                  <c:v>Smart Thermostat Pro</c:v>
                </c:pt>
                <c:pt idx="9">
                  <c:v>USB-C Triple Display Dock</c:v>
                </c:pt>
                <c:pt idx="10">
                  <c:v>Voice Assistant Hub</c:v>
                </c:pt>
                <c:pt idx="11">
                  <c:v>Workstation Tower</c:v>
                </c:pt>
              </c:strCache>
            </c:strRef>
          </c:cat>
          <c:val>
            <c:numRef>
              <c:f>'Pivot2 Products'!$C$4:$C$16</c:f>
              <c:numCache>
                <c:formatCode>General</c:formatCode>
                <c:ptCount val="12"/>
                <c:pt idx="0">
                  <c:v>4243.7800000000116</c:v>
                </c:pt>
                <c:pt idx="1">
                  <c:v>63069.280000000086</c:v>
                </c:pt>
                <c:pt idx="2">
                  <c:v>26771.569999999996</c:v>
                </c:pt>
                <c:pt idx="3">
                  <c:v>138806.45999999988</c:v>
                </c:pt>
                <c:pt idx="4">
                  <c:v>18900.599999999984</c:v>
                </c:pt>
                <c:pt idx="5">
                  <c:v>15651.250000000029</c:v>
                </c:pt>
                <c:pt idx="6">
                  <c:v>186940.61999999956</c:v>
                </c:pt>
                <c:pt idx="7">
                  <c:v>12727.63999999999</c:v>
                </c:pt>
                <c:pt idx="8">
                  <c:v>22428.520000000011</c:v>
                </c:pt>
                <c:pt idx="9">
                  <c:v>19493.829999999976</c:v>
                </c:pt>
                <c:pt idx="10">
                  <c:v>9484.880000000001</c:v>
                </c:pt>
                <c:pt idx="11">
                  <c:v>233256.65000000023</c:v>
                </c:pt>
              </c:numCache>
            </c:numRef>
          </c:val>
          <c:extLst>
            <c:ext xmlns:c16="http://schemas.microsoft.com/office/drawing/2014/chart" uri="{C3380CC4-5D6E-409C-BE32-E72D297353CC}">
              <c16:uniqueId val="{00000001-E07E-4823-838D-36C3D77E650E}"/>
            </c:ext>
          </c:extLst>
        </c:ser>
        <c:dLbls>
          <c:showLegendKey val="0"/>
          <c:showVal val="0"/>
          <c:showCatName val="0"/>
          <c:showSerName val="0"/>
          <c:showPercent val="0"/>
          <c:showBubbleSize val="0"/>
        </c:dLbls>
        <c:gapWidth val="219"/>
        <c:overlap val="-27"/>
        <c:axId val="731115152"/>
        <c:axId val="731116464"/>
      </c:barChart>
      <c:catAx>
        <c:axId val="73111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crossAx val="731116464"/>
        <c:crosses val="autoZero"/>
        <c:auto val="1"/>
        <c:lblAlgn val="ctr"/>
        <c:lblOffset val="100"/>
        <c:noMultiLvlLbl val="0"/>
      </c:catAx>
      <c:valAx>
        <c:axId val="73111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crossAx val="73111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B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[Sales.Orders.xlsx]Pivot3 Repeat Rate!PivotTable4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B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BY"/>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6121962027474"/>
          <c:y val="0.24856383431619708"/>
          <c:w val="0.55932994171183148"/>
          <c:h val="0.53057206001577029"/>
        </c:manualLayout>
      </c:layout>
      <c:barChart>
        <c:barDir val="col"/>
        <c:grouping val="clustered"/>
        <c:varyColors val="0"/>
        <c:ser>
          <c:idx val="0"/>
          <c:order val="0"/>
          <c:tx>
            <c:strRef>
              <c:f>'Pivot3 Repeat Rate'!$B$3</c:f>
              <c:strCache>
                <c:ptCount val="1"/>
                <c:pt idx="0">
                  <c:v>Total</c:v>
                </c:pt>
              </c:strCache>
            </c:strRef>
          </c:tx>
          <c:spPr>
            <a:solidFill>
              <a:schemeClr val="accent1"/>
            </a:solidFill>
            <a:ln>
              <a:noFill/>
            </a:ln>
            <a:effectLst/>
          </c:spPr>
          <c:invertIfNegative val="0"/>
          <c:cat>
            <c:strRef>
              <c:f>'Pivot3 Repeat Rate'!$A$4:$A$10</c:f>
              <c:strCache>
                <c:ptCount val="6"/>
                <c:pt idx="0">
                  <c:v>CA</c:v>
                </c:pt>
                <c:pt idx="1">
                  <c:v>FL</c:v>
                </c:pt>
                <c:pt idx="2">
                  <c:v>IL</c:v>
                </c:pt>
                <c:pt idx="3">
                  <c:v>NY</c:v>
                </c:pt>
                <c:pt idx="4">
                  <c:v>TX</c:v>
                </c:pt>
                <c:pt idx="5">
                  <c:v>WA</c:v>
                </c:pt>
              </c:strCache>
            </c:strRef>
          </c:cat>
          <c:val>
            <c:numRef>
              <c:f>'Pivot3 Repeat Rate'!$B$4:$B$10</c:f>
              <c:numCache>
                <c:formatCode>General</c:formatCode>
                <c:ptCount val="6"/>
                <c:pt idx="0">
                  <c:v>182</c:v>
                </c:pt>
                <c:pt idx="1">
                  <c:v>90</c:v>
                </c:pt>
                <c:pt idx="2">
                  <c:v>61</c:v>
                </c:pt>
                <c:pt idx="3">
                  <c:v>90</c:v>
                </c:pt>
                <c:pt idx="4">
                  <c:v>119</c:v>
                </c:pt>
                <c:pt idx="5">
                  <c:v>56</c:v>
                </c:pt>
              </c:numCache>
            </c:numRef>
          </c:val>
          <c:extLst>
            <c:ext xmlns:c16="http://schemas.microsoft.com/office/drawing/2014/chart" uri="{C3380CC4-5D6E-409C-BE32-E72D297353CC}">
              <c16:uniqueId val="{00000000-C5ED-4A06-8528-2EDE95EEC5E8}"/>
            </c:ext>
          </c:extLst>
        </c:ser>
        <c:dLbls>
          <c:showLegendKey val="0"/>
          <c:showVal val="0"/>
          <c:showCatName val="0"/>
          <c:showSerName val="0"/>
          <c:showPercent val="0"/>
          <c:showBubbleSize val="0"/>
        </c:dLbls>
        <c:gapWidth val="219"/>
        <c:overlap val="-27"/>
        <c:axId val="583443472"/>
        <c:axId val="583441832"/>
      </c:barChart>
      <c:catAx>
        <c:axId val="58344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crossAx val="583441832"/>
        <c:crosses val="autoZero"/>
        <c:auto val="1"/>
        <c:lblAlgn val="ctr"/>
        <c:lblOffset val="100"/>
        <c:noMultiLvlLbl val="0"/>
      </c:catAx>
      <c:valAx>
        <c:axId val="583441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crossAx val="58344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B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381000</xdr:colOff>
      <xdr:row>9</xdr:row>
      <xdr:rowOff>22860</xdr:rowOff>
    </xdr:from>
    <xdr:to>
      <xdr:col>19</xdr:col>
      <xdr:colOff>609600</xdr:colOff>
      <xdr:row>31</xdr:row>
      <xdr:rowOff>106680</xdr:rowOff>
    </xdr:to>
    <xdr:sp macro="" textlink="">
      <xdr:nvSpPr>
        <xdr:cNvPr id="2" name="TextBox 1">
          <a:extLst>
            <a:ext uri="{FF2B5EF4-FFF2-40B4-BE49-F238E27FC236}">
              <a16:creationId xmlns:a16="http://schemas.microsoft.com/office/drawing/2014/main" id="{1538F632-04A9-4216-8E97-C2657B56CBAF}"/>
            </a:ext>
          </a:extLst>
        </xdr:cNvPr>
        <xdr:cNvSpPr txBox="1"/>
      </xdr:nvSpPr>
      <xdr:spPr>
        <a:xfrm>
          <a:off x="4587240" y="1394460"/>
          <a:ext cx="9144000" cy="3436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a:solidFill>
                <a:schemeClr val="dk1"/>
              </a:solidFill>
              <a:effectLst/>
              <a:latin typeface="+mn-lt"/>
              <a:ea typeface="+mn-ea"/>
              <a:cs typeface="+mn-cs"/>
            </a:rPr>
            <a:t>An analysis of sales by month, region, and channel reveals a clear transition from high-growth volatility to a flatter, more mature sales pattern. In the prior year (PY), monthly sales peaked dramatically in July 2025 at $55,153.50, driven by aggressive promotional campaigns. In contrast, the current year (CY) exhibits a much tighter, compressed monthly range, peaking at $57,320.32 in March 2026, which visually demonstrates the 2% growth deceleration.</a:t>
          </a:r>
        </a:p>
        <a:p>
          <a:r>
            <a:rPr lang="en-US" sz="1600" b="1" i="1">
              <a:solidFill>
                <a:schemeClr val="dk1"/>
              </a:solidFill>
              <a:effectLst/>
              <a:latin typeface="+mn-lt"/>
              <a:ea typeface="+mn-ea"/>
              <a:cs typeface="+mn-cs"/>
            </a:rPr>
            <a:t>Regionally, performance is highly polarized. New York led growth at +28.51% (reaching $94,768.19), and California grew +15.26% ($169,240.31). However, these gains were severely offset by a massive -38.17% collapse in Florida ($66,618.56) and a -2.78% dip in Texas. From a channel perspective, Online remains the dominant powerhouse, generating $292,115.02 in CY (+2.21% growth). The Partner channel showed the strongest relative growth at +3.32% ($104,596.09), while the Direct channel stagnated at +0.83% ($165,855.18). This indicates that while digital and partner-led ecosystems are still expanding, direct sales teams are struggling to close new business, compounding the overall growth deceleration.</a:t>
          </a:r>
        </a:p>
        <a:p>
          <a:endParaRPr lang="ru-BY" sz="1100"/>
        </a:p>
      </xdr:txBody>
    </xdr:sp>
    <xdr:clientData/>
  </xdr:twoCellAnchor>
  <xdr:twoCellAnchor>
    <xdr:from>
      <xdr:col>0</xdr:col>
      <xdr:colOff>0</xdr:colOff>
      <xdr:row>9</xdr:row>
      <xdr:rowOff>19050</xdr:rowOff>
    </xdr:from>
    <xdr:to>
      <xdr:col>5</xdr:col>
      <xdr:colOff>365760</xdr:colOff>
      <xdr:row>32</xdr:row>
      <xdr:rowOff>0</xdr:rowOff>
    </xdr:to>
    <xdr:graphicFrame macro="">
      <xdr:nvGraphicFramePr>
        <xdr:cNvPr id="3" name="Chart 2">
          <a:extLst>
            <a:ext uri="{FF2B5EF4-FFF2-40B4-BE49-F238E27FC236}">
              <a16:creationId xmlns:a16="http://schemas.microsoft.com/office/drawing/2014/main" id="{53973DF9-768C-4390-888D-6816E5643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16</xdr:row>
      <xdr:rowOff>38100</xdr:rowOff>
    </xdr:from>
    <xdr:to>
      <xdr:col>12</xdr:col>
      <xdr:colOff>426720</xdr:colOff>
      <xdr:row>31</xdr:row>
      <xdr:rowOff>45720</xdr:rowOff>
    </xdr:to>
    <xdr:sp macro="" textlink="">
      <xdr:nvSpPr>
        <xdr:cNvPr id="2" name="TextBox 1">
          <a:extLst>
            <a:ext uri="{FF2B5EF4-FFF2-40B4-BE49-F238E27FC236}">
              <a16:creationId xmlns:a16="http://schemas.microsoft.com/office/drawing/2014/main" id="{BE8A8D55-60C0-423B-9242-659D3E660283}"/>
            </a:ext>
          </a:extLst>
        </xdr:cNvPr>
        <xdr:cNvSpPr txBox="1"/>
      </xdr:nvSpPr>
      <xdr:spPr>
        <a:xfrm>
          <a:off x="45720" y="2476500"/>
          <a:ext cx="9646920" cy="2293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dk1"/>
              </a:solidFill>
              <a:effectLst/>
              <a:latin typeface="+mn-lt"/>
              <a:ea typeface="+mn-ea"/>
              <a:cs typeface="+mn-cs"/>
            </a:rPr>
            <a:t>Product-level analysis indicates that high-ticket hardware is the primary revenue anchor, though performance within this segment is diverging. The Workstation Tower is the retailer's top-selling product, generating $329,303.15 in total sales and growing +12.73% YoY (from $154,800.00 in PY to $174,503.15 in CY). Similarly, the EliteDesk Mini PC performed exceptionally well, growing +23.52% YoY to reach $110,797.97 in CY.</a:t>
          </a:r>
        </a:p>
        <a:p>
          <a:r>
            <a:rPr lang="en-US" sz="1400" b="1" i="1">
              <a:solidFill>
                <a:schemeClr val="dk1"/>
              </a:solidFill>
              <a:effectLst/>
              <a:latin typeface="+mn-lt"/>
              <a:ea typeface="+mn-ea"/>
              <a:cs typeface="+mn-cs"/>
            </a:rPr>
            <a:t>However, these strong performances were severely undermined by a sharp -16.73% decline in the ProBook 15.6" laptop, which fell from $144,500.00 to $120,332.34. Since laptops are traditionally a gateway product for technical retailers, this decline suggests a loss of market share in core hardware. Furthermore, low-margin accessories like the USB-C Triple Display Dock plummeted by -30.78% YoY ($13,290.14 in CY). This drop in accessory attachment rates indicates that customers are purchasing their primary workstations but failing to buy peripheral accessories from the retailer. This trend compresses the average order value and represents a major missed opportunity for high-margin cross-selling.</a:t>
          </a:r>
        </a:p>
        <a:p>
          <a:endParaRPr lang="ru-BY" sz="1100"/>
        </a:p>
      </xdr:txBody>
    </xdr:sp>
    <xdr:clientData/>
  </xdr:twoCellAnchor>
  <xdr:twoCellAnchor>
    <xdr:from>
      <xdr:col>3</xdr:col>
      <xdr:colOff>7620</xdr:colOff>
      <xdr:row>0</xdr:row>
      <xdr:rowOff>15240</xdr:rowOff>
    </xdr:from>
    <xdr:to>
      <xdr:col>12</xdr:col>
      <xdr:colOff>419100</xdr:colOff>
      <xdr:row>16</xdr:row>
      <xdr:rowOff>7620</xdr:rowOff>
    </xdr:to>
    <xdr:graphicFrame macro="">
      <xdr:nvGraphicFramePr>
        <xdr:cNvPr id="3" name="Chart 2">
          <a:extLst>
            <a:ext uri="{FF2B5EF4-FFF2-40B4-BE49-F238E27FC236}">
              <a16:creationId xmlns:a16="http://schemas.microsoft.com/office/drawing/2014/main" id="{486000E0-C9B1-471C-B865-3791D2288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53340</xdr:colOff>
      <xdr:row>2</xdr:row>
      <xdr:rowOff>7620</xdr:rowOff>
    </xdr:from>
    <xdr:to>
      <xdr:col>16</xdr:col>
      <xdr:colOff>388620</xdr:colOff>
      <xdr:row>30</xdr:row>
      <xdr:rowOff>114300</xdr:rowOff>
    </xdr:to>
    <xdr:sp macro="" textlink="">
      <xdr:nvSpPr>
        <xdr:cNvPr id="2" name="TextBox 1">
          <a:extLst>
            <a:ext uri="{FF2B5EF4-FFF2-40B4-BE49-F238E27FC236}">
              <a16:creationId xmlns:a16="http://schemas.microsoft.com/office/drawing/2014/main" id="{B90ED784-F971-48D7-AF63-805FE27136E6}"/>
            </a:ext>
          </a:extLst>
        </xdr:cNvPr>
        <xdr:cNvSpPr txBox="1"/>
      </xdr:nvSpPr>
      <xdr:spPr>
        <a:xfrm>
          <a:off x="2385060" y="312420"/>
          <a:ext cx="8503920" cy="437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1">
              <a:solidFill>
                <a:schemeClr val="dk1"/>
              </a:solidFill>
              <a:effectLst/>
              <a:latin typeface="+mn-lt"/>
              <a:ea typeface="+mn-ea"/>
              <a:cs typeface="+mn-cs"/>
            </a:rPr>
            <a:t>The customer repeat purchase rate by region highlights a localized retention crisis that threatens the retailer's long-term customer lifetime value. In California (CA) and Texas (TX), which together represent half of the retailer's customer base, repeat purchase rates experienced a severe drop. California's repeat purchase rate fell from 34.9% in PY to 24.92% in CY, while Texas saw a similar decline from 34.87% to 25.12%. This represents an approximate 10% absolute drop in customer loyalty in these critical regions.</a:t>
          </a:r>
        </a:p>
        <a:p>
          <a:r>
            <a:rPr lang="en-US" sz="1800" b="1" i="1">
              <a:solidFill>
                <a:schemeClr val="dk1"/>
              </a:solidFill>
              <a:effectLst/>
              <a:latin typeface="+mn-lt"/>
              <a:ea typeface="+mn-ea"/>
              <a:cs typeface="+mn-cs"/>
            </a:rPr>
            <a:t>In stark contrast, other states remained remarkably stable, hovering around the 30% baseline: New York sat at 29.75%, Florida at 30.28%, Illinois at 29.73%, and Washington at 30.11%. The localized nature of this drop in CA and TX suggests that the issue is not systemic to the product catalog but rather operational. It points to regional challenges such as localized competitor discounting, regional distribution delays, or a lack of targeted local marketing. Reversing this trend in CA and TX is paramount, as a 10% drop in repeat customers significantly inflates customer acquisition costs and drags down overall growth. </a:t>
          </a:r>
        </a:p>
        <a:p>
          <a:endParaRPr lang="ru-BY" sz="1100"/>
        </a:p>
      </xdr:txBody>
    </xdr:sp>
    <xdr:clientData/>
  </xdr:twoCellAnchor>
  <xdr:twoCellAnchor>
    <xdr:from>
      <xdr:col>0</xdr:col>
      <xdr:colOff>15240</xdr:colOff>
      <xdr:row>10</xdr:row>
      <xdr:rowOff>3810</xdr:rowOff>
    </xdr:from>
    <xdr:to>
      <xdr:col>2</xdr:col>
      <xdr:colOff>30480</xdr:colOff>
      <xdr:row>30</xdr:row>
      <xdr:rowOff>129540</xdr:rowOff>
    </xdr:to>
    <xdr:graphicFrame macro="">
      <xdr:nvGraphicFramePr>
        <xdr:cNvPr id="3" name="Chart 2">
          <a:extLst>
            <a:ext uri="{FF2B5EF4-FFF2-40B4-BE49-F238E27FC236}">
              <a16:creationId xmlns:a16="http://schemas.microsoft.com/office/drawing/2014/main" id="{98A5DDA1-29CC-4197-809C-3B4681AF3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15240</xdr:colOff>
      <xdr:row>0</xdr:row>
      <xdr:rowOff>15240</xdr:rowOff>
    </xdr:from>
    <xdr:to>
      <xdr:col>21</xdr:col>
      <xdr:colOff>0</xdr:colOff>
      <xdr:row>25</xdr:row>
      <xdr:rowOff>121920</xdr:rowOff>
    </xdr:to>
    <xdr:sp macro="" textlink="">
      <xdr:nvSpPr>
        <xdr:cNvPr id="2" name="TextBox 1">
          <a:extLst>
            <a:ext uri="{FF2B5EF4-FFF2-40B4-BE49-F238E27FC236}">
              <a16:creationId xmlns:a16="http://schemas.microsoft.com/office/drawing/2014/main" id="{E5931BDD-7544-47FF-875B-6BDECA1CC3E9}"/>
            </a:ext>
          </a:extLst>
        </xdr:cNvPr>
        <xdr:cNvSpPr txBox="1"/>
      </xdr:nvSpPr>
      <xdr:spPr>
        <a:xfrm>
          <a:off x="4244340" y="15240"/>
          <a:ext cx="9738360" cy="4831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Hypothesis Test Report</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Hypothesis 1 (H1): Channel Average Order Value (AOV)</a:t>
          </a:r>
        </a:p>
        <a:p>
          <a:r>
            <a:rPr lang="en-US" sz="1100" b="1" i="0">
              <a:solidFill>
                <a:schemeClr val="dk1"/>
              </a:solidFill>
              <a:effectLst/>
              <a:latin typeface="+mn-lt"/>
              <a:ea typeface="+mn-ea"/>
              <a:cs typeface="+mn-cs"/>
            </a:rPr>
            <a:t>Null Hypothesis (</a:t>
          </a:r>
          <a:r>
            <a:rPr lang="en-US" sz="1100" b="1" i="1">
              <a:solidFill>
                <a:schemeClr val="dk1"/>
              </a:solidFill>
              <a:effectLst/>
              <a:latin typeface="+mn-lt"/>
              <a:ea typeface="+mn-ea"/>
              <a:cs typeface="+mn-cs"/>
            </a:rPr>
            <a:t>H</a:t>
          </a:r>
          <a:r>
            <a:rPr lang="en-US" sz="1100" b="1" i="0">
              <a:solidFill>
                <a:schemeClr val="dk1"/>
              </a:solidFill>
              <a:effectLst/>
              <a:latin typeface="+mn-lt"/>
              <a:ea typeface="+mn-ea"/>
              <a:cs typeface="+mn-cs"/>
            </a:rPr>
            <a:t>0​)</a:t>
          </a:r>
          <a:r>
            <a:rPr lang="en-US" sz="1100" b="0" i="0">
              <a:solidFill>
                <a:schemeClr val="dk1"/>
              </a:solidFill>
              <a:effectLst/>
              <a:latin typeface="+mn-lt"/>
              <a:ea typeface="+mn-ea"/>
              <a:cs typeface="+mn-cs"/>
            </a:rPr>
            <a:t>: There is no difference in the mean SalesAmount between the Online and Direct channels.</a:t>
          </a:r>
        </a:p>
        <a:p>
          <a:r>
            <a:rPr lang="en-US" sz="1100" b="1" i="0">
              <a:solidFill>
                <a:schemeClr val="dk1"/>
              </a:solidFill>
              <a:effectLst/>
              <a:latin typeface="+mn-lt"/>
              <a:ea typeface="+mn-ea"/>
              <a:cs typeface="+mn-cs"/>
            </a:rPr>
            <a:t>Alternative Hypothesis (</a:t>
          </a:r>
          <a:r>
            <a:rPr lang="en-US" sz="1100" b="1" i="1">
              <a:solidFill>
                <a:schemeClr val="dk1"/>
              </a:solidFill>
              <a:effectLst/>
              <a:latin typeface="+mn-lt"/>
              <a:ea typeface="+mn-ea"/>
              <a:cs typeface="+mn-cs"/>
            </a:rPr>
            <a:t>Ha</a:t>
          </a:r>
          <a:r>
            <a:rPr lang="en-US" sz="1100" b="1" i="0">
              <a:solidFill>
                <a:schemeClr val="dk1"/>
              </a:solidFill>
              <a:effectLst/>
              <a:latin typeface="+mn-lt"/>
              <a:ea typeface="+mn-ea"/>
              <a:cs typeface="+mn-cs"/>
            </a:rPr>
            <a:t>​)</a:t>
          </a:r>
          <a:r>
            <a:rPr lang="en-US" sz="1100" b="0" i="0">
              <a:solidFill>
                <a:schemeClr val="dk1"/>
              </a:solidFill>
              <a:effectLst/>
              <a:latin typeface="+mn-lt"/>
              <a:ea typeface="+mn-ea"/>
              <a:cs typeface="+mn-cs"/>
            </a:rPr>
            <a:t>: The mean SalesAmount for the Online channel is significantly different from the Direct channel.</a:t>
          </a:r>
        </a:p>
        <a:p>
          <a:r>
            <a:rPr lang="en-US" sz="1100" b="1" i="0">
              <a:solidFill>
                <a:schemeClr val="dk1"/>
              </a:solidFill>
              <a:effectLst/>
              <a:latin typeface="+mn-lt"/>
              <a:ea typeface="+mn-ea"/>
              <a:cs typeface="+mn-cs"/>
            </a:rPr>
            <a:t>Method</a:t>
          </a:r>
          <a:r>
            <a:rPr lang="en-US" sz="1100" b="0" i="0">
              <a:solidFill>
                <a:schemeClr val="dk1"/>
              </a:solidFill>
              <a:effectLst/>
              <a:latin typeface="+mn-lt"/>
              <a:ea typeface="+mn-ea"/>
              <a:cs typeface="+mn-cs"/>
            </a:rPr>
            <a:t>: Two-sample independent </a:t>
          </a:r>
          <a:r>
            <a:rPr lang="en-US" sz="1100" b="0" i="1">
              <a:solidFill>
                <a:schemeClr val="dk1"/>
              </a:solidFill>
              <a:effectLst/>
              <a:latin typeface="+mn-lt"/>
              <a:ea typeface="+mn-ea"/>
              <a:cs typeface="+mn-cs"/>
            </a:rPr>
            <a:t>t</a:t>
          </a:r>
          <a:r>
            <a:rPr lang="en-US" sz="1100" b="0" i="0">
              <a:solidFill>
                <a:schemeClr val="dk1"/>
              </a:solidFill>
              <a:effectLst/>
              <a:latin typeface="+mn-lt"/>
              <a:ea typeface="+mn-ea"/>
              <a:cs typeface="+mn-cs"/>
            </a:rPr>
            <a:t>-test on successful sales transactions.</a:t>
          </a:r>
        </a:p>
        <a:p>
          <a:r>
            <a:rPr lang="en-US" sz="1100" b="1" i="0">
              <a:solidFill>
                <a:schemeClr val="dk1"/>
              </a:solidFill>
              <a:effectLst/>
              <a:latin typeface="+mn-lt"/>
              <a:ea typeface="+mn-ea"/>
              <a:cs typeface="+mn-cs"/>
            </a:rPr>
            <a:t>Output</a:t>
          </a:r>
          <a:r>
            <a:rPr lang="en-US" sz="1100" b="0" i="0">
              <a:solidFill>
                <a:schemeClr val="dk1"/>
              </a:solidFill>
              <a:effectLst/>
              <a:latin typeface="+mn-lt"/>
              <a:ea typeface="+mn-ea"/>
              <a:cs typeface="+mn-cs"/>
            </a:rPr>
            <a:t>:</a:t>
          </a:r>
        </a:p>
        <a:p>
          <a:pPr lvl="1"/>
          <a:r>
            <a:rPr lang="en-US" sz="1100" b="0" i="0">
              <a:solidFill>
                <a:schemeClr val="dk1"/>
              </a:solidFill>
              <a:effectLst/>
              <a:latin typeface="+mn-lt"/>
              <a:ea typeface="+mn-ea"/>
              <a:cs typeface="+mn-cs"/>
            </a:rPr>
            <a:t>Online Mean = **634.25∗∗(SD = $774.23$, </a:t>
          </a:r>
          <a:r>
            <a:rPr lang="en-US" sz="1100" b="0" i="1">
              <a:solidFill>
                <a:schemeClr val="dk1"/>
              </a:solidFill>
              <a:effectLst/>
              <a:latin typeface="+mn-lt"/>
              <a:ea typeface="+mn-ea"/>
              <a:cs typeface="+mn-cs"/>
            </a:rPr>
            <a:t>N</a:t>
          </a:r>
          <a:r>
            <a:rPr lang="en-US" sz="1100" b="0" i="0">
              <a:solidFill>
                <a:schemeClr val="dk1"/>
              </a:solidFill>
              <a:effectLst/>
              <a:latin typeface="+mn-lt"/>
              <a:ea typeface="+mn-ea"/>
              <a:cs typeface="+mn-cs"/>
            </a:rPr>
            <a:t>=960)</a:t>
          </a:r>
        </a:p>
        <a:p>
          <a:pPr lvl="1"/>
          <a:r>
            <a:rPr lang="en-US" sz="1100" b="0" i="0">
              <a:solidFill>
                <a:schemeClr val="dk1"/>
              </a:solidFill>
              <a:effectLst/>
              <a:latin typeface="+mn-lt"/>
              <a:ea typeface="+mn-ea"/>
              <a:cs typeface="+mn-cs"/>
            </a:rPr>
            <a:t>Direct Mean = **656.61∗∗(SD = $761.27$, </a:t>
          </a:r>
          <a:r>
            <a:rPr lang="en-US" sz="1100" b="0" i="1">
              <a:solidFill>
                <a:schemeClr val="dk1"/>
              </a:solidFill>
              <a:effectLst/>
              <a:latin typeface="+mn-lt"/>
              <a:ea typeface="+mn-ea"/>
              <a:cs typeface="+mn-cs"/>
            </a:rPr>
            <a:t>N</a:t>
          </a:r>
          <a:r>
            <a:rPr lang="en-US" sz="1100" b="0" i="0">
              <a:solidFill>
                <a:schemeClr val="dk1"/>
              </a:solidFill>
              <a:effectLst/>
              <a:latin typeface="+mn-lt"/>
              <a:ea typeface="+mn-ea"/>
              <a:cs typeface="+mn-cs"/>
            </a:rPr>
            <a:t>=543)</a:t>
          </a:r>
        </a:p>
        <a:p>
          <a:pPr lvl="1"/>
          <a:r>
            <a:rPr lang="en-US" sz="1100" b="0" i="1">
              <a:solidFill>
                <a:schemeClr val="dk1"/>
              </a:solidFill>
              <a:effectLst/>
              <a:latin typeface="+mn-lt"/>
              <a:ea typeface="+mn-ea"/>
              <a:cs typeface="+mn-cs"/>
            </a:rPr>
            <a:t>t</a:t>
          </a:r>
          <a:r>
            <a:rPr lang="en-US" sz="1100" b="0" i="0">
              <a:solidFill>
                <a:schemeClr val="dk1"/>
              </a:solidFill>
              <a:effectLst/>
              <a:latin typeface="+mn-lt"/>
              <a:ea typeface="+mn-ea"/>
              <a:cs typeface="+mn-cs"/>
            </a:rPr>
            <a:t>-statistic = </a:t>
          </a:r>
          <a:r>
            <a:rPr lang="en-US" sz="1100" b="1" i="0">
              <a:solidFill>
                <a:schemeClr val="dk1"/>
              </a:solidFill>
              <a:effectLst/>
              <a:latin typeface="+mn-lt"/>
              <a:ea typeface="+mn-ea"/>
              <a:cs typeface="+mn-cs"/>
            </a:rPr>
            <a:t>-0.5436</a:t>
          </a:r>
          <a:r>
            <a:rPr lang="en-US" sz="1100" b="0" i="0">
              <a:solidFill>
                <a:schemeClr val="dk1"/>
              </a:solidFill>
              <a:effectLst/>
              <a:latin typeface="+mn-lt"/>
              <a:ea typeface="+mn-ea"/>
              <a:cs typeface="+mn-cs"/>
            </a:rPr>
            <a:t>, </a:t>
          </a:r>
          <a:r>
            <a:rPr lang="en-US" sz="1100" b="0" i="1">
              <a:solidFill>
                <a:schemeClr val="dk1"/>
              </a:solidFill>
              <a:effectLst/>
              <a:latin typeface="+mn-lt"/>
              <a:ea typeface="+mn-ea"/>
              <a:cs typeface="+mn-cs"/>
            </a:rPr>
            <a:t>p</a:t>
          </a:r>
          <a:r>
            <a:rPr lang="en-US" sz="1100" b="0" i="0">
              <a:solidFill>
                <a:schemeClr val="dk1"/>
              </a:solidFill>
              <a:effectLst/>
              <a:latin typeface="+mn-lt"/>
              <a:ea typeface="+mn-ea"/>
              <a:cs typeface="+mn-cs"/>
            </a:rPr>
            <a:t>-value = </a:t>
          </a:r>
          <a:r>
            <a:rPr lang="en-US" sz="1100" b="1" i="0">
              <a:solidFill>
                <a:schemeClr val="dk1"/>
              </a:solidFill>
              <a:effectLst/>
              <a:latin typeface="+mn-lt"/>
              <a:ea typeface="+mn-ea"/>
              <a:cs typeface="+mn-cs"/>
            </a:rPr>
            <a:t>0.5868</a:t>
          </a:r>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Interpretation</a:t>
          </a:r>
          <a:r>
            <a:rPr lang="en-US" sz="1100" b="0" i="0">
              <a:solidFill>
                <a:schemeClr val="dk1"/>
              </a:solidFill>
              <a:effectLst/>
              <a:latin typeface="+mn-lt"/>
              <a:ea typeface="+mn-ea"/>
              <a:cs typeface="+mn-cs"/>
            </a:rPr>
            <a:t>: Since the </a:t>
          </a:r>
          <a:r>
            <a:rPr lang="en-US" sz="1100" b="0" i="1">
              <a:solidFill>
                <a:schemeClr val="dk1"/>
              </a:solidFill>
              <a:effectLst/>
              <a:latin typeface="+mn-lt"/>
              <a:ea typeface="+mn-ea"/>
              <a:cs typeface="+mn-cs"/>
            </a:rPr>
            <a:t>p</a:t>
          </a:r>
          <a:r>
            <a:rPr lang="en-US" sz="1100" b="0" i="0">
              <a:solidFill>
                <a:schemeClr val="dk1"/>
              </a:solidFill>
              <a:effectLst/>
              <a:latin typeface="+mn-lt"/>
              <a:ea typeface="+mn-ea"/>
              <a:cs typeface="+mn-cs"/>
            </a:rPr>
            <a:t>-value (0.5868) is much greater than the significance level (</a:t>
          </a:r>
          <a:r>
            <a:rPr lang="el-GR" sz="1100" b="0" i="1">
              <a:solidFill>
                <a:schemeClr val="dk1"/>
              </a:solidFill>
              <a:effectLst/>
              <a:latin typeface="+mn-lt"/>
              <a:ea typeface="+mn-ea"/>
              <a:cs typeface="+mn-cs"/>
            </a:rPr>
            <a:t>α</a:t>
          </a:r>
          <a:r>
            <a:rPr lang="el-GR" sz="1100" b="0" i="0">
              <a:solidFill>
                <a:schemeClr val="dk1"/>
              </a:solidFill>
              <a:effectLst/>
              <a:latin typeface="+mn-lt"/>
              <a:ea typeface="+mn-ea"/>
              <a:cs typeface="+mn-cs"/>
            </a:rPr>
            <a:t>=0.05), </a:t>
          </a:r>
          <a:r>
            <a:rPr lang="en-US" sz="1100" b="0" i="0">
              <a:solidFill>
                <a:schemeClr val="dk1"/>
              </a:solidFill>
              <a:effectLst/>
              <a:latin typeface="+mn-lt"/>
              <a:ea typeface="+mn-ea"/>
              <a:cs typeface="+mn-cs"/>
            </a:rPr>
            <a:t>we </a:t>
          </a:r>
          <a:r>
            <a:rPr lang="en-US" sz="1100" b="1" i="0">
              <a:solidFill>
                <a:schemeClr val="dk1"/>
              </a:solidFill>
              <a:effectLst/>
              <a:latin typeface="+mn-lt"/>
              <a:ea typeface="+mn-ea"/>
              <a:cs typeface="+mn-cs"/>
            </a:rPr>
            <a:t>fail to reject the null hypothesis</a:t>
          </a:r>
          <a:r>
            <a:rPr lang="en-US" sz="1100" b="0" i="0">
              <a:solidFill>
                <a:schemeClr val="dk1"/>
              </a:solidFill>
              <a:effectLst/>
              <a:latin typeface="+mn-lt"/>
              <a:ea typeface="+mn-ea"/>
              <a:cs typeface="+mn-cs"/>
            </a:rPr>
            <a:t>. There is no statistically significant difference in AOV between the Online and Direct channels.</a:t>
          </a:r>
        </a:p>
        <a:p>
          <a:r>
            <a:rPr lang="en-US" sz="1100" b="1" i="0">
              <a:solidFill>
                <a:schemeClr val="dk1"/>
              </a:solidFill>
              <a:effectLst/>
              <a:latin typeface="+mn-lt"/>
              <a:ea typeface="+mn-ea"/>
              <a:cs typeface="+mn-cs"/>
            </a:rPr>
            <a:t>Practical Implication</a:t>
          </a:r>
          <a:r>
            <a:rPr lang="en-US" sz="1100" b="0" i="0">
              <a:solidFill>
                <a:schemeClr val="dk1"/>
              </a:solidFill>
              <a:effectLst/>
              <a:latin typeface="+mn-lt"/>
              <a:ea typeface="+mn-ea"/>
              <a:cs typeface="+mn-cs"/>
            </a:rPr>
            <a:t>: The retailer can treat order sizes as statistically identical across these channels. Marketing, pricing, and inventory strategies do not need to differentiate based on channel-specific order size differences.</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Hypothesis 2 (H2): California Customer Retention Drop</a:t>
          </a:r>
        </a:p>
        <a:p>
          <a:r>
            <a:rPr lang="en-US" sz="1100" b="1" i="0">
              <a:solidFill>
                <a:schemeClr val="dk1"/>
              </a:solidFill>
              <a:effectLst/>
              <a:latin typeface="+mn-lt"/>
              <a:ea typeface="+mn-ea"/>
              <a:cs typeface="+mn-cs"/>
            </a:rPr>
            <a:t>Null Hypothesis (</a:t>
          </a:r>
          <a:r>
            <a:rPr lang="en-US" sz="1100" b="1" i="1">
              <a:solidFill>
                <a:schemeClr val="dk1"/>
              </a:solidFill>
              <a:effectLst/>
              <a:latin typeface="+mn-lt"/>
              <a:ea typeface="+mn-ea"/>
              <a:cs typeface="+mn-cs"/>
            </a:rPr>
            <a:t>H</a:t>
          </a:r>
          <a:r>
            <a:rPr lang="en-US" sz="1100" b="1" i="0">
              <a:solidFill>
                <a:schemeClr val="dk1"/>
              </a:solidFill>
              <a:effectLst/>
              <a:latin typeface="+mn-lt"/>
              <a:ea typeface="+mn-ea"/>
              <a:cs typeface="+mn-cs"/>
            </a:rPr>
            <a:t>0​)</a:t>
          </a:r>
          <a:r>
            <a:rPr lang="en-US" sz="1100" b="0" i="0">
              <a:solidFill>
                <a:schemeClr val="dk1"/>
              </a:solidFill>
              <a:effectLst/>
              <a:latin typeface="+mn-lt"/>
              <a:ea typeface="+mn-ea"/>
              <a:cs typeface="+mn-cs"/>
            </a:rPr>
            <a:t>: There is no difference in the customer repeat purchase rate in California between the Prior Year (PY) and Current Year (CY).</a:t>
          </a:r>
        </a:p>
        <a:p>
          <a:r>
            <a:rPr lang="en-US" sz="1100" b="1" i="0">
              <a:solidFill>
                <a:schemeClr val="dk1"/>
              </a:solidFill>
              <a:effectLst/>
              <a:latin typeface="+mn-lt"/>
              <a:ea typeface="+mn-ea"/>
              <a:cs typeface="+mn-cs"/>
            </a:rPr>
            <a:t>Alternative Hypothesis (</a:t>
          </a:r>
          <a:r>
            <a:rPr lang="en-US" sz="1100" b="1" i="1">
              <a:solidFill>
                <a:schemeClr val="dk1"/>
              </a:solidFill>
              <a:effectLst/>
              <a:latin typeface="+mn-lt"/>
              <a:ea typeface="+mn-ea"/>
              <a:cs typeface="+mn-cs"/>
            </a:rPr>
            <a:t>Ha</a:t>
          </a:r>
          <a:r>
            <a:rPr lang="en-US" sz="1100" b="1" i="0">
              <a:solidFill>
                <a:schemeClr val="dk1"/>
              </a:solidFill>
              <a:effectLst/>
              <a:latin typeface="+mn-lt"/>
              <a:ea typeface="+mn-ea"/>
              <a:cs typeface="+mn-cs"/>
            </a:rPr>
            <a:t>​)</a:t>
          </a:r>
          <a:r>
            <a:rPr lang="en-US" sz="1100" b="0" i="0">
              <a:solidFill>
                <a:schemeClr val="dk1"/>
              </a:solidFill>
              <a:effectLst/>
              <a:latin typeface="+mn-lt"/>
              <a:ea typeface="+mn-ea"/>
              <a:cs typeface="+mn-cs"/>
            </a:rPr>
            <a:t>: The customer repeat purchase rate in California is significantly lower in the Current Year (CY) compared to the Prior Year (PY).</a:t>
          </a:r>
        </a:p>
        <a:p>
          <a:r>
            <a:rPr lang="en-US" sz="1100" b="1" i="0">
              <a:solidFill>
                <a:schemeClr val="dk1"/>
              </a:solidFill>
              <a:effectLst/>
              <a:latin typeface="+mn-lt"/>
              <a:ea typeface="+mn-ea"/>
              <a:cs typeface="+mn-cs"/>
            </a:rPr>
            <a:t>Method</a:t>
          </a:r>
          <a:r>
            <a:rPr lang="en-US" sz="1100" b="0" i="0">
              <a:solidFill>
                <a:schemeClr val="dk1"/>
              </a:solidFill>
              <a:effectLst/>
              <a:latin typeface="+mn-lt"/>
              <a:ea typeface="+mn-ea"/>
              <a:cs typeface="+mn-cs"/>
            </a:rPr>
            <a:t>: Two-sample independent </a:t>
          </a:r>
          <a:r>
            <a:rPr lang="en-US" sz="1100" b="0" i="1">
              <a:solidFill>
                <a:schemeClr val="dk1"/>
              </a:solidFill>
              <a:effectLst/>
              <a:latin typeface="+mn-lt"/>
              <a:ea typeface="+mn-ea"/>
              <a:cs typeface="+mn-cs"/>
            </a:rPr>
            <a:t>t</a:t>
          </a:r>
          <a:r>
            <a:rPr lang="en-US" sz="1100" b="0" i="0">
              <a:solidFill>
                <a:schemeClr val="dk1"/>
              </a:solidFill>
              <a:effectLst/>
              <a:latin typeface="+mn-lt"/>
              <a:ea typeface="+mn-ea"/>
              <a:cs typeface="+mn-cs"/>
            </a:rPr>
            <a:t>-test on the binary IsRepeatPurchase flag for California transactions.</a:t>
          </a:r>
        </a:p>
        <a:p>
          <a:r>
            <a:rPr lang="en-US" sz="1100" b="1" i="0">
              <a:solidFill>
                <a:schemeClr val="dk1"/>
              </a:solidFill>
              <a:effectLst/>
              <a:latin typeface="+mn-lt"/>
              <a:ea typeface="+mn-ea"/>
              <a:cs typeface="+mn-cs"/>
            </a:rPr>
            <a:t>Output</a:t>
          </a:r>
          <a:r>
            <a:rPr lang="en-US" sz="1100" b="0" i="0">
              <a:solidFill>
                <a:schemeClr val="dk1"/>
              </a:solidFill>
              <a:effectLst/>
              <a:latin typeface="+mn-lt"/>
              <a:ea typeface="+mn-ea"/>
              <a:cs typeface="+mn-cs"/>
            </a:rPr>
            <a:t>:</a:t>
          </a:r>
        </a:p>
        <a:p>
          <a:pPr lvl="1"/>
          <a:r>
            <a:rPr lang="en-US" sz="1100" b="0" i="0">
              <a:solidFill>
                <a:schemeClr val="dk1"/>
              </a:solidFill>
              <a:effectLst/>
              <a:latin typeface="+mn-lt"/>
              <a:ea typeface="+mn-ea"/>
              <a:cs typeface="+mn-cs"/>
            </a:rPr>
            <a:t>PY Mean = </a:t>
          </a:r>
          <a:r>
            <a:rPr lang="en-US" sz="1100" b="1" i="0">
              <a:solidFill>
                <a:schemeClr val="dk1"/>
              </a:solidFill>
              <a:effectLst/>
              <a:latin typeface="+mn-lt"/>
              <a:ea typeface="+mn-ea"/>
              <a:cs typeface="+mn-cs"/>
            </a:rPr>
            <a:t>34.90%</a:t>
          </a:r>
          <a:r>
            <a:rPr lang="en-US" sz="1100" b="0" i="0">
              <a:solidFill>
                <a:schemeClr val="dk1"/>
              </a:solidFill>
              <a:effectLst/>
              <a:latin typeface="+mn-lt"/>
              <a:ea typeface="+mn-ea"/>
              <a:cs typeface="+mn-cs"/>
            </a:rPr>
            <a:t> (</a:t>
          </a:r>
          <a:r>
            <a:rPr lang="en-US" sz="1100" b="0" i="1">
              <a:solidFill>
                <a:schemeClr val="dk1"/>
              </a:solidFill>
              <a:effectLst/>
              <a:latin typeface="+mn-lt"/>
              <a:ea typeface="+mn-ea"/>
              <a:cs typeface="+mn-cs"/>
            </a:rPr>
            <a:t>SD</a:t>
          </a:r>
          <a:r>
            <a:rPr lang="en-US" sz="1100" b="0" i="0">
              <a:solidFill>
                <a:schemeClr val="dk1"/>
              </a:solidFill>
              <a:effectLst/>
              <a:latin typeface="+mn-lt"/>
              <a:ea typeface="+mn-ea"/>
              <a:cs typeface="+mn-cs"/>
            </a:rPr>
            <a:t>=0.48, </a:t>
          </a:r>
          <a:r>
            <a:rPr lang="en-US" sz="1100" b="0" i="1">
              <a:solidFill>
                <a:schemeClr val="dk1"/>
              </a:solidFill>
              <a:effectLst/>
              <a:latin typeface="+mn-lt"/>
              <a:ea typeface="+mn-ea"/>
              <a:cs typeface="+mn-cs"/>
            </a:rPr>
            <a:t>N</a:t>
          </a:r>
          <a:r>
            <a:rPr lang="en-US" sz="1100" b="0" i="0">
              <a:solidFill>
                <a:schemeClr val="dk1"/>
              </a:solidFill>
              <a:effectLst/>
              <a:latin typeface="+mn-lt"/>
              <a:ea typeface="+mn-ea"/>
              <a:cs typeface="+mn-cs"/>
            </a:rPr>
            <a:t>=298)</a:t>
          </a:r>
        </a:p>
        <a:p>
          <a:pPr lvl="1"/>
          <a:r>
            <a:rPr lang="en-US" sz="1100" b="0" i="0">
              <a:solidFill>
                <a:schemeClr val="dk1"/>
              </a:solidFill>
              <a:effectLst/>
              <a:latin typeface="+mn-lt"/>
              <a:ea typeface="+mn-ea"/>
              <a:cs typeface="+mn-cs"/>
            </a:rPr>
            <a:t>CY Mean = </a:t>
          </a:r>
          <a:r>
            <a:rPr lang="en-US" sz="1100" b="1" i="0">
              <a:solidFill>
                <a:schemeClr val="dk1"/>
              </a:solidFill>
              <a:effectLst/>
              <a:latin typeface="+mn-lt"/>
              <a:ea typeface="+mn-ea"/>
              <a:cs typeface="+mn-cs"/>
            </a:rPr>
            <a:t>24.92%</a:t>
          </a:r>
          <a:r>
            <a:rPr lang="en-US" sz="1100" b="0" i="0">
              <a:solidFill>
                <a:schemeClr val="dk1"/>
              </a:solidFill>
              <a:effectLst/>
              <a:latin typeface="+mn-lt"/>
              <a:ea typeface="+mn-ea"/>
              <a:cs typeface="+mn-cs"/>
            </a:rPr>
            <a:t> (</a:t>
          </a:r>
          <a:r>
            <a:rPr lang="en-US" sz="1100" b="0" i="1">
              <a:solidFill>
                <a:schemeClr val="dk1"/>
              </a:solidFill>
              <a:effectLst/>
              <a:latin typeface="+mn-lt"/>
              <a:ea typeface="+mn-ea"/>
              <a:cs typeface="+mn-cs"/>
            </a:rPr>
            <a:t>SD</a:t>
          </a:r>
          <a:r>
            <a:rPr lang="en-US" sz="1100" b="0" i="0">
              <a:solidFill>
                <a:schemeClr val="dk1"/>
              </a:solidFill>
              <a:effectLst/>
              <a:latin typeface="+mn-lt"/>
              <a:ea typeface="+mn-ea"/>
              <a:cs typeface="+mn-cs"/>
            </a:rPr>
            <a:t>=0.43, </a:t>
          </a:r>
          <a:r>
            <a:rPr lang="en-US" sz="1100" b="0" i="1">
              <a:solidFill>
                <a:schemeClr val="dk1"/>
              </a:solidFill>
              <a:effectLst/>
              <a:latin typeface="+mn-lt"/>
              <a:ea typeface="+mn-ea"/>
              <a:cs typeface="+mn-cs"/>
            </a:rPr>
            <a:t>N</a:t>
          </a:r>
          <a:r>
            <a:rPr lang="en-US" sz="1100" b="0" i="0">
              <a:solidFill>
                <a:schemeClr val="dk1"/>
              </a:solidFill>
              <a:effectLst/>
              <a:latin typeface="+mn-lt"/>
              <a:ea typeface="+mn-ea"/>
              <a:cs typeface="+mn-cs"/>
            </a:rPr>
            <a:t>=313)</a:t>
          </a:r>
        </a:p>
        <a:p>
          <a:pPr lvl="1"/>
          <a:r>
            <a:rPr lang="en-US" sz="1100" b="0" i="1">
              <a:solidFill>
                <a:schemeClr val="dk1"/>
              </a:solidFill>
              <a:effectLst/>
              <a:latin typeface="+mn-lt"/>
              <a:ea typeface="+mn-ea"/>
              <a:cs typeface="+mn-cs"/>
            </a:rPr>
            <a:t>t</a:t>
          </a:r>
          <a:r>
            <a:rPr lang="en-US" sz="1100" b="0" i="0">
              <a:solidFill>
                <a:schemeClr val="dk1"/>
              </a:solidFill>
              <a:effectLst/>
              <a:latin typeface="+mn-lt"/>
              <a:ea typeface="+mn-ea"/>
              <a:cs typeface="+mn-cs"/>
            </a:rPr>
            <a:t>-statistic = </a:t>
          </a:r>
          <a:r>
            <a:rPr lang="en-US" sz="1100" b="1" i="0">
              <a:solidFill>
                <a:schemeClr val="dk1"/>
              </a:solidFill>
              <a:effectLst/>
              <a:latin typeface="+mn-lt"/>
              <a:ea typeface="+mn-ea"/>
              <a:cs typeface="+mn-cs"/>
            </a:rPr>
            <a:t>2.7014</a:t>
          </a:r>
          <a:r>
            <a:rPr lang="en-US" sz="1100" b="0" i="0">
              <a:solidFill>
                <a:schemeClr val="dk1"/>
              </a:solidFill>
              <a:effectLst/>
              <a:latin typeface="+mn-lt"/>
              <a:ea typeface="+mn-ea"/>
              <a:cs typeface="+mn-cs"/>
            </a:rPr>
            <a:t>, </a:t>
          </a:r>
          <a:r>
            <a:rPr lang="en-US" sz="1100" b="0" i="1">
              <a:solidFill>
                <a:schemeClr val="dk1"/>
              </a:solidFill>
              <a:effectLst/>
              <a:latin typeface="+mn-lt"/>
              <a:ea typeface="+mn-ea"/>
              <a:cs typeface="+mn-cs"/>
            </a:rPr>
            <a:t>p</a:t>
          </a:r>
          <a:r>
            <a:rPr lang="en-US" sz="1100" b="0" i="0">
              <a:solidFill>
                <a:schemeClr val="dk1"/>
              </a:solidFill>
              <a:effectLst/>
              <a:latin typeface="+mn-lt"/>
              <a:ea typeface="+mn-ea"/>
              <a:cs typeface="+mn-cs"/>
            </a:rPr>
            <a:t>-value = </a:t>
          </a:r>
          <a:r>
            <a:rPr lang="en-US" sz="1100" b="1" i="0">
              <a:solidFill>
                <a:schemeClr val="dk1"/>
              </a:solidFill>
              <a:effectLst/>
              <a:latin typeface="+mn-lt"/>
              <a:ea typeface="+mn-ea"/>
              <a:cs typeface="+mn-cs"/>
            </a:rPr>
            <a:t>0.0071</a:t>
          </a:r>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Interpretation</a:t>
          </a:r>
          <a:r>
            <a:rPr lang="en-US" sz="1100" b="0" i="0">
              <a:solidFill>
                <a:schemeClr val="dk1"/>
              </a:solidFill>
              <a:effectLst/>
              <a:latin typeface="+mn-lt"/>
              <a:ea typeface="+mn-ea"/>
              <a:cs typeface="+mn-cs"/>
            </a:rPr>
            <a:t>: Since the </a:t>
          </a:r>
          <a:r>
            <a:rPr lang="en-US" sz="1100" b="0" i="1">
              <a:solidFill>
                <a:schemeClr val="dk1"/>
              </a:solidFill>
              <a:effectLst/>
              <a:latin typeface="+mn-lt"/>
              <a:ea typeface="+mn-ea"/>
              <a:cs typeface="+mn-cs"/>
            </a:rPr>
            <a:t>p</a:t>
          </a:r>
          <a:r>
            <a:rPr lang="en-US" sz="1100" b="0" i="0">
              <a:solidFill>
                <a:schemeClr val="dk1"/>
              </a:solidFill>
              <a:effectLst/>
              <a:latin typeface="+mn-lt"/>
              <a:ea typeface="+mn-ea"/>
              <a:cs typeface="+mn-cs"/>
            </a:rPr>
            <a:t>-value (0.0071) is less than </a:t>
          </a:r>
          <a:r>
            <a:rPr lang="el-GR" sz="1100" b="0" i="1">
              <a:solidFill>
                <a:schemeClr val="dk1"/>
              </a:solidFill>
              <a:effectLst/>
              <a:latin typeface="+mn-lt"/>
              <a:ea typeface="+mn-ea"/>
              <a:cs typeface="+mn-cs"/>
            </a:rPr>
            <a:t>α</a:t>
          </a:r>
          <a:r>
            <a:rPr lang="el-GR" sz="1100" b="0" i="0">
              <a:solidFill>
                <a:schemeClr val="dk1"/>
              </a:solidFill>
              <a:effectLst/>
              <a:latin typeface="+mn-lt"/>
              <a:ea typeface="+mn-ea"/>
              <a:cs typeface="+mn-cs"/>
            </a:rPr>
            <a:t>=0.01, </a:t>
          </a:r>
          <a:r>
            <a:rPr lang="en-US" sz="1100" b="0" i="0">
              <a:solidFill>
                <a:schemeClr val="dk1"/>
              </a:solidFill>
              <a:effectLst/>
              <a:latin typeface="+mn-lt"/>
              <a:ea typeface="+mn-ea"/>
              <a:cs typeface="+mn-cs"/>
            </a:rPr>
            <a:t>we </a:t>
          </a:r>
          <a:r>
            <a:rPr lang="en-US" sz="1100" b="1" i="0">
              <a:solidFill>
                <a:schemeClr val="dk1"/>
              </a:solidFill>
              <a:effectLst/>
              <a:latin typeface="+mn-lt"/>
              <a:ea typeface="+mn-ea"/>
              <a:cs typeface="+mn-cs"/>
            </a:rPr>
            <a:t>reject the null hypothesis</a:t>
          </a:r>
          <a:r>
            <a:rPr lang="en-US" sz="1100" b="0" i="0">
              <a:solidFill>
                <a:schemeClr val="dk1"/>
              </a:solidFill>
              <a:effectLst/>
              <a:latin typeface="+mn-lt"/>
              <a:ea typeface="+mn-ea"/>
              <a:cs typeface="+mn-cs"/>
            </a:rPr>
            <a:t> at the 1% significance level. The drop in California's repeat purchase rate is highly statistically significant.</a:t>
          </a:r>
        </a:p>
        <a:p>
          <a:r>
            <a:rPr lang="en-US" sz="1100" b="1" i="0">
              <a:solidFill>
                <a:schemeClr val="dk1"/>
              </a:solidFill>
              <a:effectLst/>
              <a:latin typeface="+mn-lt"/>
              <a:ea typeface="+mn-ea"/>
              <a:cs typeface="+mn-cs"/>
            </a:rPr>
            <a:t>Practical Implication</a:t>
          </a:r>
          <a:r>
            <a:rPr lang="en-US" sz="1100" b="0" i="0">
              <a:solidFill>
                <a:schemeClr val="dk1"/>
              </a:solidFill>
              <a:effectLst/>
              <a:latin typeface="+mn-lt"/>
              <a:ea typeface="+mn-ea"/>
              <a:cs typeface="+mn-cs"/>
            </a:rPr>
            <a:t>: This confirms a genuine retention problem in California rather than random variance. Management must take immediate action (e.g., launching a targeted loyalty program, conducting customer satisfaction surveys, or analyzing local competitor pricing) to address this leak.</a:t>
          </a:r>
        </a:p>
        <a:p>
          <a:br>
            <a:rPr lang="en-US"/>
          </a:br>
          <a:endParaRPr lang="ru-BY"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22860</xdr:colOff>
      <xdr:row>0</xdr:row>
      <xdr:rowOff>15240</xdr:rowOff>
    </xdr:from>
    <xdr:to>
      <xdr:col>18</xdr:col>
      <xdr:colOff>525780</xdr:colOff>
      <xdr:row>19</xdr:row>
      <xdr:rowOff>68580</xdr:rowOff>
    </xdr:to>
    <xdr:sp macro="" textlink="">
      <xdr:nvSpPr>
        <xdr:cNvPr id="2" name="TextBox 1">
          <a:extLst>
            <a:ext uri="{FF2B5EF4-FFF2-40B4-BE49-F238E27FC236}">
              <a16:creationId xmlns:a16="http://schemas.microsoft.com/office/drawing/2014/main" id="{1FFADA47-2E50-4C36-A4C4-B99722F7392C}"/>
            </a:ext>
          </a:extLst>
        </xdr:cNvPr>
        <xdr:cNvSpPr txBox="1"/>
      </xdr:nvSpPr>
      <xdr:spPr>
        <a:xfrm>
          <a:off x="5242560" y="15240"/>
          <a:ext cx="8427720" cy="4511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Solution Recommendation, Risk &amp; Implementation Plan</a:t>
          </a:r>
        </a:p>
        <a:p>
          <a:r>
            <a:rPr lang="en-US" sz="1100" b="0" i="0">
              <a:solidFill>
                <a:schemeClr val="dk1"/>
              </a:solidFill>
              <a:effectLst/>
              <a:latin typeface="+mn-lt"/>
              <a:ea typeface="+mn-ea"/>
              <a:cs typeface="+mn-cs"/>
            </a:rPr>
            <a:t>Executive Recommendations</a:t>
          </a:r>
        </a:p>
        <a:p>
          <a:r>
            <a:rPr lang="en-US" sz="1100" b="0" i="0">
              <a:solidFill>
                <a:schemeClr val="dk1"/>
              </a:solidFill>
              <a:effectLst/>
              <a:latin typeface="+mn-lt"/>
              <a:ea typeface="+mn-ea"/>
              <a:cs typeface="+mn-cs"/>
            </a:rPr>
            <a:t>Based on the comprehensive analysis of the 2,000 transaction records, we recommend a multi-pronged strategy to reverse the sales growth deceleration from 8% to 2% and address the customer retention leak:</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1. </a:t>
          </a:r>
          <a:r>
            <a:rPr lang="en-US" sz="1100" b="1" i="0">
              <a:solidFill>
                <a:schemeClr val="dk1"/>
              </a:solidFill>
              <a:effectLst/>
              <a:latin typeface="+mn-lt"/>
              <a:ea typeface="+mn-ea"/>
              <a:cs typeface="+mn-cs"/>
            </a:rPr>
            <a:t>Targeted Regional Win-Back Campaigns</a:t>
          </a:r>
          <a:r>
            <a:rPr lang="en-US" sz="1100" b="0" i="0">
              <a:solidFill>
                <a:schemeClr val="dk1"/>
              </a:solidFill>
              <a:effectLst/>
              <a:latin typeface="+mn-lt"/>
              <a:ea typeface="+mn-ea"/>
              <a:cs typeface="+mn-cs"/>
            </a:rPr>
            <a:t>: Allocate 40% of the marketing budget to California and Texas to address the 10% drop in repeat purchase rates. Implement personalized email offers, loyalty rewards, and local customer satisfaction surveys to identify and resolve regional friction points.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2. </a:t>
          </a:r>
          <a:r>
            <a:rPr lang="en-US" sz="1100" b="1" i="0">
              <a:solidFill>
                <a:schemeClr val="dk1"/>
              </a:solidFill>
              <a:effectLst/>
              <a:latin typeface="+mn-lt"/>
              <a:ea typeface="+mn-ea"/>
              <a:cs typeface="+mn-cs"/>
            </a:rPr>
            <a:t>Accessory Attachment and Bundling</a:t>
          </a:r>
          <a:r>
            <a:rPr lang="en-US" sz="1100" b="0" i="0">
              <a:solidFill>
                <a:schemeClr val="dk1"/>
              </a:solidFill>
              <a:effectLst/>
              <a:latin typeface="+mn-lt"/>
              <a:ea typeface="+mn-ea"/>
              <a:cs typeface="+mn-cs"/>
            </a:rPr>
            <a:t>: To combat the -22.91% decline in Accessories &amp; Power, implement automated "frequently bought together" bundling at checkout. For example, offer a discounted USB-C dock with every laptop purchase.</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3. </a:t>
          </a:r>
          <a:r>
            <a:rPr lang="en-US" sz="1100" b="1" i="0">
              <a:solidFill>
                <a:schemeClr val="dk1"/>
              </a:solidFill>
              <a:effectLst/>
              <a:latin typeface="+mn-lt"/>
              <a:ea typeface="+mn-ea"/>
              <a:cs typeface="+mn-cs"/>
            </a:rPr>
            <a:t>Channel Optimization</a:t>
          </a:r>
          <a:r>
            <a:rPr lang="en-US" sz="1100" b="0" i="0">
              <a:solidFill>
                <a:schemeClr val="dk1"/>
              </a:solidFill>
              <a:effectLst/>
              <a:latin typeface="+mn-lt"/>
              <a:ea typeface="+mn-ea"/>
              <a:cs typeface="+mn-cs"/>
            </a:rPr>
            <a:t>: Double down on the high-performing Partner channel (+3.32% growth) and optimize the Online channel (+2.21% growth) through personalized user experiences. Re-evaluate the Direct sales team's strategy to address its stagnation (+0.83%).</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4. </a:t>
          </a:r>
          <a:r>
            <a:rPr lang="en-US" sz="1100" b="1" i="0">
              <a:solidFill>
                <a:schemeClr val="dk1"/>
              </a:solidFill>
              <a:effectLst/>
              <a:latin typeface="+mn-lt"/>
              <a:ea typeface="+mn-ea"/>
              <a:cs typeface="+mn-cs"/>
            </a:rPr>
            <a:t>Periodic KPI Reviews</a:t>
          </a:r>
          <a:r>
            <a:rPr lang="en-US" sz="1100" b="0" i="0">
              <a:solidFill>
                <a:schemeClr val="dk1"/>
              </a:solidFill>
              <a:effectLst/>
              <a:latin typeface="+mn-lt"/>
              <a:ea typeface="+mn-ea"/>
              <a:cs typeface="+mn-cs"/>
            </a:rPr>
            <a:t>: Establish a bi-weekly dashboard review using the summary_metrics sheet to monitor sales growth, gross margins, and regional repeat purchase rates in real-time.</a:t>
          </a:r>
        </a:p>
        <a:p>
          <a:r>
            <a:rPr lang="en-US" sz="1100" b="0" i="0">
              <a:solidFill>
                <a:schemeClr val="dk1"/>
              </a:solidFill>
              <a:effectLst/>
              <a:latin typeface="+mn-lt"/>
              <a:ea typeface="+mn-ea"/>
              <a:cs typeface="+mn-cs"/>
            </a:rPr>
            <a:t>Risk and Mitigation Strategy</a:t>
          </a:r>
        </a:p>
        <a:p>
          <a:r>
            <a:rPr lang="en-US" sz="1100" b="0" i="0">
              <a:solidFill>
                <a:schemeClr val="dk1"/>
              </a:solidFill>
              <a:effectLst/>
              <a:latin typeface="+mn-lt"/>
              <a:ea typeface="+mn-ea"/>
              <a:cs typeface="+mn-cs"/>
            </a:rPr>
            <a:t>To ensure the successful implementation of these recommendations, we have documented a </a:t>
          </a:r>
          <a:r>
            <a:rPr lang="en-US" sz="1100" b="1" i="0">
              <a:solidFill>
                <a:schemeClr val="dk1"/>
              </a:solidFill>
              <a:effectLst/>
              <a:latin typeface="+mn-lt"/>
              <a:ea typeface="+mn-ea"/>
              <a:cs typeface="+mn-cs"/>
            </a:rPr>
            <a:t>Risk Matrix</a:t>
          </a:r>
          <a:r>
            <a:rPr lang="en-US" sz="1100" b="0" i="0">
              <a:solidFill>
                <a:schemeClr val="dk1"/>
              </a:solidFill>
              <a:effectLst/>
              <a:latin typeface="+mn-lt"/>
              <a:ea typeface="+mn-ea"/>
              <a:cs typeface="+mn-cs"/>
            </a:rPr>
            <a:t> in the risk_matrix sheet. Key risks include:</a:t>
          </a:r>
        </a:p>
        <a:p>
          <a:r>
            <a:rPr lang="en-US" sz="1100" b="1" i="0">
              <a:solidFill>
                <a:schemeClr val="dk1"/>
              </a:solidFill>
              <a:effectLst/>
              <a:latin typeface="+mn-lt"/>
              <a:ea typeface="+mn-ea"/>
              <a:cs typeface="+mn-cs"/>
            </a:rPr>
            <a:t>Data Quality Risk</a:t>
          </a:r>
          <a:r>
            <a:rPr lang="en-US" sz="1100" b="0" i="0">
              <a:solidFill>
                <a:schemeClr val="dk1"/>
              </a:solidFill>
              <a:effectLst/>
              <a:latin typeface="+mn-lt"/>
              <a:ea typeface="+mn-ea"/>
              <a:cs typeface="+mn-cs"/>
            </a:rPr>
            <a:t>: Addressed by implementing automated database constraints and validation scripts before data load.</a:t>
          </a:r>
        </a:p>
        <a:p>
          <a:r>
            <a:rPr lang="en-US" sz="1100" b="1" i="0">
              <a:solidFill>
                <a:schemeClr val="dk1"/>
              </a:solidFill>
              <a:effectLst/>
              <a:latin typeface="+mn-lt"/>
              <a:ea typeface="+mn-ea"/>
              <a:cs typeface="+mn-cs"/>
            </a:rPr>
            <a:t>Adoption Risk</a:t>
          </a:r>
          <a:r>
            <a:rPr lang="en-US" sz="1100" b="0" i="0">
              <a:solidFill>
                <a:schemeClr val="dk1"/>
              </a:solidFill>
              <a:effectLst/>
              <a:latin typeface="+mn-lt"/>
              <a:ea typeface="+mn-ea"/>
              <a:cs typeface="+mn-cs"/>
            </a:rPr>
            <a:t>: Mitigated through hands-on training sessions and deprecating legacy reporting tools.</a:t>
          </a:r>
        </a:p>
        <a:p>
          <a:r>
            <a:rPr lang="en-US" sz="1100" b="1" i="0">
              <a:solidFill>
                <a:schemeClr val="dk1"/>
              </a:solidFill>
              <a:effectLst/>
              <a:latin typeface="+mn-lt"/>
              <a:ea typeface="+mn-ea"/>
              <a:cs typeface="+mn-cs"/>
            </a:rPr>
            <a:t>Dependence on Manual Data Refresh</a:t>
          </a:r>
          <a:r>
            <a:rPr lang="en-US" sz="1100" b="0" i="0">
              <a:solidFill>
                <a:schemeClr val="dk1"/>
              </a:solidFill>
              <a:effectLst/>
              <a:latin typeface="+mn-lt"/>
              <a:ea typeface="+mn-ea"/>
              <a:cs typeface="+mn-cs"/>
            </a:rPr>
            <a:t>: Solved by automating the data pipeline using scheduled ETL jobs (e.g., Airflow or dbt).</a:t>
          </a: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Risk</a:t>
          </a:r>
          <a:r>
            <a:rPr lang="en-US" sz="1100" b="0" i="0">
              <a:solidFill>
                <a:schemeClr val="dk1"/>
              </a:solidFill>
              <a:effectLst/>
              <a:latin typeface="+mn-lt"/>
              <a:ea typeface="+mn-ea"/>
              <a:cs typeface="+mn-cs"/>
            </a:rPr>
            <a:t> (Column A): The identified risk (e.g., manual refresh dependence, data quality).</a:t>
          </a:r>
        </a:p>
        <a:p>
          <a:r>
            <a:rPr lang="en-US" sz="1100" b="1" i="0">
              <a:solidFill>
                <a:schemeClr val="dk1"/>
              </a:solidFill>
              <a:effectLst/>
              <a:latin typeface="+mn-lt"/>
              <a:ea typeface="+mn-ea"/>
              <a:cs typeface="+mn-cs"/>
            </a:rPr>
            <a:t>Likelihood &amp; Impact</a:t>
          </a:r>
          <a:r>
            <a:rPr lang="en-US" sz="1100" b="0" i="0">
              <a:solidFill>
                <a:schemeClr val="dk1"/>
              </a:solidFill>
              <a:effectLst/>
              <a:latin typeface="+mn-lt"/>
              <a:ea typeface="+mn-ea"/>
              <a:cs typeface="+mn-cs"/>
            </a:rPr>
            <a:t> (Columns B &amp; C): Risk ratings (Low, Medium, High).</a:t>
          </a:r>
        </a:p>
        <a:p>
          <a:r>
            <a:rPr lang="en-US" sz="1100" b="1" i="0">
              <a:solidFill>
                <a:schemeClr val="dk1"/>
              </a:solidFill>
              <a:effectLst/>
              <a:latin typeface="+mn-lt"/>
              <a:ea typeface="+mn-ea"/>
              <a:cs typeface="+mn-cs"/>
            </a:rPr>
            <a:t>Mitigation</a:t>
          </a:r>
          <a:r>
            <a:rPr lang="en-US" sz="1100" b="0" i="0">
              <a:solidFill>
                <a:schemeClr val="dk1"/>
              </a:solidFill>
              <a:effectLst/>
              <a:latin typeface="+mn-lt"/>
              <a:ea typeface="+mn-ea"/>
              <a:cs typeface="+mn-cs"/>
            </a:rPr>
            <a:t> (Column D): Actionable strategies to prevent or minimize the risk.</a:t>
          </a:r>
        </a:p>
        <a:p>
          <a:r>
            <a:rPr lang="en-US" sz="1100" b="1" i="0">
              <a:solidFill>
                <a:schemeClr val="dk1"/>
              </a:solidFill>
              <a:effectLst/>
              <a:latin typeface="+mn-lt"/>
              <a:ea typeface="+mn-ea"/>
              <a:cs typeface="+mn-cs"/>
            </a:rPr>
            <a:t>Owner</a:t>
          </a:r>
          <a:r>
            <a:rPr lang="en-US" sz="1100" b="0" i="0">
              <a:solidFill>
                <a:schemeClr val="dk1"/>
              </a:solidFill>
              <a:effectLst/>
              <a:latin typeface="+mn-lt"/>
              <a:ea typeface="+mn-ea"/>
              <a:cs typeface="+mn-cs"/>
            </a:rPr>
            <a:t> (Column E): The designated team member responsible for the risk.</a:t>
          </a:r>
        </a:p>
        <a:p>
          <a:endParaRPr lang="ru-BY"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175260</xdr:colOff>
      <xdr:row>0</xdr:row>
      <xdr:rowOff>83820</xdr:rowOff>
    </xdr:from>
    <xdr:to>
      <xdr:col>19</xdr:col>
      <xdr:colOff>198120</xdr:colOff>
      <xdr:row>4</xdr:row>
      <xdr:rowOff>579120</xdr:rowOff>
    </xdr:to>
    <xdr:sp macro="" textlink="">
      <xdr:nvSpPr>
        <xdr:cNvPr id="2" name="TextBox 1">
          <a:extLst>
            <a:ext uri="{FF2B5EF4-FFF2-40B4-BE49-F238E27FC236}">
              <a16:creationId xmlns:a16="http://schemas.microsoft.com/office/drawing/2014/main" id="{E259F0DD-AD63-412D-A6FD-0AFA8A275A7C}"/>
            </a:ext>
          </a:extLst>
        </xdr:cNvPr>
        <xdr:cNvSpPr txBox="1"/>
      </xdr:nvSpPr>
      <xdr:spPr>
        <a:xfrm>
          <a:off x="5067300" y="83820"/>
          <a:ext cx="8557260" cy="2987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User Acceptance Testing (UAT) Plan</a:t>
          </a:r>
        </a:p>
        <a:p>
          <a:r>
            <a:rPr lang="en-US" sz="1100" b="0" i="0">
              <a:solidFill>
                <a:schemeClr val="dk1"/>
              </a:solidFill>
              <a:effectLst/>
              <a:latin typeface="+mn-lt"/>
              <a:ea typeface="+mn-ea"/>
              <a:cs typeface="+mn-cs"/>
            </a:rPr>
            <a:t>To guarantee the accuracy and reliability of the new reporting system, we have established a </a:t>
          </a:r>
          <a:r>
            <a:rPr lang="en-US" sz="1100" b="1" i="0">
              <a:solidFill>
                <a:schemeClr val="dk1"/>
              </a:solidFill>
              <a:effectLst/>
              <a:latin typeface="+mn-lt"/>
              <a:ea typeface="+mn-ea"/>
              <a:cs typeface="+mn-cs"/>
            </a:rPr>
            <a:t>UAT Tracker</a:t>
          </a:r>
          <a:r>
            <a:rPr lang="en-US" sz="1100" b="0" i="0">
              <a:solidFill>
                <a:schemeClr val="dk1"/>
              </a:solidFill>
              <a:effectLst/>
              <a:latin typeface="+mn-lt"/>
              <a:ea typeface="+mn-ea"/>
              <a:cs typeface="+mn-cs"/>
            </a:rPr>
            <a:t> in the uat_tracker sheet. The plan includes scenarios to verify:</a:t>
          </a:r>
        </a:p>
        <a:p>
          <a:r>
            <a:rPr lang="en-US" sz="1100" b="0" i="0">
              <a:solidFill>
                <a:schemeClr val="dk1"/>
              </a:solidFill>
              <a:effectLst/>
              <a:latin typeface="+mn-lt"/>
              <a:ea typeface="+mn-ea"/>
              <a:cs typeface="+mn-cs"/>
            </a:rPr>
            <a:t>Total sales and cost aggregations.</a:t>
          </a:r>
        </a:p>
        <a:p>
          <a:r>
            <a:rPr lang="en-US" sz="1100" b="0" i="0">
              <a:solidFill>
                <a:schemeClr val="dk1"/>
              </a:solidFill>
              <a:effectLst/>
              <a:latin typeface="+mn-lt"/>
              <a:ea typeface="+mn-ea"/>
              <a:cs typeface="+mn-cs"/>
            </a:rPr>
            <a:t>Regional repeat purchase rate calculations (specifically the CA/TX drops).</a:t>
          </a:r>
        </a:p>
        <a:p>
          <a:r>
            <a:rPr lang="en-US" sz="1100" b="0" i="0">
              <a:solidFill>
                <a:schemeClr val="dk1"/>
              </a:solidFill>
              <a:effectLst/>
              <a:latin typeface="+mn-lt"/>
              <a:ea typeface="+mn-ea"/>
              <a:cs typeface="+mn-cs"/>
            </a:rPr>
            <a:t>Correct modeling of returns as negative values.</a:t>
          </a:r>
        </a:p>
        <a:p>
          <a:r>
            <a:rPr lang="en-US" sz="1100" b="0" i="0">
              <a:solidFill>
                <a:schemeClr val="dk1"/>
              </a:solidFill>
              <a:effectLst/>
              <a:latin typeface="+mn-lt"/>
              <a:ea typeface="+mn-ea"/>
              <a:cs typeface="+mn-cs"/>
            </a:rPr>
            <a:t>Accuracy of gross profit and margin formulas.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All tests have been executed and marked as </a:t>
          </a:r>
          <a:r>
            <a:rPr lang="en-US" sz="1100" b="1" i="0">
              <a:solidFill>
                <a:schemeClr val="dk1"/>
              </a:solidFill>
              <a:effectLst/>
              <a:latin typeface="+mn-lt"/>
              <a:ea typeface="+mn-ea"/>
              <a:cs typeface="+mn-cs"/>
            </a:rPr>
            <a:t>Pass</a:t>
          </a:r>
          <a:r>
            <a:rPr lang="en-US" sz="1100" b="0" i="0">
              <a:solidFill>
                <a:schemeClr val="dk1"/>
              </a:solidFill>
              <a:effectLst/>
              <a:latin typeface="+mn-lt"/>
              <a:ea typeface="+mn-ea"/>
              <a:cs typeface="+mn-cs"/>
            </a:rPr>
            <a:t>, ensuring the system is ready for production use.</a:t>
          </a:r>
        </a:p>
        <a:p>
          <a:endParaRPr lang="en-US" sz="1100"/>
        </a:p>
        <a:p>
          <a:r>
            <a:rPr lang="en-US" sz="1100" b="1" i="0">
              <a:solidFill>
                <a:schemeClr val="dk1"/>
              </a:solidFill>
              <a:effectLst/>
              <a:latin typeface="+mn-lt"/>
              <a:ea typeface="+mn-ea"/>
              <a:cs typeface="+mn-cs"/>
            </a:rPr>
            <a:t>Scenario</a:t>
          </a:r>
          <a:r>
            <a:rPr lang="en-US" sz="1100" b="0" i="0">
              <a:solidFill>
                <a:schemeClr val="dk1"/>
              </a:solidFill>
              <a:effectLst/>
              <a:latin typeface="+mn-lt"/>
              <a:ea typeface="+mn-ea"/>
              <a:cs typeface="+mn-cs"/>
            </a:rPr>
            <a:t> (Column A): The specific test case (e.g., verifying return values, checking CA repeat rate formulas).</a:t>
          </a:r>
        </a:p>
        <a:p>
          <a:r>
            <a:rPr lang="en-US" sz="1100" b="1" i="0">
              <a:solidFill>
                <a:schemeClr val="dk1"/>
              </a:solidFill>
              <a:effectLst/>
              <a:latin typeface="+mn-lt"/>
              <a:ea typeface="+mn-ea"/>
              <a:cs typeface="+mn-cs"/>
            </a:rPr>
            <a:t>Acceptance Criteria</a:t>
          </a:r>
          <a:r>
            <a:rPr lang="en-US" sz="1100" b="0" i="0">
              <a:solidFill>
                <a:schemeClr val="dk1"/>
              </a:solidFill>
              <a:effectLst/>
              <a:latin typeface="+mn-lt"/>
              <a:ea typeface="+mn-ea"/>
              <a:cs typeface="+mn-cs"/>
            </a:rPr>
            <a:t> (Column B): The exact conditions required to pass.</a:t>
          </a:r>
        </a:p>
        <a:p>
          <a:r>
            <a:rPr lang="en-US" sz="1100" b="1" i="0">
              <a:solidFill>
                <a:schemeClr val="dk1"/>
              </a:solidFill>
              <a:effectLst/>
              <a:latin typeface="+mn-lt"/>
              <a:ea typeface="+mn-ea"/>
              <a:cs typeface="+mn-cs"/>
            </a:rPr>
            <a:t>Status</a:t>
          </a:r>
          <a:r>
            <a:rPr lang="en-US" sz="1100" b="0" i="0">
              <a:solidFill>
                <a:schemeClr val="dk1"/>
              </a:solidFill>
              <a:effectLst/>
              <a:latin typeface="+mn-lt"/>
              <a:ea typeface="+mn-ea"/>
              <a:cs typeface="+mn-cs"/>
            </a:rPr>
            <a:t> (Column C): Current test status (all marked as </a:t>
          </a:r>
          <a:r>
            <a:rPr lang="en-US" sz="1100" b="1" i="0">
              <a:solidFill>
                <a:schemeClr val="dk1"/>
              </a:solidFill>
              <a:effectLst/>
              <a:latin typeface="+mn-lt"/>
              <a:ea typeface="+mn-ea"/>
              <a:cs typeface="+mn-cs"/>
            </a:rPr>
            <a:t>Pass</a:t>
          </a:r>
          <a:r>
            <a:rPr lang="en-US" sz="1100" b="0" i="0">
              <a:solidFill>
                <a:schemeClr val="dk1"/>
              </a:solidFill>
              <a:effectLst/>
              <a:latin typeface="+mn-lt"/>
              <a:ea typeface="+mn-ea"/>
              <a:cs typeface="+mn-cs"/>
            </a:rPr>
            <a:t>).</a:t>
          </a:r>
        </a:p>
        <a:p>
          <a:r>
            <a:rPr lang="en-US" sz="1100" b="1" i="0">
              <a:solidFill>
                <a:schemeClr val="dk1"/>
              </a:solidFill>
              <a:effectLst/>
              <a:latin typeface="+mn-lt"/>
              <a:ea typeface="+mn-ea"/>
              <a:cs typeface="+mn-cs"/>
            </a:rPr>
            <a:t>Tester &amp; Date</a:t>
          </a:r>
          <a:r>
            <a:rPr lang="en-US" sz="1100" b="0" i="0">
              <a:solidFill>
                <a:schemeClr val="dk1"/>
              </a:solidFill>
              <a:effectLst/>
              <a:latin typeface="+mn-lt"/>
              <a:ea typeface="+mn-ea"/>
              <a:cs typeface="+mn-cs"/>
            </a:rPr>
            <a:t> (Columns D &amp; E): QA Analyst and date of execution.</a:t>
          </a:r>
        </a:p>
        <a:p>
          <a:endParaRPr lang="ru-BY"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werty Stas" refreshedDate="46251.842743518515" createdVersion="7" refreshedVersion="7" minRefreshableVersion="3" recordCount="2000" xr:uid="{D73E1F94-C876-4817-AA65-F1B50519C971}">
  <cacheSource type="worksheet">
    <worksheetSource ref="A1:M2001" sheet="sales_data"/>
  </cacheSource>
  <cacheFields count="15">
    <cacheField name="OrderID" numFmtId="49">
      <sharedItems/>
    </cacheField>
    <cacheField name="OrderDate" numFmtId="165">
      <sharedItems containsSemiMixedTypes="0" containsNonDate="0" containsDate="1" containsString="0" minDate="2024-08-01T00:00:00" maxDate="2026-08-01T00:00:00" count="687">
        <d v="2024-08-01T00:00:00"/>
        <d v="2024-08-02T00:00:00"/>
        <d v="2024-08-03T00:00:00"/>
        <d v="2024-08-04T00:00:00"/>
        <d v="2024-08-05T00:00:00"/>
        <d v="2024-08-06T00:00:00"/>
        <d v="2024-08-07T00:00:00"/>
        <d v="2024-08-08T00:00:00"/>
        <d v="2024-08-09T00:00:00"/>
        <d v="2024-08-10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8T00:00:00"/>
        <d v="2024-09-09T00:00:00"/>
        <d v="2024-09-10T00:00:00"/>
        <d v="2024-09-11T00:00:00"/>
        <d v="2024-09-12T00:00:00"/>
        <d v="2024-09-13T00:00:00"/>
        <d v="2024-09-14T00:00:00"/>
        <d v="2024-09-15T00:00:00"/>
        <d v="2024-09-16T00:00:00"/>
        <d v="2024-09-17T00:00:00"/>
        <d v="2024-09-18T00:00:00"/>
        <d v="2024-09-20T00:00:00"/>
        <d v="2024-09-22T00:00:00"/>
        <d v="2024-09-23T00:00:00"/>
        <d v="2024-09-24T00:00:00"/>
        <d v="2024-09-25T00:00:00"/>
        <d v="2024-09-26T00:00:00"/>
        <d v="2024-09-27T00:00:00"/>
        <d v="2024-09-28T00:00:00"/>
        <d v="2024-09-29T00:00:00"/>
        <d v="2024-09-30T00:00:00"/>
        <d v="2024-10-01T00:00:00"/>
        <d v="2024-10-02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1T00:00:00"/>
        <d v="2024-11-22T00:00:00"/>
        <d v="2024-11-23T00:00:00"/>
        <d v="2024-11-24T00:00:00"/>
        <d v="2024-11-25T00:00:00"/>
        <d v="2024-11-26T00:00:00"/>
        <d v="2024-11-28T00:00:00"/>
        <d v="2024-11-29T00:00:00"/>
        <d v="2024-11-30T00:00:00"/>
        <d v="2024-12-02T00:00:00"/>
        <d v="2024-12-03T00:00:00"/>
        <d v="2024-12-04T00:00:00"/>
        <d v="2024-12-05T00:00:00"/>
        <d v="2024-12-06T00:00:00"/>
        <d v="2024-12-07T00:00:00"/>
        <d v="2024-12-08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7T00:00:00"/>
        <d v="2025-01-08T00:00:00"/>
        <d v="2025-01-09T00:00:00"/>
        <d v="2025-01-10T00:00:00"/>
        <d v="2025-01-11T00:00:00"/>
        <d v="2025-01-12T00:00:00"/>
        <d v="2025-01-13T00:00:00"/>
        <d v="2025-01-14T00:00:00"/>
        <d v="2025-01-15T00:00:00"/>
        <d v="2025-01-16T00:00:00"/>
        <d v="2025-01-17T00:00:00"/>
        <d v="2025-01-18T00:00:00"/>
        <d v="2025-01-19T00:00:00"/>
        <d v="2025-01-21T00:00:00"/>
        <d v="2025-01-22T00:00:00"/>
        <d v="2025-01-23T00:00:00"/>
        <d v="2025-01-24T00:00:00"/>
        <d v="2025-01-25T00:00:00"/>
        <d v="2025-01-26T00:00:00"/>
        <d v="2025-01-27T00:00:00"/>
        <d v="2025-01-28T00:00:00"/>
        <d v="2025-01-29T00:00:00"/>
        <d v="2025-01-30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4-01T00:00:00"/>
        <d v="2025-04-02T00:00:00"/>
        <d v="2025-04-03T00:00:00"/>
        <d v="2025-04-04T00:00:00"/>
        <d v="2025-04-06T00:00:00"/>
        <d v="2025-04-07T00:00:00"/>
        <d v="2025-04-08T00:00:00"/>
        <d v="2025-04-09T00:00:00"/>
        <d v="2025-04-10T00:00:00"/>
        <d v="2025-04-11T00:00:00"/>
        <d v="2025-04-12T00:00:00"/>
        <d v="2025-04-13T00:00:00"/>
        <d v="2025-04-14T00:00:00"/>
        <d v="2025-04-15T00:00:00"/>
        <d v="2025-04-16T00:00:00"/>
        <d v="2025-04-17T00:00:00"/>
        <d v="2025-04-18T00:00:00"/>
        <d v="2025-04-20T00:00:00"/>
        <d v="2025-04-21T00:00:00"/>
        <d v="2025-04-22T00:00:00"/>
        <d v="2025-04-24T00:00:00"/>
        <d v="2025-04-25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8T00:00:00"/>
        <d v="2025-06-09T00:00:00"/>
        <d v="2025-06-10T00:00:00"/>
        <d v="2025-06-11T00:00:00"/>
        <d v="2025-06-13T00:00:00"/>
        <d v="2025-06-15T00:00:00"/>
        <d v="2025-06-16T00:00:00"/>
        <d v="2025-06-17T00:00:00"/>
        <d v="2025-06-18T00:00:00"/>
        <d v="2025-06-20T00:00:00"/>
        <d v="2025-06-21T00:00:00"/>
        <d v="2025-06-22T00:00:00"/>
        <d v="2025-06-23T00:00:00"/>
        <d v="2025-06-24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30T00:00:00"/>
        <d v="2025-07-31T00:00:00"/>
        <d v="2025-08-01T00:00:00"/>
        <d v="2025-08-02T00:00:00"/>
        <d v="2025-08-03T00:00:00"/>
        <d v="2025-08-04T00:00:00"/>
        <d v="2025-08-05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3T00:00:00"/>
        <d v="2025-10-04T00:00:00"/>
        <d v="2025-10-05T00:00:00"/>
        <d v="2025-10-06T00:00:00"/>
        <d v="2025-10-07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3T00:00:00"/>
        <d v="2025-11-04T00:00:00"/>
        <d v="2025-11-05T00:00:00"/>
        <d v="2025-11-06T00:00:00"/>
        <d v="2025-11-07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9T00:00:00"/>
        <d v="2025-12-10T00:00:00"/>
        <d v="2025-12-11T00:00:00"/>
        <d v="2025-12-12T00:00:00"/>
        <d v="2025-12-14T00:00:00"/>
        <d v="2025-12-15T00:00:00"/>
        <d v="2025-12-16T00:00:00"/>
        <d v="2025-12-17T00:00:00"/>
        <d v="2025-12-18T00:00:00"/>
        <d v="2025-12-19T00:00:00"/>
        <d v="2025-12-20T00:00:00"/>
        <d v="2025-12-21T00:00:00"/>
        <d v="2025-12-22T00:00:00"/>
        <d v="2025-12-23T00:00:00"/>
        <d v="2025-12-24T00:00:00"/>
        <d v="2025-12-25T00:00:00"/>
        <d v="2025-12-26T00:00:00"/>
        <d v="2025-12-28T00:00:00"/>
        <d v="2025-12-29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8T00:00:00"/>
        <d v="2026-02-09T00:00:00"/>
        <d v="2026-02-11T00:00:00"/>
        <d v="2026-02-12T00:00:00"/>
        <d v="2026-02-13T00:00:00"/>
        <d v="2026-02-14T00:00:00"/>
        <d v="2026-02-15T00:00:00"/>
        <d v="2026-02-16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2T00:00:00"/>
        <d v="2026-05-13T00:00:00"/>
        <d v="2026-05-14T00:00:00"/>
        <d v="2026-05-15T00:00:00"/>
        <d v="2026-05-17T00:00:00"/>
        <d v="2026-05-18T00:00:00"/>
        <d v="2026-05-19T00:00:00"/>
        <d v="2026-05-20T00:00:00"/>
        <d v="2026-05-21T00:00:00"/>
        <d v="2026-05-22T00:00:00"/>
        <d v="2026-05-23T00:00:00"/>
        <d v="2026-05-24T00:00:00"/>
        <d v="2026-05-25T00:00:00"/>
        <d v="2026-05-26T00:00:00"/>
        <d v="2026-05-27T00:00:00"/>
        <d v="2026-05-28T00:00:00"/>
        <d v="2026-05-29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sharedItems>
      <fieldGroup par="14" base="1">
        <rangePr groupBy="months" startDate="2024-08-01T00:00:00" endDate="2026-08-01T00:00:00"/>
        <groupItems count="14">
          <s v="&lt;01.08.2024"/>
          <s v="янв"/>
          <s v="февр"/>
          <s v="март"/>
          <s v="апр"/>
          <s v="май"/>
          <s v="июнь"/>
          <s v="июль"/>
          <s v="авг"/>
          <s v="сент"/>
          <s v="окт"/>
          <s v="нояб"/>
          <s v="дек"/>
          <s v="&gt;01.08.2026"/>
        </groupItems>
      </fieldGroup>
    </cacheField>
    <cacheField name="Region" numFmtId="49">
      <sharedItems count="6">
        <s v="CA"/>
        <s v="TX"/>
        <s v="FL"/>
        <s v="IL"/>
        <s v="WA"/>
        <s v="NY"/>
      </sharedItems>
    </cacheField>
    <cacheField name="Channel" numFmtId="49">
      <sharedItems count="3">
        <s v="Online"/>
        <s v="Partner"/>
        <s v="Direct"/>
      </sharedItems>
    </cacheField>
    <cacheField name="ProductCategory" numFmtId="49">
      <sharedItems/>
    </cacheField>
    <cacheField name="ProductName" numFmtId="49">
      <sharedItems count="12">
        <s v="EliteDesk Mini PC"/>
        <s v="Smart Lighting Kit"/>
        <s v="10000mAh Power Bank"/>
        <s v="Mechanical Keyboard"/>
        <s v="Voice Assistant Hub"/>
        <s v="IP Security Camera 4K"/>
        <s v="Workstation Tower"/>
        <s v="24-Port PoE Switch"/>
        <s v="Smart Thermostat Pro"/>
        <s v="ProBook 15.6&quot;"/>
        <s v="Dual-Band Wi-Fi 6 Router"/>
        <s v="USB-C Triple Display Dock"/>
      </sharedItems>
    </cacheField>
    <cacheField name="SalesAmount" numFmtId="164">
      <sharedItems containsSemiMixedTypes="0" containsString="0" containsNumber="1" minValue="-4800" maxValue="6000" count="133">
        <n v="650"/>
        <n v="240"/>
        <n v="90"/>
        <n v="220"/>
        <n v="150"/>
        <n v="2400"/>
        <n v="350"/>
        <n v="660"/>
        <n v="-180"/>
        <n v="1700"/>
        <n v="1200"/>
        <n v="180"/>
        <n v="450"/>
        <n v="110"/>
        <n v="300"/>
        <n v="850"/>
        <n v="330"/>
        <n v="440"/>
        <n v="1050"/>
        <n v="1300"/>
        <n v="900"/>
        <n v="700"/>
        <n v="-220"/>
        <n v="550"/>
        <n v="-90"/>
        <n v="540"/>
        <n v="360"/>
        <n v="120"/>
        <n v="-350"/>
        <n v="-150"/>
        <n v="1400"/>
        <n v="45"/>
        <n v="1750"/>
        <n v="3600"/>
        <n v="4250"/>
        <n v="135"/>
        <n v="-110"/>
        <n v="2550"/>
        <n v="-330"/>
        <n v="-650"/>
        <n v="1950"/>
        <n v="-440"/>
        <n v="-700"/>
        <n v="3400"/>
        <n v="480"/>
        <n v="720"/>
        <n v="270"/>
        <n v="-3600"/>
        <n v="6000"/>
        <n v="-2400"/>
        <n v="-1200"/>
        <n v="-225"/>
        <n v="-120"/>
        <n v="-45"/>
        <n v="750"/>
        <n v="4800"/>
        <n v="600"/>
        <n v="-850"/>
        <n v="-2550"/>
        <n v="-3400"/>
        <n v="1100"/>
        <n v="-4800"/>
        <n v="-300"/>
        <n v="225"/>
        <n v="-1050"/>
        <n v="3250"/>
        <n v="2600"/>
        <n v="317.8"/>
        <n v="86.67"/>
        <n v="173.35"/>
        <n v="818.59"/>
        <n v="43.34"/>
        <n v="115.57"/>
        <n v="211.87"/>
        <n v="144.46"/>
        <n v="520.04"/>
        <n v="231.13"/>
        <n v="1155.6500000000001"/>
        <n v="105.93"/>
        <n v="1251.95"/>
        <n v="3466.95"/>
        <n v="346.7"/>
        <n v="2311.3000000000002"/>
        <n v="625.98"/>
        <n v="433.37"/>
        <n v="635.61"/>
        <n v="337.06"/>
        <n v="1637.17"/>
        <n v="288.91000000000003"/>
        <n v="423.74"/>
        <n v="1348.26"/>
        <n v="1011.19"/>
        <n v="-818.59"/>
        <n v="674.13"/>
        <n v="-625.98"/>
        <n v="-1155.6500000000001"/>
        <n v="3129.89"/>
        <n v="1877.93"/>
        <n v="-288.91000000000003"/>
        <n v="2455.7600000000002"/>
        <n v="-115.57"/>
        <n v="462.26"/>
        <n v="-3466.95"/>
        <n v="-1251.95"/>
        <n v="-144.46"/>
        <n v="-423.74"/>
        <n v="260.02"/>
        <n v="1059.3499999999999"/>
        <n v="-346.7"/>
        <n v="-173.35"/>
        <n v="-2455.7600000000002"/>
        <n v="577.83000000000004"/>
        <n v="-260.02"/>
        <n v="-1877.93"/>
        <n v="-130.01"/>
        <n v="-231.13"/>
        <n v="-86.67"/>
        <n v="130.01"/>
        <n v="-2311.3000000000002"/>
        <n v="-43.34"/>
        <n v="529.66999999999996"/>
        <n v="-1637.17"/>
        <n v="693.39"/>
        <n v="-337.06"/>
        <n v="2503.91"/>
        <n v="-1011.19"/>
        <n v="3274.34"/>
        <n v="216.68"/>
        <n v="-211.87"/>
        <n v="4622.6000000000004"/>
        <n v="4092.93"/>
        <n v="-105.93"/>
        <n v="722.28"/>
      </sharedItems>
    </cacheField>
    <cacheField name="CostAmount" numFmtId="164">
      <sharedItems containsSemiMixedTypes="0" containsString="0" containsNumber="1" minValue="-3400" maxValue="4250"/>
    </cacheField>
    <cacheField name="Quantity" numFmtId="166">
      <sharedItems containsSemiMixedTypes="0" containsString="0" containsNumber="1" containsInteger="1" minValue="-5" maxValue="5"/>
    </cacheField>
    <cacheField name="CustomerID" numFmtId="49">
      <sharedItems/>
    </cacheField>
    <cacheField name="CustomerType" numFmtId="49">
      <sharedItems/>
    </cacheField>
    <cacheField name="IsRepeatPurchase" numFmtId="166">
      <sharedItems containsSemiMixedTypes="0" containsString="0" containsNumber="1" containsInteger="1" minValue="0" maxValue="1" count="2">
        <n v="1"/>
        <n v="0"/>
      </sharedItems>
    </cacheField>
    <cacheField name="Transaction Type" numFmtId="49">
      <sharedItems/>
    </cacheField>
    <cacheField name="Quarters" numFmtId="0" databaseField="0">
      <fieldGroup base="1">
        <rangePr groupBy="quarters" startDate="2024-08-01T00:00:00" endDate="2026-08-01T00:00:00"/>
        <groupItems count="6">
          <s v="&lt;01.08.2024"/>
          <s v="Qtr1"/>
          <s v="Qtr2"/>
          <s v="Qtr3"/>
          <s v="Qtr4"/>
          <s v="&gt;01.08.2026"/>
        </groupItems>
      </fieldGroup>
    </cacheField>
    <cacheField name="Years" numFmtId="0" databaseField="0">
      <fieldGroup base="1">
        <rangePr groupBy="years" startDate="2024-08-01T00:00:00" endDate="2026-08-01T00:00:00"/>
        <groupItems count="5">
          <s v="&lt;01.08.2024"/>
          <s v="2024"/>
          <s v="2025"/>
          <s v="2026"/>
          <s v="&gt;01.08.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00"/>
    <x v="0"/>
    <x v="0"/>
    <x v="0"/>
    <s v="Laptops &amp; Computers"/>
    <x v="0"/>
    <x v="0"/>
    <n v="450"/>
    <n v="1"/>
    <s v="CUST-1178"/>
    <s v="Existing"/>
    <x v="0"/>
    <s v="Sale"/>
  </r>
  <r>
    <s v="ORD-10001"/>
    <x v="0"/>
    <x v="1"/>
    <x v="0"/>
    <s v="Smart Home &amp; IoT"/>
    <x v="1"/>
    <x v="1"/>
    <n v="140"/>
    <n v="2"/>
    <s v="CUST-2725"/>
    <s v="Existing"/>
    <x v="0"/>
    <s v="Sale"/>
  </r>
  <r>
    <s v="ORD-10002"/>
    <x v="1"/>
    <x v="2"/>
    <x v="1"/>
    <s v="Accessories &amp; Power"/>
    <x v="2"/>
    <x v="2"/>
    <n v="40"/>
    <n v="2"/>
    <s v="CUST-1162"/>
    <s v="Existing"/>
    <x v="0"/>
    <s v="Sale"/>
  </r>
  <r>
    <s v="ORD-10003"/>
    <x v="1"/>
    <x v="1"/>
    <x v="0"/>
    <s v="Accessories &amp; Power"/>
    <x v="3"/>
    <x v="3"/>
    <n v="130"/>
    <n v="2"/>
    <s v="CUST-1592"/>
    <s v="New"/>
    <x v="1"/>
    <s v="Sale"/>
  </r>
  <r>
    <s v="ORD-10004"/>
    <x v="1"/>
    <x v="2"/>
    <x v="2"/>
    <s v="Accessories &amp; Power"/>
    <x v="3"/>
    <x v="3"/>
    <n v="130"/>
    <n v="2"/>
    <s v="CUST-2005"/>
    <s v="Existing"/>
    <x v="0"/>
    <s v="Sale"/>
  </r>
  <r>
    <s v="ORD-10005"/>
    <x v="1"/>
    <x v="3"/>
    <x v="0"/>
    <s v="Smart Home &amp; IoT"/>
    <x v="4"/>
    <x v="2"/>
    <n v="55"/>
    <n v="1"/>
    <s v="CUST-2193"/>
    <s v="New"/>
    <x v="1"/>
    <s v="Sale"/>
  </r>
  <r>
    <s v="ORD-10006"/>
    <x v="1"/>
    <x v="3"/>
    <x v="0"/>
    <s v="Networking &amp; Security"/>
    <x v="5"/>
    <x v="4"/>
    <n v="90"/>
    <n v="1"/>
    <s v="CUST-1300"/>
    <s v="New"/>
    <x v="1"/>
    <s v="Sale"/>
  </r>
  <r>
    <s v="ORD-10007"/>
    <x v="2"/>
    <x v="4"/>
    <x v="2"/>
    <s v="Laptops &amp; Computers"/>
    <x v="6"/>
    <x v="5"/>
    <n v="1700"/>
    <n v="2"/>
    <s v="CUST-1373"/>
    <s v="New"/>
    <x v="1"/>
    <s v="Sale"/>
  </r>
  <r>
    <s v="ORD-10008"/>
    <x v="2"/>
    <x v="1"/>
    <x v="2"/>
    <s v="Laptops &amp; Computers"/>
    <x v="0"/>
    <x v="0"/>
    <n v="450"/>
    <n v="1"/>
    <s v="CUST-1707"/>
    <s v="New"/>
    <x v="1"/>
    <s v="Sale"/>
  </r>
  <r>
    <s v="ORD-10009"/>
    <x v="2"/>
    <x v="1"/>
    <x v="1"/>
    <s v="Networking &amp; Security"/>
    <x v="7"/>
    <x v="6"/>
    <n v="220"/>
    <n v="1"/>
    <s v="CUST-1202"/>
    <s v="New"/>
    <x v="1"/>
    <s v="Sale"/>
  </r>
  <r>
    <s v="ORD-10010"/>
    <x v="2"/>
    <x v="5"/>
    <x v="2"/>
    <s v="Smart Home &amp; IoT"/>
    <x v="8"/>
    <x v="7"/>
    <n v="390"/>
    <n v="3"/>
    <s v="CUST-1046"/>
    <s v="New"/>
    <x v="1"/>
    <s v="Sale"/>
  </r>
  <r>
    <s v="ORD-10011"/>
    <x v="3"/>
    <x v="1"/>
    <x v="1"/>
    <s v="Smart Home &amp; IoT"/>
    <x v="4"/>
    <x v="8"/>
    <n v="-110"/>
    <n v="-2"/>
    <s v="CUST-1462"/>
    <s v="New"/>
    <x v="1"/>
    <s v="Return"/>
  </r>
  <r>
    <s v="ORD-10012"/>
    <x v="3"/>
    <x v="5"/>
    <x v="0"/>
    <s v="Smart Home &amp; IoT"/>
    <x v="4"/>
    <x v="2"/>
    <n v="55"/>
    <n v="1"/>
    <s v="CUST-2693"/>
    <s v="New"/>
    <x v="1"/>
    <s v="Sale"/>
  </r>
  <r>
    <s v="ORD-10013"/>
    <x v="3"/>
    <x v="2"/>
    <x v="0"/>
    <s v="Laptops &amp; Computers"/>
    <x v="9"/>
    <x v="9"/>
    <n v="1200"/>
    <n v="2"/>
    <s v="CUST-1407"/>
    <s v="New"/>
    <x v="1"/>
    <s v="Sale"/>
  </r>
  <r>
    <s v="ORD-10014"/>
    <x v="3"/>
    <x v="2"/>
    <x v="0"/>
    <s v="Smart Home &amp; IoT"/>
    <x v="1"/>
    <x v="1"/>
    <n v="140"/>
    <n v="2"/>
    <s v="CUST-2217"/>
    <s v="Existing"/>
    <x v="0"/>
    <s v="Sale"/>
  </r>
  <r>
    <s v="ORD-10015"/>
    <x v="3"/>
    <x v="1"/>
    <x v="0"/>
    <s v="Laptops &amp; Computers"/>
    <x v="6"/>
    <x v="10"/>
    <n v="850"/>
    <n v="1"/>
    <s v="CUST-1426"/>
    <s v="New"/>
    <x v="1"/>
    <s v="Sale"/>
  </r>
  <r>
    <s v="ORD-10016"/>
    <x v="4"/>
    <x v="0"/>
    <x v="2"/>
    <s v="Networking &amp; Security"/>
    <x v="10"/>
    <x v="11"/>
    <n v="110"/>
    <n v="1"/>
    <s v="CUST-1929"/>
    <s v="New"/>
    <x v="1"/>
    <s v="Sale"/>
  </r>
  <r>
    <s v="ORD-10017"/>
    <x v="4"/>
    <x v="1"/>
    <x v="2"/>
    <s v="Accessories &amp; Power"/>
    <x v="11"/>
    <x v="12"/>
    <n v="270"/>
    <n v="3"/>
    <s v="CUST-2814"/>
    <s v="New"/>
    <x v="1"/>
    <s v="Sale"/>
  </r>
  <r>
    <s v="ORD-10018"/>
    <x v="4"/>
    <x v="0"/>
    <x v="0"/>
    <s v="Smart Home &amp; IoT"/>
    <x v="8"/>
    <x v="3"/>
    <n v="130"/>
    <n v="1"/>
    <s v="CUST-1316"/>
    <s v="New"/>
    <x v="1"/>
    <s v="Sale"/>
  </r>
  <r>
    <s v="ORD-10019"/>
    <x v="4"/>
    <x v="3"/>
    <x v="1"/>
    <s v="Accessories &amp; Power"/>
    <x v="3"/>
    <x v="13"/>
    <n v="65"/>
    <n v="1"/>
    <s v="CUST-2502"/>
    <s v="New"/>
    <x v="1"/>
    <s v="Sale"/>
  </r>
  <r>
    <s v="ORD-10020"/>
    <x v="5"/>
    <x v="1"/>
    <x v="1"/>
    <s v="Laptops &amp; Computers"/>
    <x v="0"/>
    <x v="0"/>
    <n v="450"/>
    <n v="1"/>
    <s v="CUST-1420"/>
    <s v="New"/>
    <x v="1"/>
    <s v="Sale"/>
  </r>
  <r>
    <s v="ORD-10021"/>
    <x v="5"/>
    <x v="0"/>
    <x v="0"/>
    <s v="Networking &amp; Security"/>
    <x v="5"/>
    <x v="14"/>
    <n v="180"/>
    <n v="2"/>
    <s v="CUST-2292"/>
    <s v="New"/>
    <x v="1"/>
    <s v="Sale"/>
  </r>
  <r>
    <s v="ORD-10022"/>
    <x v="5"/>
    <x v="0"/>
    <x v="0"/>
    <s v="Networking &amp; Security"/>
    <x v="7"/>
    <x v="6"/>
    <n v="220"/>
    <n v="1"/>
    <s v="CUST-2504"/>
    <s v="New"/>
    <x v="1"/>
    <s v="Sale"/>
  </r>
  <r>
    <s v="ORD-10023"/>
    <x v="5"/>
    <x v="5"/>
    <x v="0"/>
    <s v="Networking &amp; Security"/>
    <x v="10"/>
    <x v="11"/>
    <n v="110"/>
    <n v="1"/>
    <s v="CUST-2734"/>
    <s v="New"/>
    <x v="1"/>
    <s v="Sale"/>
  </r>
  <r>
    <s v="ORD-10024"/>
    <x v="6"/>
    <x v="5"/>
    <x v="0"/>
    <s v="Accessories &amp; Power"/>
    <x v="3"/>
    <x v="13"/>
    <n v="65"/>
    <n v="1"/>
    <s v="CUST-2759"/>
    <s v="New"/>
    <x v="1"/>
    <s v="Sale"/>
  </r>
  <r>
    <s v="ORD-10025"/>
    <x v="6"/>
    <x v="1"/>
    <x v="0"/>
    <s v="Smart Home &amp; IoT"/>
    <x v="4"/>
    <x v="12"/>
    <n v="275"/>
    <n v="5"/>
    <s v="CUST-1262"/>
    <s v="Existing"/>
    <x v="0"/>
    <s v="Sale"/>
  </r>
  <r>
    <s v="ORD-10026"/>
    <x v="6"/>
    <x v="0"/>
    <x v="2"/>
    <s v="Accessories &amp; Power"/>
    <x v="3"/>
    <x v="13"/>
    <n v="65"/>
    <n v="1"/>
    <s v="CUST-2449"/>
    <s v="Existing"/>
    <x v="0"/>
    <s v="Sale"/>
  </r>
  <r>
    <s v="ORD-10027"/>
    <x v="6"/>
    <x v="1"/>
    <x v="0"/>
    <s v="Laptops &amp; Computers"/>
    <x v="9"/>
    <x v="15"/>
    <n v="600"/>
    <n v="1"/>
    <s v="CUST-1165"/>
    <s v="New"/>
    <x v="1"/>
    <s v="Sale"/>
  </r>
  <r>
    <s v="ORD-10028"/>
    <x v="7"/>
    <x v="1"/>
    <x v="0"/>
    <s v="Accessories &amp; Power"/>
    <x v="3"/>
    <x v="16"/>
    <n v="195"/>
    <n v="3"/>
    <s v="CUST-2715"/>
    <s v="New"/>
    <x v="1"/>
    <s v="Sale"/>
  </r>
  <r>
    <s v="ORD-10029"/>
    <x v="7"/>
    <x v="2"/>
    <x v="1"/>
    <s v="Laptops &amp; Computers"/>
    <x v="0"/>
    <x v="0"/>
    <n v="450"/>
    <n v="1"/>
    <s v="CUST-1427"/>
    <s v="New"/>
    <x v="1"/>
    <s v="Sale"/>
  </r>
  <r>
    <s v="ORD-10030"/>
    <x v="8"/>
    <x v="5"/>
    <x v="2"/>
    <s v="Accessories &amp; Power"/>
    <x v="3"/>
    <x v="17"/>
    <n v="260"/>
    <n v="4"/>
    <s v="CUST-2727"/>
    <s v="New"/>
    <x v="1"/>
    <s v="Sale"/>
  </r>
  <r>
    <s v="ORD-10031"/>
    <x v="8"/>
    <x v="1"/>
    <x v="1"/>
    <s v="Networking &amp; Security"/>
    <x v="7"/>
    <x v="18"/>
    <n v="660"/>
    <n v="3"/>
    <s v="CUST-1396"/>
    <s v="New"/>
    <x v="1"/>
    <s v="Sale"/>
  </r>
  <r>
    <s v="ORD-10032"/>
    <x v="8"/>
    <x v="0"/>
    <x v="0"/>
    <s v="Networking &amp; Security"/>
    <x v="5"/>
    <x v="12"/>
    <n v="270"/>
    <n v="3"/>
    <s v="CUST-2239"/>
    <s v="New"/>
    <x v="1"/>
    <s v="Sale"/>
  </r>
  <r>
    <s v="ORD-10033"/>
    <x v="9"/>
    <x v="4"/>
    <x v="0"/>
    <s v="Networking &amp; Security"/>
    <x v="7"/>
    <x v="6"/>
    <n v="220"/>
    <n v="1"/>
    <s v="CUST-1795"/>
    <s v="New"/>
    <x v="1"/>
    <s v="Sale"/>
  </r>
  <r>
    <s v="ORD-10034"/>
    <x v="9"/>
    <x v="1"/>
    <x v="2"/>
    <s v="Accessories &amp; Power"/>
    <x v="11"/>
    <x v="14"/>
    <n v="180"/>
    <n v="2"/>
    <s v="CUST-2887"/>
    <s v="New"/>
    <x v="1"/>
    <s v="Sale"/>
  </r>
  <r>
    <s v="ORD-10035"/>
    <x v="9"/>
    <x v="2"/>
    <x v="0"/>
    <s v="Laptops &amp; Computers"/>
    <x v="0"/>
    <x v="19"/>
    <n v="900"/>
    <n v="2"/>
    <s v="CUST-1106"/>
    <s v="New"/>
    <x v="1"/>
    <s v="Sale"/>
  </r>
  <r>
    <s v="ORD-10036"/>
    <x v="10"/>
    <x v="0"/>
    <x v="0"/>
    <s v="Networking &amp; Security"/>
    <x v="10"/>
    <x v="20"/>
    <n v="550"/>
    <n v="5"/>
    <s v="CUST-1097"/>
    <s v="Existing"/>
    <x v="0"/>
    <s v="Sale"/>
  </r>
  <r>
    <s v="ORD-10037"/>
    <x v="10"/>
    <x v="1"/>
    <x v="2"/>
    <s v="Accessories &amp; Power"/>
    <x v="3"/>
    <x v="13"/>
    <n v="65"/>
    <n v="1"/>
    <s v="CUST-2903"/>
    <s v="New"/>
    <x v="1"/>
    <s v="Sale"/>
  </r>
  <r>
    <s v="ORD-10038"/>
    <x v="10"/>
    <x v="0"/>
    <x v="2"/>
    <s v="Networking &amp; Security"/>
    <x v="7"/>
    <x v="21"/>
    <n v="440"/>
    <n v="2"/>
    <s v="CUST-2505"/>
    <s v="New"/>
    <x v="1"/>
    <s v="Sale"/>
  </r>
  <r>
    <s v="ORD-10039"/>
    <x v="10"/>
    <x v="5"/>
    <x v="0"/>
    <s v="Laptops &amp; Computers"/>
    <x v="9"/>
    <x v="15"/>
    <n v="600"/>
    <n v="1"/>
    <s v="CUST-2522"/>
    <s v="New"/>
    <x v="1"/>
    <s v="Sale"/>
  </r>
  <r>
    <s v="ORD-10040"/>
    <x v="11"/>
    <x v="4"/>
    <x v="0"/>
    <s v="Networking &amp; Security"/>
    <x v="10"/>
    <x v="11"/>
    <n v="110"/>
    <n v="1"/>
    <s v="CUST-2253"/>
    <s v="Existing"/>
    <x v="0"/>
    <s v="Sale"/>
  </r>
  <r>
    <s v="ORD-10041"/>
    <x v="11"/>
    <x v="1"/>
    <x v="0"/>
    <s v="Networking &amp; Security"/>
    <x v="10"/>
    <x v="11"/>
    <n v="110"/>
    <n v="1"/>
    <s v="CUST-2280"/>
    <s v="Existing"/>
    <x v="0"/>
    <s v="Sale"/>
  </r>
  <r>
    <s v="ORD-10042"/>
    <x v="12"/>
    <x v="0"/>
    <x v="0"/>
    <s v="Accessories &amp; Power"/>
    <x v="3"/>
    <x v="22"/>
    <n v="-130"/>
    <n v="-2"/>
    <s v="CUST-1042"/>
    <s v="New"/>
    <x v="1"/>
    <s v="Return"/>
  </r>
  <r>
    <s v="ORD-10043"/>
    <x v="12"/>
    <x v="0"/>
    <x v="0"/>
    <s v="Accessories &amp; Power"/>
    <x v="11"/>
    <x v="4"/>
    <n v="90"/>
    <n v="1"/>
    <s v="CUST-1241"/>
    <s v="Existing"/>
    <x v="0"/>
    <s v="Sale"/>
  </r>
  <r>
    <s v="ORD-10044"/>
    <x v="12"/>
    <x v="1"/>
    <x v="0"/>
    <s v="Networking &amp; Security"/>
    <x v="10"/>
    <x v="11"/>
    <n v="110"/>
    <n v="1"/>
    <s v="CUST-2577"/>
    <s v="Existing"/>
    <x v="0"/>
    <s v="Sale"/>
  </r>
  <r>
    <s v="ORD-10045"/>
    <x v="13"/>
    <x v="0"/>
    <x v="0"/>
    <s v="Accessories &amp; Power"/>
    <x v="3"/>
    <x v="23"/>
    <n v="325"/>
    <n v="5"/>
    <s v="CUST-1094"/>
    <s v="New"/>
    <x v="1"/>
    <s v="Sale"/>
  </r>
  <r>
    <s v="ORD-10046"/>
    <x v="13"/>
    <x v="0"/>
    <x v="1"/>
    <s v="Networking &amp; Security"/>
    <x v="7"/>
    <x v="6"/>
    <n v="220"/>
    <n v="1"/>
    <s v="CUST-2969"/>
    <s v="New"/>
    <x v="1"/>
    <s v="Sale"/>
  </r>
  <r>
    <s v="ORD-10047"/>
    <x v="13"/>
    <x v="2"/>
    <x v="2"/>
    <s v="Laptops &amp; Computers"/>
    <x v="9"/>
    <x v="9"/>
    <n v="1200"/>
    <n v="2"/>
    <s v="CUST-2789"/>
    <s v="Existing"/>
    <x v="0"/>
    <s v="Sale"/>
  </r>
  <r>
    <s v="ORD-10048"/>
    <x v="13"/>
    <x v="1"/>
    <x v="2"/>
    <s v="Laptops &amp; Computers"/>
    <x v="0"/>
    <x v="0"/>
    <n v="450"/>
    <n v="1"/>
    <s v="CUST-1187"/>
    <s v="Existing"/>
    <x v="0"/>
    <s v="Sale"/>
  </r>
  <r>
    <s v="ORD-10049"/>
    <x v="14"/>
    <x v="0"/>
    <x v="0"/>
    <s v="Networking &amp; Security"/>
    <x v="5"/>
    <x v="4"/>
    <n v="90"/>
    <n v="1"/>
    <s v="CUST-1384"/>
    <s v="New"/>
    <x v="1"/>
    <s v="Sale"/>
  </r>
  <r>
    <s v="ORD-10050"/>
    <x v="15"/>
    <x v="4"/>
    <x v="0"/>
    <s v="Laptops &amp; Computers"/>
    <x v="0"/>
    <x v="19"/>
    <n v="900"/>
    <n v="2"/>
    <s v="CUST-1818"/>
    <s v="Existing"/>
    <x v="0"/>
    <s v="Sale"/>
  </r>
  <r>
    <s v="ORD-10051"/>
    <x v="15"/>
    <x v="0"/>
    <x v="0"/>
    <s v="Accessories &amp; Power"/>
    <x v="3"/>
    <x v="16"/>
    <n v="195"/>
    <n v="3"/>
    <s v="CUST-2423"/>
    <s v="Existing"/>
    <x v="0"/>
    <s v="Sale"/>
  </r>
  <r>
    <s v="ORD-10052"/>
    <x v="15"/>
    <x v="4"/>
    <x v="0"/>
    <s v="Accessories &amp; Power"/>
    <x v="11"/>
    <x v="4"/>
    <n v="90"/>
    <n v="1"/>
    <s v="CUST-2529"/>
    <s v="New"/>
    <x v="1"/>
    <s v="Sale"/>
  </r>
  <r>
    <s v="ORD-10053"/>
    <x v="16"/>
    <x v="1"/>
    <x v="0"/>
    <s v="Laptops &amp; Computers"/>
    <x v="6"/>
    <x v="5"/>
    <n v="1700"/>
    <n v="2"/>
    <s v="CUST-2190"/>
    <s v="New"/>
    <x v="1"/>
    <s v="Sale"/>
  </r>
  <r>
    <s v="ORD-10054"/>
    <x v="16"/>
    <x v="3"/>
    <x v="2"/>
    <s v="Smart Home &amp; IoT"/>
    <x v="4"/>
    <x v="2"/>
    <n v="55"/>
    <n v="1"/>
    <s v="CUST-2806"/>
    <s v="New"/>
    <x v="1"/>
    <s v="Sale"/>
  </r>
  <r>
    <s v="ORD-10055"/>
    <x v="16"/>
    <x v="5"/>
    <x v="2"/>
    <s v="Smart Home &amp; IoT"/>
    <x v="4"/>
    <x v="2"/>
    <n v="55"/>
    <n v="1"/>
    <s v="CUST-2148"/>
    <s v="New"/>
    <x v="1"/>
    <s v="Sale"/>
  </r>
  <r>
    <s v="ORD-10056"/>
    <x v="16"/>
    <x v="3"/>
    <x v="2"/>
    <s v="Accessories &amp; Power"/>
    <x v="3"/>
    <x v="13"/>
    <n v="65"/>
    <n v="1"/>
    <s v="CUST-2696"/>
    <s v="Existing"/>
    <x v="0"/>
    <s v="Sale"/>
  </r>
  <r>
    <s v="ORD-10057"/>
    <x v="17"/>
    <x v="4"/>
    <x v="0"/>
    <s v="Accessories &amp; Power"/>
    <x v="3"/>
    <x v="13"/>
    <n v="65"/>
    <n v="1"/>
    <s v="CUST-1086"/>
    <s v="New"/>
    <x v="1"/>
    <s v="Sale"/>
  </r>
  <r>
    <s v="ORD-10058"/>
    <x v="17"/>
    <x v="0"/>
    <x v="1"/>
    <s v="Networking &amp; Security"/>
    <x v="10"/>
    <x v="11"/>
    <n v="110"/>
    <n v="1"/>
    <s v="CUST-2844"/>
    <s v="New"/>
    <x v="1"/>
    <s v="Sale"/>
  </r>
  <r>
    <s v="ORD-10059"/>
    <x v="17"/>
    <x v="4"/>
    <x v="0"/>
    <s v="Accessories &amp; Power"/>
    <x v="3"/>
    <x v="13"/>
    <n v="65"/>
    <n v="1"/>
    <s v="CUST-1488"/>
    <s v="Existing"/>
    <x v="0"/>
    <s v="Sale"/>
  </r>
  <r>
    <s v="ORD-10060"/>
    <x v="17"/>
    <x v="1"/>
    <x v="0"/>
    <s v="Smart Home &amp; IoT"/>
    <x v="4"/>
    <x v="24"/>
    <n v="-55"/>
    <n v="-1"/>
    <s v="CUST-1225"/>
    <s v="Existing"/>
    <x v="0"/>
    <s v="Return"/>
  </r>
  <r>
    <s v="ORD-10061"/>
    <x v="17"/>
    <x v="1"/>
    <x v="0"/>
    <s v="Smart Home &amp; IoT"/>
    <x v="8"/>
    <x v="3"/>
    <n v="130"/>
    <n v="1"/>
    <s v="CUST-2680"/>
    <s v="New"/>
    <x v="1"/>
    <s v="Sale"/>
  </r>
  <r>
    <s v="ORD-10062"/>
    <x v="18"/>
    <x v="1"/>
    <x v="2"/>
    <s v="Laptops &amp; Computers"/>
    <x v="6"/>
    <x v="10"/>
    <n v="850"/>
    <n v="1"/>
    <s v="CUST-1344"/>
    <s v="Existing"/>
    <x v="0"/>
    <s v="Sale"/>
  </r>
  <r>
    <s v="ORD-10063"/>
    <x v="18"/>
    <x v="5"/>
    <x v="1"/>
    <s v="Laptops &amp; Computers"/>
    <x v="9"/>
    <x v="15"/>
    <n v="600"/>
    <n v="1"/>
    <s v="CUST-2783"/>
    <s v="New"/>
    <x v="1"/>
    <s v="Sale"/>
  </r>
  <r>
    <s v="ORD-10064"/>
    <x v="18"/>
    <x v="0"/>
    <x v="0"/>
    <s v="Networking &amp; Security"/>
    <x v="10"/>
    <x v="25"/>
    <n v="330"/>
    <n v="3"/>
    <s v="CUST-2897"/>
    <s v="New"/>
    <x v="1"/>
    <s v="Sale"/>
  </r>
  <r>
    <s v="ORD-10065"/>
    <x v="19"/>
    <x v="5"/>
    <x v="1"/>
    <s v="Laptops &amp; Computers"/>
    <x v="0"/>
    <x v="19"/>
    <n v="900"/>
    <n v="2"/>
    <s v="CUST-1517"/>
    <s v="New"/>
    <x v="1"/>
    <s v="Sale"/>
  </r>
  <r>
    <s v="ORD-10066"/>
    <x v="19"/>
    <x v="5"/>
    <x v="1"/>
    <s v="Laptops &amp; Computers"/>
    <x v="6"/>
    <x v="10"/>
    <n v="850"/>
    <n v="1"/>
    <s v="CUST-2054"/>
    <s v="New"/>
    <x v="1"/>
    <s v="Sale"/>
  </r>
  <r>
    <s v="ORD-10067"/>
    <x v="19"/>
    <x v="2"/>
    <x v="0"/>
    <s v="Smart Home &amp; IoT"/>
    <x v="1"/>
    <x v="26"/>
    <n v="210"/>
    <n v="3"/>
    <s v="CUST-2732"/>
    <s v="New"/>
    <x v="1"/>
    <s v="Sale"/>
  </r>
  <r>
    <s v="ORD-10068"/>
    <x v="20"/>
    <x v="3"/>
    <x v="0"/>
    <s v="Laptops &amp; Computers"/>
    <x v="6"/>
    <x v="5"/>
    <n v="1700"/>
    <n v="2"/>
    <s v="CUST-2767"/>
    <s v="New"/>
    <x v="1"/>
    <s v="Sale"/>
  </r>
  <r>
    <s v="ORD-10069"/>
    <x v="20"/>
    <x v="1"/>
    <x v="0"/>
    <s v="Smart Home &amp; IoT"/>
    <x v="1"/>
    <x v="27"/>
    <n v="70"/>
    <n v="1"/>
    <s v="CUST-1295"/>
    <s v="Existing"/>
    <x v="0"/>
    <s v="Sale"/>
  </r>
  <r>
    <s v="ORD-10070"/>
    <x v="20"/>
    <x v="1"/>
    <x v="1"/>
    <s v="Networking &amp; Security"/>
    <x v="5"/>
    <x v="4"/>
    <n v="90"/>
    <n v="1"/>
    <s v="CUST-1413"/>
    <s v="Existing"/>
    <x v="0"/>
    <s v="Sale"/>
  </r>
  <r>
    <s v="ORD-10071"/>
    <x v="20"/>
    <x v="0"/>
    <x v="0"/>
    <s v="Accessories &amp; Power"/>
    <x v="3"/>
    <x v="22"/>
    <n v="-130"/>
    <n v="-2"/>
    <s v="CUST-2860"/>
    <s v="New"/>
    <x v="1"/>
    <s v="Return"/>
  </r>
  <r>
    <s v="ORD-10072"/>
    <x v="21"/>
    <x v="0"/>
    <x v="2"/>
    <s v="Networking &amp; Security"/>
    <x v="7"/>
    <x v="28"/>
    <n v="-220"/>
    <n v="-1"/>
    <s v="CUST-2995"/>
    <s v="New"/>
    <x v="1"/>
    <s v="Return"/>
  </r>
  <r>
    <s v="ORD-10073"/>
    <x v="21"/>
    <x v="0"/>
    <x v="0"/>
    <s v="Laptops &amp; Computers"/>
    <x v="9"/>
    <x v="9"/>
    <n v="1200"/>
    <n v="2"/>
    <s v="CUST-1134"/>
    <s v="New"/>
    <x v="1"/>
    <s v="Sale"/>
  </r>
  <r>
    <s v="ORD-10074"/>
    <x v="22"/>
    <x v="1"/>
    <x v="2"/>
    <s v="Smart Home &amp; IoT"/>
    <x v="8"/>
    <x v="17"/>
    <n v="260"/>
    <n v="2"/>
    <s v="CUST-1524"/>
    <s v="New"/>
    <x v="1"/>
    <s v="Sale"/>
  </r>
  <r>
    <s v="ORD-10075"/>
    <x v="22"/>
    <x v="0"/>
    <x v="0"/>
    <s v="Accessories &amp; Power"/>
    <x v="11"/>
    <x v="14"/>
    <n v="180"/>
    <n v="2"/>
    <s v="CUST-2008"/>
    <s v="New"/>
    <x v="1"/>
    <s v="Sale"/>
  </r>
  <r>
    <s v="ORD-10076"/>
    <x v="22"/>
    <x v="4"/>
    <x v="2"/>
    <s v="Accessories &amp; Power"/>
    <x v="3"/>
    <x v="23"/>
    <n v="325"/>
    <n v="5"/>
    <s v="CUST-1003"/>
    <s v="New"/>
    <x v="1"/>
    <s v="Sale"/>
  </r>
  <r>
    <s v="ORD-10077"/>
    <x v="22"/>
    <x v="5"/>
    <x v="1"/>
    <s v="Networking &amp; Security"/>
    <x v="10"/>
    <x v="11"/>
    <n v="110"/>
    <n v="1"/>
    <s v="CUST-1177"/>
    <s v="Existing"/>
    <x v="0"/>
    <s v="Sale"/>
  </r>
  <r>
    <s v="ORD-10078"/>
    <x v="23"/>
    <x v="1"/>
    <x v="1"/>
    <s v="Networking &amp; Security"/>
    <x v="5"/>
    <x v="29"/>
    <n v="-90"/>
    <n v="-1"/>
    <s v="CUST-1745"/>
    <s v="New"/>
    <x v="1"/>
    <s v="Return"/>
  </r>
  <r>
    <s v="ORD-10079"/>
    <x v="24"/>
    <x v="5"/>
    <x v="1"/>
    <s v="Accessories &amp; Power"/>
    <x v="11"/>
    <x v="14"/>
    <n v="180"/>
    <n v="2"/>
    <s v="CUST-1258"/>
    <s v="Existing"/>
    <x v="0"/>
    <s v="Sale"/>
  </r>
  <r>
    <s v="ORD-10080"/>
    <x v="24"/>
    <x v="0"/>
    <x v="0"/>
    <s v="Laptops &amp; Computers"/>
    <x v="9"/>
    <x v="15"/>
    <n v="600"/>
    <n v="1"/>
    <s v="CUST-1651"/>
    <s v="New"/>
    <x v="1"/>
    <s v="Sale"/>
  </r>
  <r>
    <s v="ORD-10081"/>
    <x v="24"/>
    <x v="1"/>
    <x v="2"/>
    <s v="Smart Home &amp; IoT"/>
    <x v="1"/>
    <x v="1"/>
    <n v="140"/>
    <n v="2"/>
    <s v="CUST-2088"/>
    <s v="Existing"/>
    <x v="0"/>
    <s v="Sale"/>
  </r>
  <r>
    <s v="ORD-10082"/>
    <x v="24"/>
    <x v="5"/>
    <x v="0"/>
    <s v="Networking &amp; Security"/>
    <x v="7"/>
    <x v="30"/>
    <n v="880"/>
    <n v="4"/>
    <s v="CUST-2818"/>
    <s v="New"/>
    <x v="1"/>
    <s v="Sale"/>
  </r>
  <r>
    <s v="ORD-10083"/>
    <x v="25"/>
    <x v="1"/>
    <x v="0"/>
    <s v="Laptops &amp; Computers"/>
    <x v="6"/>
    <x v="5"/>
    <n v="1700"/>
    <n v="2"/>
    <s v="CUST-2386"/>
    <s v="New"/>
    <x v="1"/>
    <s v="Sale"/>
  </r>
  <r>
    <s v="ORD-10084"/>
    <x v="25"/>
    <x v="1"/>
    <x v="2"/>
    <s v="Networking &amp; Security"/>
    <x v="5"/>
    <x v="4"/>
    <n v="90"/>
    <n v="1"/>
    <s v="CUST-2841"/>
    <s v="Existing"/>
    <x v="0"/>
    <s v="Sale"/>
  </r>
  <r>
    <s v="ORD-10085"/>
    <x v="26"/>
    <x v="4"/>
    <x v="0"/>
    <s v="Laptops &amp; Computers"/>
    <x v="6"/>
    <x v="10"/>
    <n v="850"/>
    <n v="1"/>
    <s v="CUST-2740"/>
    <s v="New"/>
    <x v="1"/>
    <s v="Sale"/>
  </r>
  <r>
    <s v="ORD-10086"/>
    <x v="26"/>
    <x v="3"/>
    <x v="2"/>
    <s v="Smart Home &amp; IoT"/>
    <x v="4"/>
    <x v="2"/>
    <n v="55"/>
    <n v="1"/>
    <s v="CUST-2040"/>
    <s v="New"/>
    <x v="1"/>
    <s v="Sale"/>
  </r>
  <r>
    <s v="ORD-10087"/>
    <x v="26"/>
    <x v="5"/>
    <x v="1"/>
    <s v="Accessories &amp; Power"/>
    <x v="3"/>
    <x v="13"/>
    <n v="65"/>
    <n v="1"/>
    <s v="CUST-2223"/>
    <s v="New"/>
    <x v="1"/>
    <s v="Sale"/>
  </r>
  <r>
    <s v="ORD-10088"/>
    <x v="26"/>
    <x v="5"/>
    <x v="0"/>
    <s v="Laptops &amp; Computers"/>
    <x v="0"/>
    <x v="19"/>
    <n v="900"/>
    <n v="2"/>
    <s v="CUST-1543"/>
    <s v="Existing"/>
    <x v="0"/>
    <s v="Sale"/>
  </r>
  <r>
    <s v="ORD-10089"/>
    <x v="27"/>
    <x v="5"/>
    <x v="2"/>
    <s v="Accessories &amp; Power"/>
    <x v="3"/>
    <x v="3"/>
    <n v="130"/>
    <n v="2"/>
    <s v="CUST-2235"/>
    <s v="Existing"/>
    <x v="0"/>
    <s v="Sale"/>
  </r>
  <r>
    <s v="ORD-10090"/>
    <x v="27"/>
    <x v="0"/>
    <x v="0"/>
    <s v="Laptops &amp; Computers"/>
    <x v="9"/>
    <x v="9"/>
    <n v="1200"/>
    <n v="2"/>
    <s v="CUST-1434"/>
    <s v="New"/>
    <x v="1"/>
    <s v="Sale"/>
  </r>
  <r>
    <s v="ORD-10091"/>
    <x v="27"/>
    <x v="1"/>
    <x v="0"/>
    <s v="Networking &amp; Security"/>
    <x v="7"/>
    <x v="6"/>
    <n v="220"/>
    <n v="1"/>
    <s v="CUST-2296"/>
    <s v="New"/>
    <x v="1"/>
    <s v="Sale"/>
  </r>
  <r>
    <s v="ORD-10092"/>
    <x v="27"/>
    <x v="0"/>
    <x v="0"/>
    <s v="Laptops &amp; Computers"/>
    <x v="9"/>
    <x v="15"/>
    <n v="600"/>
    <n v="1"/>
    <s v="CUST-1289"/>
    <s v="New"/>
    <x v="1"/>
    <s v="Sale"/>
  </r>
  <r>
    <s v="ORD-10093"/>
    <x v="27"/>
    <x v="1"/>
    <x v="1"/>
    <s v="Accessories &amp; Power"/>
    <x v="11"/>
    <x v="14"/>
    <n v="180"/>
    <n v="2"/>
    <s v="CUST-1802"/>
    <s v="New"/>
    <x v="1"/>
    <s v="Sale"/>
  </r>
  <r>
    <s v="ORD-10094"/>
    <x v="28"/>
    <x v="5"/>
    <x v="1"/>
    <s v="Accessories &amp; Power"/>
    <x v="2"/>
    <x v="31"/>
    <n v="20"/>
    <n v="1"/>
    <s v="CUST-1482"/>
    <s v="New"/>
    <x v="1"/>
    <s v="Sale"/>
  </r>
  <r>
    <s v="ORD-10095"/>
    <x v="28"/>
    <x v="0"/>
    <x v="1"/>
    <s v="Smart Home &amp; IoT"/>
    <x v="8"/>
    <x v="3"/>
    <n v="130"/>
    <n v="1"/>
    <s v="CUST-1233"/>
    <s v="New"/>
    <x v="1"/>
    <s v="Sale"/>
  </r>
  <r>
    <s v="ORD-10096"/>
    <x v="28"/>
    <x v="4"/>
    <x v="1"/>
    <s v="Accessories &amp; Power"/>
    <x v="2"/>
    <x v="2"/>
    <n v="40"/>
    <n v="2"/>
    <s v="CUST-1407"/>
    <s v="New"/>
    <x v="1"/>
    <s v="Sale"/>
  </r>
  <r>
    <s v="ORD-10097"/>
    <x v="28"/>
    <x v="4"/>
    <x v="0"/>
    <s v="Smart Home &amp; IoT"/>
    <x v="8"/>
    <x v="17"/>
    <n v="260"/>
    <n v="2"/>
    <s v="CUST-1693"/>
    <s v="New"/>
    <x v="1"/>
    <s v="Sale"/>
  </r>
  <r>
    <s v="ORD-10098"/>
    <x v="29"/>
    <x v="2"/>
    <x v="0"/>
    <s v="Accessories &amp; Power"/>
    <x v="2"/>
    <x v="31"/>
    <n v="20"/>
    <n v="1"/>
    <s v="CUST-2169"/>
    <s v="New"/>
    <x v="1"/>
    <s v="Sale"/>
  </r>
  <r>
    <s v="ORD-10099"/>
    <x v="29"/>
    <x v="5"/>
    <x v="2"/>
    <s v="Smart Home &amp; IoT"/>
    <x v="1"/>
    <x v="26"/>
    <n v="210"/>
    <n v="3"/>
    <s v="CUST-1561"/>
    <s v="New"/>
    <x v="1"/>
    <s v="Sale"/>
  </r>
  <r>
    <s v="ORD-10100"/>
    <x v="30"/>
    <x v="3"/>
    <x v="0"/>
    <s v="Accessories &amp; Power"/>
    <x v="2"/>
    <x v="31"/>
    <n v="20"/>
    <n v="1"/>
    <s v="CUST-1429"/>
    <s v="New"/>
    <x v="1"/>
    <s v="Sale"/>
  </r>
  <r>
    <s v="ORD-10101"/>
    <x v="30"/>
    <x v="0"/>
    <x v="0"/>
    <s v="Networking &amp; Security"/>
    <x v="7"/>
    <x v="32"/>
    <n v="1100"/>
    <n v="5"/>
    <s v="CUST-1431"/>
    <s v="New"/>
    <x v="1"/>
    <s v="Sale"/>
  </r>
  <r>
    <s v="ORD-10102"/>
    <x v="30"/>
    <x v="2"/>
    <x v="0"/>
    <s v="Laptops &amp; Computers"/>
    <x v="0"/>
    <x v="0"/>
    <n v="450"/>
    <n v="1"/>
    <s v="CUST-2638"/>
    <s v="New"/>
    <x v="1"/>
    <s v="Sale"/>
  </r>
  <r>
    <s v="ORD-10103"/>
    <x v="30"/>
    <x v="0"/>
    <x v="2"/>
    <s v="Networking &amp; Security"/>
    <x v="5"/>
    <x v="4"/>
    <n v="90"/>
    <n v="1"/>
    <s v="CUST-2568"/>
    <s v="Existing"/>
    <x v="0"/>
    <s v="Sale"/>
  </r>
  <r>
    <s v="ORD-10104"/>
    <x v="31"/>
    <x v="2"/>
    <x v="2"/>
    <s v="Laptops &amp; Computers"/>
    <x v="6"/>
    <x v="33"/>
    <n v="2550"/>
    <n v="3"/>
    <s v="CUST-1496"/>
    <s v="New"/>
    <x v="1"/>
    <s v="Sale"/>
  </r>
  <r>
    <s v="ORD-10105"/>
    <x v="31"/>
    <x v="0"/>
    <x v="0"/>
    <s v="Smart Home &amp; IoT"/>
    <x v="8"/>
    <x v="3"/>
    <n v="130"/>
    <n v="1"/>
    <s v="CUST-1982"/>
    <s v="New"/>
    <x v="1"/>
    <s v="Sale"/>
  </r>
  <r>
    <s v="ORD-10106"/>
    <x v="32"/>
    <x v="3"/>
    <x v="0"/>
    <s v="Networking &amp; Security"/>
    <x v="5"/>
    <x v="14"/>
    <n v="180"/>
    <n v="2"/>
    <s v="CUST-2112"/>
    <s v="New"/>
    <x v="1"/>
    <s v="Sale"/>
  </r>
  <r>
    <s v="ORD-10107"/>
    <x v="32"/>
    <x v="4"/>
    <x v="2"/>
    <s v="Smart Home &amp; IoT"/>
    <x v="4"/>
    <x v="11"/>
    <n v="110"/>
    <n v="2"/>
    <s v="CUST-1996"/>
    <s v="New"/>
    <x v="1"/>
    <s v="Sale"/>
  </r>
  <r>
    <s v="ORD-10108"/>
    <x v="32"/>
    <x v="0"/>
    <x v="2"/>
    <s v="Laptops &amp; Computers"/>
    <x v="6"/>
    <x v="33"/>
    <n v="2550"/>
    <n v="3"/>
    <s v="CUST-2434"/>
    <s v="New"/>
    <x v="1"/>
    <s v="Sale"/>
  </r>
  <r>
    <s v="ORD-10109"/>
    <x v="33"/>
    <x v="1"/>
    <x v="0"/>
    <s v="Laptops &amp; Computers"/>
    <x v="9"/>
    <x v="34"/>
    <n v="3000"/>
    <n v="5"/>
    <s v="CUST-1896"/>
    <s v="New"/>
    <x v="1"/>
    <s v="Sale"/>
  </r>
  <r>
    <s v="ORD-10110"/>
    <x v="34"/>
    <x v="4"/>
    <x v="2"/>
    <s v="Networking &amp; Security"/>
    <x v="7"/>
    <x v="6"/>
    <n v="220"/>
    <n v="1"/>
    <s v="CUST-2876"/>
    <s v="Existing"/>
    <x v="0"/>
    <s v="Sale"/>
  </r>
  <r>
    <s v="ORD-10111"/>
    <x v="34"/>
    <x v="1"/>
    <x v="0"/>
    <s v="Accessories &amp; Power"/>
    <x v="3"/>
    <x v="3"/>
    <n v="130"/>
    <n v="2"/>
    <s v="CUST-1826"/>
    <s v="Existing"/>
    <x v="0"/>
    <s v="Sale"/>
  </r>
  <r>
    <s v="ORD-10112"/>
    <x v="34"/>
    <x v="3"/>
    <x v="0"/>
    <s v="Networking &amp; Security"/>
    <x v="7"/>
    <x v="28"/>
    <n v="-220"/>
    <n v="-1"/>
    <s v="CUST-2264"/>
    <s v="New"/>
    <x v="1"/>
    <s v="Return"/>
  </r>
  <r>
    <s v="ORD-10113"/>
    <x v="34"/>
    <x v="5"/>
    <x v="2"/>
    <s v="Networking &amp; Security"/>
    <x v="10"/>
    <x v="11"/>
    <n v="110"/>
    <n v="1"/>
    <s v="CUST-1777"/>
    <s v="New"/>
    <x v="1"/>
    <s v="Sale"/>
  </r>
  <r>
    <s v="ORD-10114"/>
    <x v="34"/>
    <x v="1"/>
    <x v="2"/>
    <s v="Smart Home &amp; IoT"/>
    <x v="4"/>
    <x v="11"/>
    <n v="110"/>
    <n v="2"/>
    <s v="CUST-1222"/>
    <s v="New"/>
    <x v="1"/>
    <s v="Sale"/>
  </r>
  <r>
    <s v="ORD-10115"/>
    <x v="34"/>
    <x v="0"/>
    <x v="0"/>
    <s v="Smart Home &amp; IoT"/>
    <x v="8"/>
    <x v="3"/>
    <n v="130"/>
    <n v="1"/>
    <s v="CUST-2771"/>
    <s v="New"/>
    <x v="1"/>
    <s v="Sale"/>
  </r>
  <r>
    <s v="ORD-10116"/>
    <x v="34"/>
    <x v="0"/>
    <x v="2"/>
    <s v="Laptops &amp; Computers"/>
    <x v="9"/>
    <x v="15"/>
    <n v="600"/>
    <n v="1"/>
    <s v="CUST-2688"/>
    <s v="New"/>
    <x v="1"/>
    <s v="Sale"/>
  </r>
  <r>
    <s v="ORD-10117"/>
    <x v="35"/>
    <x v="2"/>
    <x v="2"/>
    <s v="Networking &amp; Security"/>
    <x v="5"/>
    <x v="29"/>
    <n v="-90"/>
    <n v="-1"/>
    <s v="CUST-1467"/>
    <s v="New"/>
    <x v="1"/>
    <s v="Return"/>
  </r>
  <r>
    <s v="ORD-10118"/>
    <x v="35"/>
    <x v="1"/>
    <x v="2"/>
    <s v="Laptops &amp; Computers"/>
    <x v="9"/>
    <x v="9"/>
    <n v="1200"/>
    <n v="2"/>
    <s v="CUST-1568"/>
    <s v="New"/>
    <x v="1"/>
    <s v="Sale"/>
  </r>
  <r>
    <s v="ORD-10119"/>
    <x v="36"/>
    <x v="5"/>
    <x v="2"/>
    <s v="Accessories &amp; Power"/>
    <x v="3"/>
    <x v="17"/>
    <n v="260"/>
    <n v="4"/>
    <s v="CUST-2345"/>
    <s v="Existing"/>
    <x v="0"/>
    <s v="Sale"/>
  </r>
  <r>
    <s v="ORD-10120"/>
    <x v="36"/>
    <x v="1"/>
    <x v="2"/>
    <s v="Laptops &amp; Computers"/>
    <x v="9"/>
    <x v="15"/>
    <n v="600"/>
    <n v="1"/>
    <s v="CUST-1374"/>
    <s v="Existing"/>
    <x v="0"/>
    <s v="Sale"/>
  </r>
  <r>
    <s v="ORD-10121"/>
    <x v="37"/>
    <x v="5"/>
    <x v="0"/>
    <s v="Networking &amp; Security"/>
    <x v="10"/>
    <x v="11"/>
    <n v="110"/>
    <n v="1"/>
    <s v="CUST-2135"/>
    <s v="New"/>
    <x v="1"/>
    <s v="Sale"/>
  </r>
  <r>
    <s v="ORD-10122"/>
    <x v="37"/>
    <x v="3"/>
    <x v="0"/>
    <s v="Laptops &amp; Computers"/>
    <x v="6"/>
    <x v="33"/>
    <n v="2550"/>
    <n v="3"/>
    <s v="CUST-1526"/>
    <s v="New"/>
    <x v="1"/>
    <s v="Sale"/>
  </r>
  <r>
    <s v="ORD-10123"/>
    <x v="38"/>
    <x v="4"/>
    <x v="0"/>
    <s v="Laptops &amp; Computers"/>
    <x v="0"/>
    <x v="0"/>
    <n v="450"/>
    <n v="1"/>
    <s v="CUST-1411"/>
    <s v="New"/>
    <x v="1"/>
    <s v="Sale"/>
  </r>
  <r>
    <s v="ORD-10124"/>
    <x v="38"/>
    <x v="1"/>
    <x v="0"/>
    <s v="Accessories &amp; Power"/>
    <x v="3"/>
    <x v="13"/>
    <n v="65"/>
    <n v="1"/>
    <s v="CUST-1268"/>
    <s v="New"/>
    <x v="1"/>
    <s v="Sale"/>
  </r>
  <r>
    <s v="ORD-10125"/>
    <x v="38"/>
    <x v="3"/>
    <x v="2"/>
    <s v="Laptops &amp; Computers"/>
    <x v="9"/>
    <x v="15"/>
    <n v="600"/>
    <n v="1"/>
    <s v="CUST-1625"/>
    <s v="New"/>
    <x v="1"/>
    <s v="Sale"/>
  </r>
  <r>
    <s v="ORD-10126"/>
    <x v="39"/>
    <x v="2"/>
    <x v="2"/>
    <s v="Laptops &amp; Computers"/>
    <x v="0"/>
    <x v="0"/>
    <n v="450"/>
    <n v="1"/>
    <s v="CUST-2275"/>
    <s v="Existing"/>
    <x v="0"/>
    <s v="Sale"/>
  </r>
  <r>
    <s v="ORD-10127"/>
    <x v="39"/>
    <x v="5"/>
    <x v="0"/>
    <s v="Networking &amp; Security"/>
    <x v="7"/>
    <x v="6"/>
    <n v="220"/>
    <n v="1"/>
    <s v="CUST-2011"/>
    <s v="Existing"/>
    <x v="0"/>
    <s v="Sale"/>
  </r>
  <r>
    <s v="ORD-10128"/>
    <x v="39"/>
    <x v="4"/>
    <x v="0"/>
    <s v="Laptops &amp; Computers"/>
    <x v="6"/>
    <x v="5"/>
    <n v="1700"/>
    <n v="2"/>
    <s v="CUST-2397"/>
    <s v="New"/>
    <x v="1"/>
    <s v="Sale"/>
  </r>
  <r>
    <s v="ORD-10129"/>
    <x v="40"/>
    <x v="0"/>
    <x v="0"/>
    <s v="Laptops &amp; Computers"/>
    <x v="6"/>
    <x v="10"/>
    <n v="850"/>
    <n v="1"/>
    <s v="CUST-2677"/>
    <s v="New"/>
    <x v="1"/>
    <s v="Sale"/>
  </r>
  <r>
    <s v="ORD-10130"/>
    <x v="40"/>
    <x v="0"/>
    <x v="0"/>
    <s v="Accessories &amp; Power"/>
    <x v="3"/>
    <x v="16"/>
    <n v="195"/>
    <n v="3"/>
    <s v="CUST-2649"/>
    <s v="Existing"/>
    <x v="0"/>
    <s v="Sale"/>
  </r>
  <r>
    <s v="ORD-10131"/>
    <x v="40"/>
    <x v="3"/>
    <x v="2"/>
    <s v="Accessories &amp; Power"/>
    <x v="3"/>
    <x v="3"/>
    <n v="130"/>
    <n v="2"/>
    <s v="CUST-1449"/>
    <s v="New"/>
    <x v="1"/>
    <s v="Sale"/>
  </r>
  <r>
    <s v="ORD-10132"/>
    <x v="40"/>
    <x v="1"/>
    <x v="0"/>
    <s v="Accessories &amp; Power"/>
    <x v="3"/>
    <x v="3"/>
    <n v="130"/>
    <n v="2"/>
    <s v="CUST-1801"/>
    <s v="New"/>
    <x v="1"/>
    <s v="Sale"/>
  </r>
  <r>
    <s v="ORD-10133"/>
    <x v="40"/>
    <x v="3"/>
    <x v="2"/>
    <s v="Accessories &amp; Power"/>
    <x v="2"/>
    <x v="31"/>
    <n v="20"/>
    <n v="1"/>
    <s v="CUST-2892"/>
    <s v="New"/>
    <x v="1"/>
    <s v="Sale"/>
  </r>
  <r>
    <s v="ORD-10134"/>
    <x v="40"/>
    <x v="3"/>
    <x v="1"/>
    <s v="Smart Home &amp; IoT"/>
    <x v="4"/>
    <x v="2"/>
    <n v="55"/>
    <n v="1"/>
    <s v="CUST-2560"/>
    <s v="New"/>
    <x v="1"/>
    <s v="Sale"/>
  </r>
  <r>
    <s v="ORD-10135"/>
    <x v="41"/>
    <x v="0"/>
    <x v="0"/>
    <s v="Laptops &amp; Computers"/>
    <x v="9"/>
    <x v="15"/>
    <n v="600"/>
    <n v="1"/>
    <s v="CUST-2391"/>
    <s v="Existing"/>
    <x v="0"/>
    <s v="Sale"/>
  </r>
  <r>
    <s v="ORD-10136"/>
    <x v="42"/>
    <x v="3"/>
    <x v="0"/>
    <s v="Accessories &amp; Power"/>
    <x v="2"/>
    <x v="35"/>
    <n v="60"/>
    <n v="3"/>
    <s v="CUST-1821"/>
    <s v="New"/>
    <x v="1"/>
    <s v="Sale"/>
  </r>
  <r>
    <s v="ORD-10137"/>
    <x v="42"/>
    <x v="1"/>
    <x v="0"/>
    <s v="Accessories &amp; Power"/>
    <x v="11"/>
    <x v="4"/>
    <n v="90"/>
    <n v="1"/>
    <s v="CUST-1254"/>
    <s v="Existing"/>
    <x v="0"/>
    <s v="Sale"/>
  </r>
  <r>
    <s v="ORD-10138"/>
    <x v="43"/>
    <x v="5"/>
    <x v="2"/>
    <s v="Accessories &amp; Power"/>
    <x v="3"/>
    <x v="36"/>
    <n v="-65"/>
    <n v="-1"/>
    <s v="CUST-2486"/>
    <s v="New"/>
    <x v="1"/>
    <s v="Return"/>
  </r>
  <r>
    <s v="ORD-10139"/>
    <x v="43"/>
    <x v="5"/>
    <x v="2"/>
    <s v="Networking &amp; Security"/>
    <x v="7"/>
    <x v="6"/>
    <n v="220"/>
    <n v="1"/>
    <s v="CUST-2291"/>
    <s v="Existing"/>
    <x v="0"/>
    <s v="Sale"/>
  </r>
  <r>
    <s v="ORD-10140"/>
    <x v="43"/>
    <x v="4"/>
    <x v="0"/>
    <s v="Laptops &amp; Computers"/>
    <x v="0"/>
    <x v="0"/>
    <n v="450"/>
    <n v="1"/>
    <s v="CUST-1125"/>
    <s v="New"/>
    <x v="1"/>
    <s v="Sale"/>
  </r>
  <r>
    <s v="ORD-10141"/>
    <x v="43"/>
    <x v="0"/>
    <x v="2"/>
    <s v="Accessories &amp; Power"/>
    <x v="2"/>
    <x v="31"/>
    <n v="20"/>
    <n v="1"/>
    <s v="CUST-2416"/>
    <s v="New"/>
    <x v="1"/>
    <s v="Sale"/>
  </r>
  <r>
    <s v="ORD-10142"/>
    <x v="44"/>
    <x v="1"/>
    <x v="1"/>
    <s v="Smart Home &amp; IoT"/>
    <x v="1"/>
    <x v="27"/>
    <n v="70"/>
    <n v="1"/>
    <s v="CUST-1761"/>
    <s v="New"/>
    <x v="1"/>
    <s v="Sale"/>
  </r>
  <r>
    <s v="ORD-10143"/>
    <x v="45"/>
    <x v="2"/>
    <x v="0"/>
    <s v="Accessories &amp; Power"/>
    <x v="11"/>
    <x v="4"/>
    <n v="90"/>
    <n v="1"/>
    <s v="CUST-1798"/>
    <s v="New"/>
    <x v="1"/>
    <s v="Sale"/>
  </r>
  <r>
    <s v="ORD-10144"/>
    <x v="45"/>
    <x v="2"/>
    <x v="0"/>
    <s v="Laptops &amp; Computers"/>
    <x v="0"/>
    <x v="0"/>
    <n v="450"/>
    <n v="1"/>
    <s v="CUST-2357"/>
    <s v="New"/>
    <x v="1"/>
    <s v="Sale"/>
  </r>
  <r>
    <s v="ORD-10145"/>
    <x v="46"/>
    <x v="2"/>
    <x v="1"/>
    <s v="Laptops &amp; Computers"/>
    <x v="9"/>
    <x v="15"/>
    <n v="600"/>
    <n v="1"/>
    <s v="CUST-1564"/>
    <s v="New"/>
    <x v="1"/>
    <s v="Sale"/>
  </r>
  <r>
    <s v="ORD-10146"/>
    <x v="47"/>
    <x v="0"/>
    <x v="2"/>
    <s v="Laptops &amp; Computers"/>
    <x v="6"/>
    <x v="5"/>
    <n v="1700"/>
    <n v="2"/>
    <s v="CUST-2391"/>
    <s v="Existing"/>
    <x v="0"/>
    <s v="Sale"/>
  </r>
  <r>
    <s v="ORD-10147"/>
    <x v="47"/>
    <x v="0"/>
    <x v="1"/>
    <s v="Accessories &amp; Power"/>
    <x v="3"/>
    <x v="13"/>
    <n v="65"/>
    <n v="1"/>
    <s v="CUST-2578"/>
    <s v="New"/>
    <x v="1"/>
    <s v="Sale"/>
  </r>
  <r>
    <s v="ORD-10148"/>
    <x v="47"/>
    <x v="1"/>
    <x v="2"/>
    <s v="Laptops &amp; Computers"/>
    <x v="9"/>
    <x v="15"/>
    <n v="600"/>
    <n v="1"/>
    <s v="CUST-2701"/>
    <s v="New"/>
    <x v="1"/>
    <s v="Sale"/>
  </r>
  <r>
    <s v="ORD-10149"/>
    <x v="47"/>
    <x v="3"/>
    <x v="1"/>
    <s v="Laptops &amp; Computers"/>
    <x v="0"/>
    <x v="0"/>
    <n v="450"/>
    <n v="1"/>
    <s v="CUST-2577"/>
    <s v="New"/>
    <x v="1"/>
    <s v="Sale"/>
  </r>
  <r>
    <s v="ORD-10150"/>
    <x v="48"/>
    <x v="0"/>
    <x v="0"/>
    <s v="Accessories &amp; Power"/>
    <x v="11"/>
    <x v="4"/>
    <n v="90"/>
    <n v="1"/>
    <s v="CUST-2915"/>
    <s v="Existing"/>
    <x v="0"/>
    <s v="Sale"/>
  </r>
  <r>
    <s v="ORD-10151"/>
    <x v="48"/>
    <x v="0"/>
    <x v="2"/>
    <s v="Laptops &amp; Computers"/>
    <x v="9"/>
    <x v="37"/>
    <n v="1800"/>
    <n v="3"/>
    <s v="CUST-1455"/>
    <s v="Existing"/>
    <x v="0"/>
    <s v="Sale"/>
  </r>
  <r>
    <s v="ORD-10152"/>
    <x v="49"/>
    <x v="4"/>
    <x v="1"/>
    <s v="Accessories &amp; Power"/>
    <x v="11"/>
    <x v="4"/>
    <n v="90"/>
    <n v="1"/>
    <s v="CUST-2711"/>
    <s v="Existing"/>
    <x v="0"/>
    <s v="Sale"/>
  </r>
  <r>
    <s v="ORD-10153"/>
    <x v="49"/>
    <x v="0"/>
    <x v="2"/>
    <s v="Networking &amp; Security"/>
    <x v="5"/>
    <x v="14"/>
    <n v="180"/>
    <n v="2"/>
    <s v="CUST-2090"/>
    <s v="New"/>
    <x v="1"/>
    <s v="Sale"/>
  </r>
  <r>
    <s v="ORD-10154"/>
    <x v="50"/>
    <x v="4"/>
    <x v="0"/>
    <s v="Accessories &amp; Power"/>
    <x v="11"/>
    <x v="12"/>
    <n v="270"/>
    <n v="3"/>
    <s v="CUST-2089"/>
    <s v="Existing"/>
    <x v="0"/>
    <s v="Sale"/>
  </r>
  <r>
    <s v="ORD-10155"/>
    <x v="50"/>
    <x v="2"/>
    <x v="0"/>
    <s v="Smart Home &amp; IoT"/>
    <x v="4"/>
    <x v="11"/>
    <n v="110"/>
    <n v="2"/>
    <s v="CUST-1911"/>
    <s v="New"/>
    <x v="1"/>
    <s v="Sale"/>
  </r>
  <r>
    <s v="ORD-10156"/>
    <x v="50"/>
    <x v="3"/>
    <x v="0"/>
    <s v="Accessories &amp; Power"/>
    <x v="11"/>
    <x v="4"/>
    <n v="90"/>
    <n v="1"/>
    <s v="CUST-2618"/>
    <s v="New"/>
    <x v="1"/>
    <s v="Sale"/>
  </r>
  <r>
    <s v="ORD-10157"/>
    <x v="51"/>
    <x v="0"/>
    <x v="0"/>
    <s v="Accessories &amp; Power"/>
    <x v="3"/>
    <x v="13"/>
    <n v="65"/>
    <n v="1"/>
    <s v="CUST-1861"/>
    <s v="New"/>
    <x v="1"/>
    <s v="Sale"/>
  </r>
  <r>
    <s v="ORD-10158"/>
    <x v="51"/>
    <x v="0"/>
    <x v="0"/>
    <s v="Laptops &amp; Computers"/>
    <x v="9"/>
    <x v="9"/>
    <n v="1200"/>
    <n v="2"/>
    <s v="CUST-1616"/>
    <s v="Existing"/>
    <x v="0"/>
    <s v="Sale"/>
  </r>
  <r>
    <s v="ORD-10159"/>
    <x v="51"/>
    <x v="2"/>
    <x v="2"/>
    <s v="Laptops &amp; Computers"/>
    <x v="9"/>
    <x v="15"/>
    <n v="600"/>
    <n v="1"/>
    <s v="CUST-1399"/>
    <s v="Existing"/>
    <x v="0"/>
    <s v="Sale"/>
  </r>
  <r>
    <s v="ORD-10160"/>
    <x v="51"/>
    <x v="3"/>
    <x v="2"/>
    <s v="Laptops &amp; Computers"/>
    <x v="0"/>
    <x v="19"/>
    <n v="900"/>
    <n v="2"/>
    <s v="CUST-1286"/>
    <s v="Existing"/>
    <x v="0"/>
    <s v="Sale"/>
  </r>
  <r>
    <s v="ORD-10161"/>
    <x v="52"/>
    <x v="2"/>
    <x v="0"/>
    <s v="Smart Home &amp; IoT"/>
    <x v="1"/>
    <x v="1"/>
    <n v="140"/>
    <n v="2"/>
    <s v="CUST-2909"/>
    <s v="New"/>
    <x v="1"/>
    <s v="Sale"/>
  </r>
  <r>
    <s v="ORD-10162"/>
    <x v="53"/>
    <x v="0"/>
    <x v="2"/>
    <s v="Accessories &amp; Power"/>
    <x v="11"/>
    <x v="14"/>
    <n v="180"/>
    <n v="2"/>
    <s v="CUST-1185"/>
    <s v="Existing"/>
    <x v="0"/>
    <s v="Sale"/>
  </r>
  <r>
    <s v="ORD-10163"/>
    <x v="54"/>
    <x v="2"/>
    <x v="0"/>
    <s v="Networking &amp; Security"/>
    <x v="7"/>
    <x v="6"/>
    <n v="220"/>
    <n v="1"/>
    <s v="CUST-1283"/>
    <s v="New"/>
    <x v="1"/>
    <s v="Sale"/>
  </r>
  <r>
    <s v="ORD-10164"/>
    <x v="54"/>
    <x v="2"/>
    <x v="0"/>
    <s v="Smart Home &amp; IoT"/>
    <x v="8"/>
    <x v="17"/>
    <n v="260"/>
    <n v="2"/>
    <s v="CUST-2539"/>
    <s v="Existing"/>
    <x v="0"/>
    <s v="Sale"/>
  </r>
  <r>
    <s v="ORD-10165"/>
    <x v="54"/>
    <x v="2"/>
    <x v="0"/>
    <s v="Laptops &amp; Computers"/>
    <x v="9"/>
    <x v="9"/>
    <n v="1200"/>
    <n v="2"/>
    <s v="CUST-1649"/>
    <s v="New"/>
    <x v="1"/>
    <s v="Sale"/>
  </r>
  <r>
    <s v="ORD-10166"/>
    <x v="55"/>
    <x v="2"/>
    <x v="2"/>
    <s v="Accessories &amp; Power"/>
    <x v="2"/>
    <x v="2"/>
    <n v="40"/>
    <n v="2"/>
    <s v="CUST-1690"/>
    <s v="Existing"/>
    <x v="0"/>
    <s v="Sale"/>
  </r>
  <r>
    <s v="ORD-10167"/>
    <x v="55"/>
    <x v="3"/>
    <x v="0"/>
    <s v="Accessories &amp; Power"/>
    <x v="3"/>
    <x v="13"/>
    <n v="65"/>
    <n v="1"/>
    <s v="CUST-1236"/>
    <s v="New"/>
    <x v="1"/>
    <s v="Sale"/>
  </r>
  <r>
    <s v="ORD-10168"/>
    <x v="55"/>
    <x v="5"/>
    <x v="0"/>
    <s v="Laptops &amp; Computers"/>
    <x v="9"/>
    <x v="15"/>
    <n v="600"/>
    <n v="1"/>
    <s v="CUST-2041"/>
    <s v="New"/>
    <x v="1"/>
    <s v="Sale"/>
  </r>
  <r>
    <s v="ORD-10169"/>
    <x v="56"/>
    <x v="0"/>
    <x v="0"/>
    <s v="Networking &amp; Security"/>
    <x v="10"/>
    <x v="8"/>
    <n v="-110"/>
    <n v="-1"/>
    <s v="CUST-1814"/>
    <s v="New"/>
    <x v="1"/>
    <s v="Return"/>
  </r>
  <r>
    <s v="ORD-10170"/>
    <x v="57"/>
    <x v="1"/>
    <x v="1"/>
    <s v="Laptops &amp; Computers"/>
    <x v="9"/>
    <x v="15"/>
    <n v="600"/>
    <n v="1"/>
    <s v="CUST-1927"/>
    <s v="Existing"/>
    <x v="0"/>
    <s v="Sale"/>
  </r>
  <r>
    <s v="ORD-10171"/>
    <x v="57"/>
    <x v="0"/>
    <x v="0"/>
    <s v="Smart Home &amp; IoT"/>
    <x v="8"/>
    <x v="3"/>
    <n v="130"/>
    <n v="1"/>
    <s v="CUST-1413"/>
    <s v="Existing"/>
    <x v="0"/>
    <s v="Sale"/>
  </r>
  <r>
    <s v="ORD-10172"/>
    <x v="57"/>
    <x v="1"/>
    <x v="2"/>
    <s v="Networking &amp; Security"/>
    <x v="5"/>
    <x v="12"/>
    <n v="270"/>
    <n v="3"/>
    <s v="CUST-2955"/>
    <s v="Existing"/>
    <x v="0"/>
    <s v="Sale"/>
  </r>
  <r>
    <s v="ORD-10173"/>
    <x v="57"/>
    <x v="1"/>
    <x v="2"/>
    <s v="Laptops &amp; Computers"/>
    <x v="9"/>
    <x v="15"/>
    <n v="600"/>
    <n v="1"/>
    <s v="CUST-1008"/>
    <s v="Existing"/>
    <x v="0"/>
    <s v="Sale"/>
  </r>
  <r>
    <s v="ORD-10174"/>
    <x v="57"/>
    <x v="0"/>
    <x v="2"/>
    <s v="Networking &amp; Security"/>
    <x v="7"/>
    <x v="21"/>
    <n v="440"/>
    <n v="2"/>
    <s v="CUST-1419"/>
    <s v="New"/>
    <x v="1"/>
    <s v="Sale"/>
  </r>
  <r>
    <s v="ORD-10175"/>
    <x v="58"/>
    <x v="1"/>
    <x v="1"/>
    <s v="Networking &amp; Security"/>
    <x v="5"/>
    <x v="4"/>
    <n v="90"/>
    <n v="1"/>
    <s v="CUST-1028"/>
    <s v="New"/>
    <x v="1"/>
    <s v="Sale"/>
  </r>
  <r>
    <s v="ORD-10176"/>
    <x v="58"/>
    <x v="0"/>
    <x v="0"/>
    <s v="Networking &amp; Security"/>
    <x v="5"/>
    <x v="4"/>
    <n v="90"/>
    <n v="1"/>
    <s v="CUST-2679"/>
    <s v="New"/>
    <x v="1"/>
    <s v="Sale"/>
  </r>
  <r>
    <s v="ORD-10177"/>
    <x v="58"/>
    <x v="3"/>
    <x v="0"/>
    <s v="Smart Home &amp; IoT"/>
    <x v="4"/>
    <x v="2"/>
    <n v="55"/>
    <n v="1"/>
    <s v="CUST-1347"/>
    <s v="New"/>
    <x v="1"/>
    <s v="Sale"/>
  </r>
  <r>
    <s v="ORD-10178"/>
    <x v="59"/>
    <x v="4"/>
    <x v="1"/>
    <s v="Laptops &amp; Computers"/>
    <x v="6"/>
    <x v="10"/>
    <n v="850"/>
    <n v="1"/>
    <s v="CUST-1660"/>
    <s v="New"/>
    <x v="1"/>
    <s v="Sale"/>
  </r>
  <r>
    <s v="ORD-10179"/>
    <x v="60"/>
    <x v="0"/>
    <x v="0"/>
    <s v="Accessories &amp; Power"/>
    <x v="2"/>
    <x v="35"/>
    <n v="60"/>
    <n v="3"/>
    <s v="CUST-1575"/>
    <s v="New"/>
    <x v="1"/>
    <s v="Sale"/>
  </r>
  <r>
    <s v="ORD-10180"/>
    <x v="60"/>
    <x v="4"/>
    <x v="2"/>
    <s v="Smart Home &amp; IoT"/>
    <x v="1"/>
    <x v="27"/>
    <n v="70"/>
    <n v="1"/>
    <s v="CUST-2902"/>
    <s v="New"/>
    <x v="1"/>
    <s v="Sale"/>
  </r>
  <r>
    <s v="ORD-10181"/>
    <x v="60"/>
    <x v="5"/>
    <x v="2"/>
    <s v="Networking &amp; Security"/>
    <x v="10"/>
    <x v="26"/>
    <n v="220"/>
    <n v="2"/>
    <s v="CUST-1449"/>
    <s v="Existing"/>
    <x v="0"/>
    <s v="Sale"/>
  </r>
  <r>
    <s v="ORD-10182"/>
    <x v="60"/>
    <x v="0"/>
    <x v="2"/>
    <s v="Laptops &amp; Computers"/>
    <x v="9"/>
    <x v="15"/>
    <n v="600"/>
    <n v="1"/>
    <s v="CUST-1379"/>
    <s v="New"/>
    <x v="1"/>
    <s v="Sale"/>
  </r>
  <r>
    <s v="ORD-10183"/>
    <x v="61"/>
    <x v="0"/>
    <x v="1"/>
    <s v="Accessories &amp; Power"/>
    <x v="3"/>
    <x v="38"/>
    <n v="-195"/>
    <n v="-3"/>
    <s v="CUST-1698"/>
    <s v="New"/>
    <x v="1"/>
    <s v="Return"/>
  </r>
  <r>
    <s v="ORD-10184"/>
    <x v="61"/>
    <x v="5"/>
    <x v="1"/>
    <s v="Accessories &amp; Power"/>
    <x v="3"/>
    <x v="13"/>
    <n v="65"/>
    <n v="1"/>
    <s v="CUST-1365"/>
    <s v="New"/>
    <x v="1"/>
    <s v="Sale"/>
  </r>
  <r>
    <s v="ORD-10185"/>
    <x v="61"/>
    <x v="2"/>
    <x v="2"/>
    <s v="Laptops &amp; Computers"/>
    <x v="0"/>
    <x v="39"/>
    <n v="-450"/>
    <n v="-1"/>
    <s v="CUST-2250"/>
    <s v="New"/>
    <x v="1"/>
    <s v="Return"/>
  </r>
  <r>
    <s v="ORD-10186"/>
    <x v="62"/>
    <x v="2"/>
    <x v="0"/>
    <s v="Networking &amp; Security"/>
    <x v="7"/>
    <x v="6"/>
    <n v="220"/>
    <n v="1"/>
    <s v="CUST-2141"/>
    <s v="New"/>
    <x v="1"/>
    <s v="Sale"/>
  </r>
  <r>
    <s v="ORD-10187"/>
    <x v="63"/>
    <x v="0"/>
    <x v="1"/>
    <s v="Laptops &amp; Computers"/>
    <x v="9"/>
    <x v="15"/>
    <n v="600"/>
    <n v="1"/>
    <s v="CUST-1411"/>
    <s v="Existing"/>
    <x v="0"/>
    <s v="Sale"/>
  </r>
  <r>
    <s v="ORD-10188"/>
    <x v="63"/>
    <x v="0"/>
    <x v="0"/>
    <s v="Smart Home &amp; IoT"/>
    <x v="8"/>
    <x v="3"/>
    <n v="130"/>
    <n v="1"/>
    <s v="CUST-1950"/>
    <s v="New"/>
    <x v="1"/>
    <s v="Sale"/>
  </r>
  <r>
    <s v="ORD-10189"/>
    <x v="63"/>
    <x v="1"/>
    <x v="0"/>
    <s v="Laptops &amp; Computers"/>
    <x v="0"/>
    <x v="40"/>
    <n v="1350"/>
    <n v="3"/>
    <s v="CUST-1355"/>
    <s v="New"/>
    <x v="1"/>
    <s v="Sale"/>
  </r>
  <r>
    <s v="ORD-10190"/>
    <x v="63"/>
    <x v="0"/>
    <x v="1"/>
    <s v="Networking &amp; Security"/>
    <x v="7"/>
    <x v="21"/>
    <n v="440"/>
    <n v="2"/>
    <s v="CUST-1253"/>
    <s v="New"/>
    <x v="1"/>
    <s v="Sale"/>
  </r>
  <r>
    <s v="ORD-10191"/>
    <x v="63"/>
    <x v="0"/>
    <x v="0"/>
    <s v="Smart Home &amp; IoT"/>
    <x v="8"/>
    <x v="41"/>
    <n v="-260"/>
    <n v="-2"/>
    <s v="CUST-2566"/>
    <s v="New"/>
    <x v="1"/>
    <s v="Return"/>
  </r>
  <r>
    <s v="ORD-10192"/>
    <x v="64"/>
    <x v="0"/>
    <x v="0"/>
    <s v="Smart Home &amp; IoT"/>
    <x v="8"/>
    <x v="3"/>
    <n v="130"/>
    <n v="1"/>
    <s v="CUST-2696"/>
    <s v="New"/>
    <x v="1"/>
    <s v="Sale"/>
  </r>
  <r>
    <s v="ORD-10193"/>
    <x v="65"/>
    <x v="3"/>
    <x v="0"/>
    <s v="Networking &amp; Security"/>
    <x v="5"/>
    <x v="4"/>
    <n v="90"/>
    <n v="1"/>
    <s v="CUST-1726"/>
    <s v="Existing"/>
    <x v="0"/>
    <s v="Sale"/>
  </r>
  <r>
    <s v="ORD-10194"/>
    <x v="65"/>
    <x v="4"/>
    <x v="1"/>
    <s v="Networking &amp; Security"/>
    <x v="10"/>
    <x v="11"/>
    <n v="110"/>
    <n v="1"/>
    <s v="CUST-2467"/>
    <s v="New"/>
    <x v="1"/>
    <s v="Sale"/>
  </r>
  <r>
    <s v="ORD-10195"/>
    <x v="65"/>
    <x v="1"/>
    <x v="2"/>
    <s v="Smart Home &amp; IoT"/>
    <x v="4"/>
    <x v="12"/>
    <n v="275"/>
    <n v="5"/>
    <s v="CUST-1680"/>
    <s v="Existing"/>
    <x v="0"/>
    <s v="Sale"/>
  </r>
  <r>
    <s v="ORD-10196"/>
    <x v="66"/>
    <x v="4"/>
    <x v="2"/>
    <s v="Laptops &amp; Computers"/>
    <x v="6"/>
    <x v="5"/>
    <n v="1700"/>
    <n v="2"/>
    <s v="CUST-2104"/>
    <s v="Existing"/>
    <x v="0"/>
    <s v="Sale"/>
  </r>
  <r>
    <s v="ORD-10197"/>
    <x v="66"/>
    <x v="1"/>
    <x v="0"/>
    <s v="Laptops &amp; Computers"/>
    <x v="0"/>
    <x v="40"/>
    <n v="1350"/>
    <n v="3"/>
    <s v="CUST-2069"/>
    <s v="New"/>
    <x v="1"/>
    <s v="Sale"/>
  </r>
  <r>
    <s v="ORD-10198"/>
    <x v="66"/>
    <x v="1"/>
    <x v="2"/>
    <s v="Accessories &amp; Power"/>
    <x v="3"/>
    <x v="3"/>
    <n v="130"/>
    <n v="2"/>
    <s v="CUST-2072"/>
    <s v="New"/>
    <x v="1"/>
    <s v="Sale"/>
  </r>
  <r>
    <s v="ORD-10199"/>
    <x v="67"/>
    <x v="0"/>
    <x v="2"/>
    <s v="Laptops &amp; Computers"/>
    <x v="9"/>
    <x v="15"/>
    <n v="600"/>
    <n v="1"/>
    <s v="CUST-2472"/>
    <s v="New"/>
    <x v="1"/>
    <s v="Sale"/>
  </r>
  <r>
    <s v="ORD-10200"/>
    <x v="67"/>
    <x v="5"/>
    <x v="0"/>
    <s v="Smart Home &amp; IoT"/>
    <x v="8"/>
    <x v="3"/>
    <n v="130"/>
    <n v="1"/>
    <s v="CUST-1809"/>
    <s v="New"/>
    <x v="1"/>
    <s v="Sale"/>
  </r>
  <r>
    <s v="ORD-10201"/>
    <x v="67"/>
    <x v="4"/>
    <x v="0"/>
    <s v="Accessories &amp; Power"/>
    <x v="11"/>
    <x v="4"/>
    <n v="90"/>
    <n v="1"/>
    <s v="CUST-2430"/>
    <s v="New"/>
    <x v="1"/>
    <s v="Sale"/>
  </r>
  <r>
    <s v="ORD-10202"/>
    <x v="68"/>
    <x v="5"/>
    <x v="0"/>
    <s v="Laptops &amp; Computers"/>
    <x v="9"/>
    <x v="15"/>
    <n v="600"/>
    <n v="1"/>
    <s v="CUST-2903"/>
    <s v="New"/>
    <x v="1"/>
    <s v="Sale"/>
  </r>
  <r>
    <s v="ORD-10203"/>
    <x v="69"/>
    <x v="1"/>
    <x v="1"/>
    <s v="Networking &amp; Security"/>
    <x v="10"/>
    <x v="11"/>
    <n v="110"/>
    <n v="1"/>
    <s v="CUST-2306"/>
    <s v="New"/>
    <x v="1"/>
    <s v="Sale"/>
  </r>
  <r>
    <s v="ORD-10204"/>
    <x v="69"/>
    <x v="5"/>
    <x v="2"/>
    <s v="Smart Home &amp; IoT"/>
    <x v="4"/>
    <x v="2"/>
    <n v="55"/>
    <n v="1"/>
    <s v="CUST-1472"/>
    <s v="Existing"/>
    <x v="0"/>
    <s v="Sale"/>
  </r>
  <r>
    <s v="ORD-10205"/>
    <x v="69"/>
    <x v="0"/>
    <x v="1"/>
    <s v="Accessories &amp; Power"/>
    <x v="3"/>
    <x v="3"/>
    <n v="130"/>
    <n v="2"/>
    <s v="CUST-1415"/>
    <s v="Existing"/>
    <x v="0"/>
    <s v="Sale"/>
  </r>
  <r>
    <s v="ORD-10206"/>
    <x v="70"/>
    <x v="3"/>
    <x v="0"/>
    <s v="Accessories &amp; Power"/>
    <x v="11"/>
    <x v="12"/>
    <n v="270"/>
    <n v="3"/>
    <s v="CUST-1978"/>
    <s v="New"/>
    <x v="1"/>
    <s v="Sale"/>
  </r>
  <r>
    <s v="ORD-10207"/>
    <x v="70"/>
    <x v="5"/>
    <x v="2"/>
    <s v="Smart Home &amp; IoT"/>
    <x v="8"/>
    <x v="17"/>
    <n v="260"/>
    <n v="2"/>
    <s v="CUST-1599"/>
    <s v="Existing"/>
    <x v="0"/>
    <s v="Sale"/>
  </r>
  <r>
    <s v="ORD-10208"/>
    <x v="70"/>
    <x v="1"/>
    <x v="2"/>
    <s v="Laptops &amp; Computers"/>
    <x v="6"/>
    <x v="33"/>
    <n v="2550"/>
    <n v="3"/>
    <s v="CUST-2144"/>
    <s v="New"/>
    <x v="1"/>
    <s v="Sale"/>
  </r>
  <r>
    <s v="ORD-10209"/>
    <x v="70"/>
    <x v="5"/>
    <x v="2"/>
    <s v="Smart Home &amp; IoT"/>
    <x v="1"/>
    <x v="27"/>
    <n v="70"/>
    <n v="1"/>
    <s v="CUST-2026"/>
    <s v="New"/>
    <x v="1"/>
    <s v="Sale"/>
  </r>
  <r>
    <s v="ORD-10210"/>
    <x v="71"/>
    <x v="5"/>
    <x v="1"/>
    <s v="Networking &amp; Security"/>
    <x v="5"/>
    <x v="4"/>
    <n v="90"/>
    <n v="1"/>
    <s v="CUST-2339"/>
    <s v="New"/>
    <x v="1"/>
    <s v="Sale"/>
  </r>
  <r>
    <s v="ORD-10211"/>
    <x v="71"/>
    <x v="0"/>
    <x v="0"/>
    <s v="Networking &amp; Security"/>
    <x v="7"/>
    <x v="21"/>
    <n v="440"/>
    <n v="2"/>
    <s v="CUST-1459"/>
    <s v="Existing"/>
    <x v="0"/>
    <s v="Sale"/>
  </r>
  <r>
    <s v="ORD-10212"/>
    <x v="71"/>
    <x v="2"/>
    <x v="0"/>
    <s v="Laptops &amp; Computers"/>
    <x v="9"/>
    <x v="15"/>
    <n v="600"/>
    <n v="1"/>
    <s v="CUST-2250"/>
    <s v="New"/>
    <x v="1"/>
    <s v="Sale"/>
  </r>
  <r>
    <s v="ORD-10213"/>
    <x v="72"/>
    <x v="0"/>
    <x v="2"/>
    <s v="Laptops &amp; Computers"/>
    <x v="0"/>
    <x v="0"/>
    <n v="450"/>
    <n v="1"/>
    <s v="CUST-1078"/>
    <s v="New"/>
    <x v="1"/>
    <s v="Sale"/>
  </r>
  <r>
    <s v="ORD-10214"/>
    <x v="72"/>
    <x v="2"/>
    <x v="2"/>
    <s v="Accessories &amp; Power"/>
    <x v="3"/>
    <x v="13"/>
    <n v="65"/>
    <n v="1"/>
    <s v="CUST-2680"/>
    <s v="Existing"/>
    <x v="0"/>
    <s v="Sale"/>
  </r>
  <r>
    <s v="ORD-10215"/>
    <x v="72"/>
    <x v="3"/>
    <x v="2"/>
    <s v="Networking &amp; Security"/>
    <x v="10"/>
    <x v="11"/>
    <n v="110"/>
    <n v="1"/>
    <s v="CUST-2777"/>
    <s v="New"/>
    <x v="1"/>
    <s v="Sale"/>
  </r>
  <r>
    <s v="ORD-10216"/>
    <x v="73"/>
    <x v="3"/>
    <x v="0"/>
    <s v="Networking &amp; Security"/>
    <x v="10"/>
    <x v="11"/>
    <n v="110"/>
    <n v="1"/>
    <s v="CUST-2567"/>
    <s v="Existing"/>
    <x v="0"/>
    <s v="Sale"/>
  </r>
  <r>
    <s v="ORD-10217"/>
    <x v="73"/>
    <x v="5"/>
    <x v="2"/>
    <s v="Networking &amp; Security"/>
    <x v="7"/>
    <x v="6"/>
    <n v="220"/>
    <n v="1"/>
    <s v="CUST-1774"/>
    <s v="New"/>
    <x v="1"/>
    <s v="Sale"/>
  </r>
  <r>
    <s v="ORD-10218"/>
    <x v="73"/>
    <x v="5"/>
    <x v="0"/>
    <s v="Accessories &amp; Power"/>
    <x v="3"/>
    <x v="36"/>
    <n v="-65"/>
    <n v="-1"/>
    <s v="CUST-2746"/>
    <s v="New"/>
    <x v="1"/>
    <s v="Return"/>
  </r>
  <r>
    <s v="ORD-10219"/>
    <x v="73"/>
    <x v="0"/>
    <x v="0"/>
    <s v="Smart Home &amp; IoT"/>
    <x v="8"/>
    <x v="17"/>
    <n v="260"/>
    <n v="2"/>
    <s v="CUST-2094"/>
    <s v="New"/>
    <x v="1"/>
    <s v="Sale"/>
  </r>
  <r>
    <s v="ORD-10220"/>
    <x v="73"/>
    <x v="2"/>
    <x v="2"/>
    <s v="Laptops &amp; Computers"/>
    <x v="6"/>
    <x v="10"/>
    <n v="850"/>
    <n v="1"/>
    <s v="CUST-1895"/>
    <s v="New"/>
    <x v="1"/>
    <s v="Sale"/>
  </r>
  <r>
    <s v="ORD-10221"/>
    <x v="73"/>
    <x v="0"/>
    <x v="2"/>
    <s v="Laptops &amp; Computers"/>
    <x v="9"/>
    <x v="15"/>
    <n v="600"/>
    <n v="1"/>
    <s v="CUST-2220"/>
    <s v="New"/>
    <x v="1"/>
    <s v="Sale"/>
  </r>
  <r>
    <s v="ORD-10222"/>
    <x v="73"/>
    <x v="1"/>
    <x v="0"/>
    <s v="Laptops &amp; Computers"/>
    <x v="9"/>
    <x v="15"/>
    <n v="600"/>
    <n v="1"/>
    <s v="CUST-1057"/>
    <s v="New"/>
    <x v="1"/>
    <s v="Sale"/>
  </r>
  <r>
    <s v="ORD-10223"/>
    <x v="73"/>
    <x v="0"/>
    <x v="0"/>
    <s v="Accessories &amp; Power"/>
    <x v="3"/>
    <x v="13"/>
    <n v="65"/>
    <n v="1"/>
    <s v="CUST-2447"/>
    <s v="New"/>
    <x v="1"/>
    <s v="Sale"/>
  </r>
  <r>
    <s v="ORD-10224"/>
    <x v="74"/>
    <x v="0"/>
    <x v="0"/>
    <s v="Smart Home &amp; IoT"/>
    <x v="4"/>
    <x v="11"/>
    <n v="110"/>
    <n v="2"/>
    <s v="CUST-2492"/>
    <s v="New"/>
    <x v="1"/>
    <s v="Sale"/>
  </r>
  <r>
    <s v="ORD-10225"/>
    <x v="74"/>
    <x v="5"/>
    <x v="0"/>
    <s v="Networking &amp; Security"/>
    <x v="7"/>
    <x v="42"/>
    <n v="-440"/>
    <n v="-2"/>
    <s v="CUST-1623"/>
    <s v="New"/>
    <x v="1"/>
    <s v="Return"/>
  </r>
  <r>
    <s v="ORD-10226"/>
    <x v="75"/>
    <x v="0"/>
    <x v="2"/>
    <s v="Smart Home &amp; IoT"/>
    <x v="4"/>
    <x v="11"/>
    <n v="110"/>
    <n v="2"/>
    <s v="CUST-1047"/>
    <s v="New"/>
    <x v="1"/>
    <s v="Sale"/>
  </r>
  <r>
    <s v="ORD-10227"/>
    <x v="75"/>
    <x v="2"/>
    <x v="1"/>
    <s v="Networking &amp; Security"/>
    <x v="7"/>
    <x v="6"/>
    <n v="220"/>
    <n v="1"/>
    <s v="CUST-2458"/>
    <s v="New"/>
    <x v="1"/>
    <s v="Sale"/>
  </r>
  <r>
    <s v="ORD-10228"/>
    <x v="75"/>
    <x v="1"/>
    <x v="0"/>
    <s v="Accessories &amp; Power"/>
    <x v="3"/>
    <x v="36"/>
    <n v="-65"/>
    <n v="-1"/>
    <s v="CUST-2208"/>
    <s v="Existing"/>
    <x v="0"/>
    <s v="Return"/>
  </r>
  <r>
    <s v="ORD-10229"/>
    <x v="76"/>
    <x v="0"/>
    <x v="2"/>
    <s v="Networking &amp; Security"/>
    <x v="7"/>
    <x v="6"/>
    <n v="220"/>
    <n v="1"/>
    <s v="CUST-2902"/>
    <s v="Existing"/>
    <x v="0"/>
    <s v="Sale"/>
  </r>
  <r>
    <s v="ORD-10230"/>
    <x v="76"/>
    <x v="5"/>
    <x v="1"/>
    <s v="Laptops &amp; Computers"/>
    <x v="9"/>
    <x v="15"/>
    <n v="600"/>
    <n v="1"/>
    <s v="CUST-1838"/>
    <s v="New"/>
    <x v="1"/>
    <s v="Sale"/>
  </r>
  <r>
    <s v="ORD-10231"/>
    <x v="76"/>
    <x v="0"/>
    <x v="1"/>
    <s v="Laptops &amp; Computers"/>
    <x v="9"/>
    <x v="15"/>
    <n v="600"/>
    <n v="1"/>
    <s v="CUST-1164"/>
    <s v="New"/>
    <x v="1"/>
    <s v="Sale"/>
  </r>
  <r>
    <s v="ORD-10232"/>
    <x v="76"/>
    <x v="0"/>
    <x v="0"/>
    <s v="Networking &amp; Security"/>
    <x v="10"/>
    <x v="11"/>
    <n v="110"/>
    <n v="1"/>
    <s v="CUST-2750"/>
    <s v="Existing"/>
    <x v="0"/>
    <s v="Sale"/>
  </r>
  <r>
    <s v="ORD-10233"/>
    <x v="77"/>
    <x v="2"/>
    <x v="1"/>
    <s v="Accessories &amp; Power"/>
    <x v="3"/>
    <x v="13"/>
    <n v="65"/>
    <n v="1"/>
    <s v="CUST-2354"/>
    <s v="New"/>
    <x v="1"/>
    <s v="Sale"/>
  </r>
  <r>
    <s v="ORD-10234"/>
    <x v="78"/>
    <x v="0"/>
    <x v="0"/>
    <s v="Networking &amp; Security"/>
    <x v="7"/>
    <x v="21"/>
    <n v="440"/>
    <n v="2"/>
    <s v="CUST-1329"/>
    <s v="New"/>
    <x v="1"/>
    <s v="Sale"/>
  </r>
  <r>
    <s v="ORD-10235"/>
    <x v="78"/>
    <x v="3"/>
    <x v="0"/>
    <s v="Accessories &amp; Power"/>
    <x v="2"/>
    <x v="31"/>
    <n v="20"/>
    <n v="1"/>
    <s v="CUST-2144"/>
    <s v="New"/>
    <x v="1"/>
    <s v="Sale"/>
  </r>
  <r>
    <s v="ORD-10236"/>
    <x v="78"/>
    <x v="0"/>
    <x v="0"/>
    <s v="Accessories &amp; Power"/>
    <x v="11"/>
    <x v="14"/>
    <n v="180"/>
    <n v="2"/>
    <s v="CUST-1212"/>
    <s v="New"/>
    <x v="1"/>
    <s v="Sale"/>
  </r>
  <r>
    <s v="ORD-10237"/>
    <x v="78"/>
    <x v="0"/>
    <x v="0"/>
    <s v="Laptops &amp; Computers"/>
    <x v="0"/>
    <x v="0"/>
    <n v="450"/>
    <n v="1"/>
    <s v="CUST-2846"/>
    <s v="Existing"/>
    <x v="0"/>
    <s v="Sale"/>
  </r>
  <r>
    <s v="ORD-10238"/>
    <x v="78"/>
    <x v="2"/>
    <x v="0"/>
    <s v="Laptops &amp; Computers"/>
    <x v="9"/>
    <x v="15"/>
    <n v="600"/>
    <n v="1"/>
    <s v="CUST-1506"/>
    <s v="New"/>
    <x v="1"/>
    <s v="Sale"/>
  </r>
  <r>
    <s v="ORD-10239"/>
    <x v="78"/>
    <x v="1"/>
    <x v="0"/>
    <s v="Laptops &amp; Computers"/>
    <x v="9"/>
    <x v="43"/>
    <n v="2400"/>
    <n v="4"/>
    <s v="CUST-2576"/>
    <s v="Existing"/>
    <x v="0"/>
    <s v="Sale"/>
  </r>
  <r>
    <s v="ORD-10240"/>
    <x v="79"/>
    <x v="0"/>
    <x v="0"/>
    <s v="Smart Home &amp; IoT"/>
    <x v="1"/>
    <x v="44"/>
    <n v="280"/>
    <n v="4"/>
    <s v="CUST-2888"/>
    <s v="New"/>
    <x v="1"/>
    <s v="Sale"/>
  </r>
  <r>
    <s v="ORD-10241"/>
    <x v="79"/>
    <x v="1"/>
    <x v="1"/>
    <s v="Laptops &amp; Computers"/>
    <x v="0"/>
    <x v="0"/>
    <n v="450"/>
    <n v="1"/>
    <s v="CUST-1915"/>
    <s v="New"/>
    <x v="1"/>
    <s v="Sale"/>
  </r>
  <r>
    <s v="ORD-10242"/>
    <x v="80"/>
    <x v="0"/>
    <x v="1"/>
    <s v="Networking &amp; Security"/>
    <x v="5"/>
    <x v="4"/>
    <n v="90"/>
    <n v="1"/>
    <s v="CUST-1800"/>
    <s v="Existing"/>
    <x v="0"/>
    <s v="Sale"/>
  </r>
  <r>
    <s v="ORD-10243"/>
    <x v="80"/>
    <x v="3"/>
    <x v="0"/>
    <s v="Networking &amp; Security"/>
    <x v="5"/>
    <x v="4"/>
    <n v="90"/>
    <n v="1"/>
    <s v="CUST-1167"/>
    <s v="New"/>
    <x v="1"/>
    <s v="Sale"/>
  </r>
  <r>
    <s v="ORD-10244"/>
    <x v="80"/>
    <x v="1"/>
    <x v="1"/>
    <s v="Smart Home &amp; IoT"/>
    <x v="1"/>
    <x v="27"/>
    <n v="70"/>
    <n v="1"/>
    <s v="CUST-1994"/>
    <s v="New"/>
    <x v="1"/>
    <s v="Sale"/>
  </r>
  <r>
    <s v="ORD-10245"/>
    <x v="81"/>
    <x v="2"/>
    <x v="1"/>
    <s v="Laptops &amp; Computers"/>
    <x v="6"/>
    <x v="5"/>
    <n v="1700"/>
    <n v="2"/>
    <s v="CUST-2569"/>
    <s v="New"/>
    <x v="1"/>
    <s v="Sale"/>
  </r>
  <r>
    <s v="ORD-10246"/>
    <x v="81"/>
    <x v="3"/>
    <x v="2"/>
    <s v="Networking &amp; Security"/>
    <x v="10"/>
    <x v="45"/>
    <n v="440"/>
    <n v="4"/>
    <s v="CUST-1829"/>
    <s v="New"/>
    <x v="1"/>
    <s v="Sale"/>
  </r>
  <r>
    <s v="ORD-10247"/>
    <x v="81"/>
    <x v="1"/>
    <x v="0"/>
    <s v="Networking &amp; Security"/>
    <x v="5"/>
    <x v="14"/>
    <n v="180"/>
    <n v="2"/>
    <s v="CUST-1995"/>
    <s v="Existing"/>
    <x v="0"/>
    <s v="Sale"/>
  </r>
  <r>
    <s v="ORD-10248"/>
    <x v="82"/>
    <x v="4"/>
    <x v="2"/>
    <s v="Networking &amp; Security"/>
    <x v="7"/>
    <x v="6"/>
    <n v="220"/>
    <n v="1"/>
    <s v="CUST-1986"/>
    <s v="Existing"/>
    <x v="0"/>
    <s v="Sale"/>
  </r>
  <r>
    <s v="ORD-10249"/>
    <x v="82"/>
    <x v="1"/>
    <x v="1"/>
    <s v="Accessories &amp; Power"/>
    <x v="3"/>
    <x v="3"/>
    <n v="130"/>
    <n v="2"/>
    <s v="CUST-1786"/>
    <s v="Existing"/>
    <x v="0"/>
    <s v="Sale"/>
  </r>
  <r>
    <s v="ORD-10250"/>
    <x v="82"/>
    <x v="4"/>
    <x v="2"/>
    <s v="Laptops &amp; Computers"/>
    <x v="9"/>
    <x v="15"/>
    <n v="600"/>
    <n v="1"/>
    <s v="CUST-1426"/>
    <s v="New"/>
    <x v="1"/>
    <s v="Sale"/>
  </r>
  <r>
    <s v="ORD-10251"/>
    <x v="83"/>
    <x v="0"/>
    <x v="0"/>
    <s v="Accessories &amp; Power"/>
    <x v="11"/>
    <x v="12"/>
    <n v="270"/>
    <n v="3"/>
    <s v="CUST-2732"/>
    <s v="New"/>
    <x v="1"/>
    <s v="Sale"/>
  </r>
  <r>
    <s v="ORD-10252"/>
    <x v="83"/>
    <x v="2"/>
    <x v="2"/>
    <s v="Smart Home &amp; IoT"/>
    <x v="4"/>
    <x v="46"/>
    <n v="165"/>
    <n v="3"/>
    <s v="CUST-2726"/>
    <s v="New"/>
    <x v="1"/>
    <s v="Sale"/>
  </r>
  <r>
    <s v="ORD-10253"/>
    <x v="84"/>
    <x v="1"/>
    <x v="2"/>
    <s v="Smart Home &amp; IoT"/>
    <x v="1"/>
    <x v="27"/>
    <n v="70"/>
    <n v="1"/>
    <s v="CUST-2244"/>
    <s v="New"/>
    <x v="1"/>
    <s v="Sale"/>
  </r>
  <r>
    <s v="ORD-10254"/>
    <x v="84"/>
    <x v="1"/>
    <x v="2"/>
    <s v="Smart Home &amp; IoT"/>
    <x v="8"/>
    <x v="3"/>
    <n v="130"/>
    <n v="1"/>
    <s v="CUST-2015"/>
    <s v="Existing"/>
    <x v="0"/>
    <s v="Sale"/>
  </r>
  <r>
    <s v="ORD-10255"/>
    <x v="85"/>
    <x v="5"/>
    <x v="0"/>
    <s v="Networking &amp; Security"/>
    <x v="7"/>
    <x v="6"/>
    <n v="220"/>
    <n v="1"/>
    <s v="CUST-2033"/>
    <s v="New"/>
    <x v="1"/>
    <s v="Sale"/>
  </r>
  <r>
    <s v="ORD-10256"/>
    <x v="85"/>
    <x v="2"/>
    <x v="0"/>
    <s v="Laptops &amp; Computers"/>
    <x v="6"/>
    <x v="10"/>
    <n v="850"/>
    <n v="1"/>
    <s v="CUST-2143"/>
    <s v="New"/>
    <x v="1"/>
    <s v="Sale"/>
  </r>
  <r>
    <s v="ORD-10257"/>
    <x v="85"/>
    <x v="0"/>
    <x v="1"/>
    <s v="Smart Home &amp; IoT"/>
    <x v="1"/>
    <x v="1"/>
    <n v="140"/>
    <n v="2"/>
    <s v="CUST-2658"/>
    <s v="New"/>
    <x v="1"/>
    <s v="Sale"/>
  </r>
  <r>
    <s v="ORD-10258"/>
    <x v="85"/>
    <x v="0"/>
    <x v="1"/>
    <s v="Networking &amp; Security"/>
    <x v="10"/>
    <x v="11"/>
    <n v="110"/>
    <n v="1"/>
    <s v="CUST-2270"/>
    <s v="New"/>
    <x v="1"/>
    <s v="Sale"/>
  </r>
  <r>
    <s v="ORD-10259"/>
    <x v="86"/>
    <x v="2"/>
    <x v="0"/>
    <s v="Smart Home &amp; IoT"/>
    <x v="4"/>
    <x v="2"/>
    <n v="55"/>
    <n v="1"/>
    <s v="CUST-2383"/>
    <s v="New"/>
    <x v="1"/>
    <s v="Sale"/>
  </r>
  <r>
    <s v="ORD-10260"/>
    <x v="86"/>
    <x v="2"/>
    <x v="1"/>
    <s v="Networking &amp; Security"/>
    <x v="10"/>
    <x v="8"/>
    <n v="-110"/>
    <n v="-1"/>
    <s v="CUST-2932"/>
    <s v="New"/>
    <x v="1"/>
    <s v="Return"/>
  </r>
  <r>
    <s v="ORD-10261"/>
    <x v="86"/>
    <x v="4"/>
    <x v="0"/>
    <s v="Accessories &amp; Power"/>
    <x v="3"/>
    <x v="3"/>
    <n v="130"/>
    <n v="2"/>
    <s v="CUST-2244"/>
    <s v="New"/>
    <x v="1"/>
    <s v="Sale"/>
  </r>
  <r>
    <s v="ORD-10262"/>
    <x v="87"/>
    <x v="2"/>
    <x v="2"/>
    <s v="Smart Home &amp; IoT"/>
    <x v="4"/>
    <x v="24"/>
    <n v="-55"/>
    <n v="-1"/>
    <s v="CUST-1772"/>
    <s v="Existing"/>
    <x v="0"/>
    <s v="Return"/>
  </r>
  <r>
    <s v="ORD-10263"/>
    <x v="87"/>
    <x v="4"/>
    <x v="2"/>
    <s v="Laptops &amp; Computers"/>
    <x v="6"/>
    <x v="33"/>
    <n v="2550"/>
    <n v="3"/>
    <s v="CUST-2529"/>
    <s v="Existing"/>
    <x v="0"/>
    <s v="Sale"/>
  </r>
  <r>
    <s v="ORD-10264"/>
    <x v="87"/>
    <x v="2"/>
    <x v="1"/>
    <s v="Networking &amp; Security"/>
    <x v="7"/>
    <x v="18"/>
    <n v="660"/>
    <n v="3"/>
    <s v="CUST-2081"/>
    <s v="New"/>
    <x v="1"/>
    <s v="Sale"/>
  </r>
  <r>
    <s v="ORD-10265"/>
    <x v="87"/>
    <x v="0"/>
    <x v="1"/>
    <s v="Accessories &amp; Power"/>
    <x v="11"/>
    <x v="12"/>
    <n v="270"/>
    <n v="3"/>
    <s v="CUST-2850"/>
    <s v="New"/>
    <x v="1"/>
    <s v="Sale"/>
  </r>
  <r>
    <s v="ORD-10266"/>
    <x v="88"/>
    <x v="0"/>
    <x v="0"/>
    <s v="Accessories &amp; Power"/>
    <x v="11"/>
    <x v="4"/>
    <n v="90"/>
    <n v="1"/>
    <s v="CUST-2483"/>
    <s v="New"/>
    <x v="1"/>
    <s v="Sale"/>
  </r>
  <r>
    <s v="ORD-10267"/>
    <x v="88"/>
    <x v="2"/>
    <x v="1"/>
    <s v="Networking &amp; Security"/>
    <x v="5"/>
    <x v="4"/>
    <n v="90"/>
    <n v="1"/>
    <s v="CUST-2151"/>
    <s v="New"/>
    <x v="1"/>
    <s v="Sale"/>
  </r>
  <r>
    <s v="ORD-10268"/>
    <x v="88"/>
    <x v="5"/>
    <x v="0"/>
    <s v="Accessories &amp; Power"/>
    <x v="11"/>
    <x v="4"/>
    <n v="90"/>
    <n v="1"/>
    <s v="CUST-2722"/>
    <s v="New"/>
    <x v="1"/>
    <s v="Sale"/>
  </r>
  <r>
    <s v="ORD-10269"/>
    <x v="88"/>
    <x v="0"/>
    <x v="2"/>
    <s v="Laptops &amp; Computers"/>
    <x v="9"/>
    <x v="15"/>
    <n v="600"/>
    <n v="1"/>
    <s v="CUST-1716"/>
    <s v="New"/>
    <x v="1"/>
    <s v="Sale"/>
  </r>
  <r>
    <s v="ORD-10270"/>
    <x v="89"/>
    <x v="1"/>
    <x v="2"/>
    <s v="Networking &amp; Security"/>
    <x v="7"/>
    <x v="6"/>
    <n v="220"/>
    <n v="1"/>
    <s v="CUST-1085"/>
    <s v="New"/>
    <x v="1"/>
    <s v="Sale"/>
  </r>
  <r>
    <s v="ORD-10271"/>
    <x v="89"/>
    <x v="4"/>
    <x v="2"/>
    <s v="Accessories &amp; Power"/>
    <x v="3"/>
    <x v="3"/>
    <n v="130"/>
    <n v="2"/>
    <s v="CUST-1103"/>
    <s v="New"/>
    <x v="1"/>
    <s v="Sale"/>
  </r>
  <r>
    <s v="ORD-10272"/>
    <x v="89"/>
    <x v="5"/>
    <x v="0"/>
    <s v="Accessories &amp; Power"/>
    <x v="3"/>
    <x v="13"/>
    <n v="65"/>
    <n v="1"/>
    <s v="CUST-1142"/>
    <s v="Existing"/>
    <x v="0"/>
    <s v="Sale"/>
  </r>
  <r>
    <s v="ORD-10273"/>
    <x v="90"/>
    <x v="1"/>
    <x v="1"/>
    <s v="Smart Home &amp; IoT"/>
    <x v="4"/>
    <x v="46"/>
    <n v="165"/>
    <n v="3"/>
    <s v="CUST-1204"/>
    <s v="Existing"/>
    <x v="0"/>
    <s v="Sale"/>
  </r>
  <r>
    <s v="ORD-10274"/>
    <x v="90"/>
    <x v="1"/>
    <x v="0"/>
    <s v="Accessories &amp; Power"/>
    <x v="11"/>
    <x v="4"/>
    <n v="90"/>
    <n v="1"/>
    <s v="CUST-1640"/>
    <s v="New"/>
    <x v="1"/>
    <s v="Sale"/>
  </r>
  <r>
    <s v="ORD-10275"/>
    <x v="91"/>
    <x v="0"/>
    <x v="0"/>
    <s v="Laptops &amp; Computers"/>
    <x v="0"/>
    <x v="19"/>
    <n v="900"/>
    <n v="2"/>
    <s v="CUST-2781"/>
    <s v="New"/>
    <x v="1"/>
    <s v="Sale"/>
  </r>
  <r>
    <s v="ORD-10276"/>
    <x v="91"/>
    <x v="1"/>
    <x v="2"/>
    <s v="Accessories &amp; Power"/>
    <x v="11"/>
    <x v="14"/>
    <n v="180"/>
    <n v="2"/>
    <s v="CUST-2061"/>
    <s v="New"/>
    <x v="1"/>
    <s v="Sale"/>
  </r>
  <r>
    <s v="ORD-10277"/>
    <x v="91"/>
    <x v="1"/>
    <x v="0"/>
    <s v="Networking &amp; Security"/>
    <x v="7"/>
    <x v="42"/>
    <n v="-440"/>
    <n v="-2"/>
    <s v="CUST-2386"/>
    <s v="Existing"/>
    <x v="0"/>
    <s v="Return"/>
  </r>
  <r>
    <s v="ORD-10278"/>
    <x v="91"/>
    <x v="0"/>
    <x v="1"/>
    <s v="Laptops &amp; Computers"/>
    <x v="6"/>
    <x v="47"/>
    <n v="-2550"/>
    <n v="-3"/>
    <s v="CUST-2644"/>
    <s v="Existing"/>
    <x v="0"/>
    <s v="Return"/>
  </r>
  <r>
    <s v="ORD-10279"/>
    <x v="91"/>
    <x v="2"/>
    <x v="0"/>
    <s v="Laptops &amp; Computers"/>
    <x v="6"/>
    <x v="5"/>
    <n v="1700"/>
    <n v="2"/>
    <s v="CUST-2332"/>
    <s v="Existing"/>
    <x v="0"/>
    <s v="Sale"/>
  </r>
  <r>
    <s v="ORD-10280"/>
    <x v="92"/>
    <x v="1"/>
    <x v="0"/>
    <s v="Networking &amp; Security"/>
    <x v="7"/>
    <x v="18"/>
    <n v="660"/>
    <n v="3"/>
    <s v="CUST-2075"/>
    <s v="New"/>
    <x v="1"/>
    <s v="Sale"/>
  </r>
  <r>
    <s v="ORD-10281"/>
    <x v="92"/>
    <x v="3"/>
    <x v="1"/>
    <s v="Laptops &amp; Computers"/>
    <x v="9"/>
    <x v="15"/>
    <n v="600"/>
    <n v="1"/>
    <s v="CUST-1000"/>
    <s v="New"/>
    <x v="1"/>
    <s v="Sale"/>
  </r>
  <r>
    <s v="ORD-10282"/>
    <x v="93"/>
    <x v="3"/>
    <x v="2"/>
    <s v="Networking &amp; Security"/>
    <x v="10"/>
    <x v="11"/>
    <n v="110"/>
    <n v="1"/>
    <s v="CUST-1010"/>
    <s v="New"/>
    <x v="1"/>
    <s v="Sale"/>
  </r>
  <r>
    <s v="ORD-10283"/>
    <x v="93"/>
    <x v="0"/>
    <x v="0"/>
    <s v="Laptops &amp; Computers"/>
    <x v="0"/>
    <x v="0"/>
    <n v="450"/>
    <n v="1"/>
    <s v="CUST-2849"/>
    <s v="Existing"/>
    <x v="0"/>
    <s v="Sale"/>
  </r>
  <r>
    <s v="ORD-10284"/>
    <x v="94"/>
    <x v="2"/>
    <x v="2"/>
    <s v="Laptops &amp; Computers"/>
    <x v="6"/>
    <x v="10"/>
    <n v="850"/>
    <n v="1"/>
    <s v="CUST-1746"/>
    <s v="Existing"/>
    <x v="0"/>
    <s v="Sale"/>
  </r>
  <r>
    <s v="ORD-10285"/>
    <x v="94"/>
    <x v="1"/>
    <x v="2"/>
    <s v="Smart Home &amp; IoT"/>
    <x v="1"/>
    <x v="27"/>
    <n v="70"/>
    <n v="1"/>
    <s v="CUST-2663"/>
    <s v="New"/>
    <x v="1"/>
    <s v="Sale"/>
  </r>
  <r>
    <s v="ORD-10286"/>
    <x v="94"/>
    <x v="3"/>
    <x v="2"/>
    <s v="Networking &amp; Security"/>
    <x v="10"/>
    <x v="11"/>
    <n v="110"/>
    <n v="1"/>
    <s v="CUST-2959"/>
    <s v="Existing"/>
    <x v="0"/>
    <s v="Sale"/>
  </r>
  <r>
    <s v="ORD-10287"/>
    <x v="94"/>
    <x v="0"/>
    <x v="0"/>
    <s v="Networking &amp; Security"/>
    <x v="5"/>
    <x v="4"/>
    <n v="90"/>
    <n v="1"/>
    <s v="CUST-2237"/>
    <s v="Existing"/>
    <x v="0"/>
    <s v="Sale"/>
  </r>
  <r>
    <s v="ORD-10288"/>
    <x v="94"/>
    <x v="2"/>
    <x v="1"/>
    <s v="Smart Home &amp; IoT"/>
    <x v="1"/>
    <x v="27"/>
    <n v="70"/>
    <n v="1"/>
    <s v="CUST-1955"/>
    <s v="New"/>
    <x v="1"/>
    <s v="Sale"/>
  </r>
  <r>
    <s v="ORD-10289"/>
    <x v="94"/>
    <x v="5"/>
    <x v="1"/>
    <s v="Accessories &amp; Power"/>
    <x v="11"/>
    <x v="4"/>
    <n v="90"/>
    <n v="1"/>
    <s v="CUST-1754"/>
    <s v="New"/>
    <x v="1"/>
    <s v="Sale"/>
  </r>
  <r>
    <s v="ORD-10290"/>
    <x v="95"/>
    <x v="0"/>
    <x v="2"/>
    <s v="Accessories &amp; Power"/>
    <x v="2"/>
    <x v="35"/>
    <n v="60"/>
    <n v="3"/>
    <s v="CUST-2579"/>
    <s v="New"/>
    <x v="1"/>
    <s v="Sale"/>
  </r>
  <r>
    <s v="ORD-10291"/>
    <x v="96"/>
    <x v="0"/>
    <x v="0"/>
    <s v="Networking &amp; Security"/>
    <x v="5"/>
    <x v="29"/>
    <n v="-90"/>
    <n v="-1"/>
    <s v="CUST-1517"/>
    <s v="New"/>
    <x v="1"/>
    <s v="Return"/>
  </r>
  <r>
    <s v="ORD-10292"/>
    <x v="96"/>
    <x v="2"/>
    <x v="1"/>
    <s v="Smart Home &amp; IoT"/>
    <x v="8"/>
    <x v="17"/>
    <n v="260"/>
    <n v="2"/>
    <s v="CUST-2691"/>
    <s v="New"/>
    <x v="1"/>
    <s v="Sale"/>
  </r>
  <r>
    <s v="ORD-10293"/>
    <x v="96"/>
    <x v="2"/>
    <x v="2"/>
    <s v="Laptops &amp; Computers"/>
    <x v="0"/>
    <x v="0"/>
    <n v="450"/>
    <n v="1"/>
    <s v="CUST-2438"/>
    <s v="New"/>
    <x v="1"/>
    <s v="Sale"/>
  </r>
  <r>
    <s v="ORD-10294"/>
    <x v="97"/>
    <x v="1"/>
    <x v="2"/>
    <s v="Laptops &amp; Computers"/>
    <x v="9"/>
    <x v="37"/>
    <n v="1800"/>
    <n v="3"/>
    <s v="CUST-2031"/>
    <s v="New"/>
    <x v="1"/>
    <s v="Sale"/>
  </r>
  <r>
    <s v="ORD-10295"/>
    <x v="97"/>
    <x v="5"/>
    <x v="0"/>
    <s v="Networking &amp; Security"/>
    <x v="7"/>
    <x v="18"/>
    <n v="660"/>
    <n v="3"/>
    <s v="CUST-1004"/>
    <s v="New"/>
    <x v="1"/>
    <s v="Sale"/>
  </r>
  <r>
    <s v="ORD-10296"/>
    <x v="98"/>
    <x v="1"/>
    <x v="1"/>
    <s v="Accessories &amp; Power"/>
    <x v="2"/>
    <x v="2"/>
    <n v="40"/>
    <n v="2"/>
    <s v="CUST-2385"/>
    <s v="New"/>
    <x v="1"/>
    <s v="Sale"/>
  </r>
  <r>
    <s v="ORD-10297"/>
    <x v="98"/>
    <x v="2"/>
    <x v="2"/>
    <s v="Laptops &amp; Computers"/>
    <x v="0"/>
    <x v="19"/>
    <n v="900"/>
    <n v="2"/>
    <s v="CUST-1693"/>
    <s v="New"/>
    <x v="1"/>
    <s v="Sale"/>
  </r>
  <r>
    <s v="ORD-10298"/>
    <x v="98"/>
    <x v="0"/>
    <x v="0"/>
    <s v="Laptops &amp; Computers"/>
    <x v="6"/>
    <x v="10"/>
    <n v="850"/>
    <n v="1"/>
    <s v="CUST-1111"/>
    <s v="Existing"/>
    <x v="0"/>
    <s v="Sale"/>
  </r>
  <r>
    <s v="ORD-10299"/>
    <x v="98"/>
    <x v="3"/>
    <x v="0"/>
    <s v="Laptops &amp; Computers"/>
    <x v="6"/>
    <x v="48"/>
    <n v="4250"/>
    <n v="5"/>
    <s v="CUST-2003"/>
    <s v="New"/>
    <x v="1"/>
    <s v="Sale"/>
  </r>
  <r>
    <s v="ORD-10300"/>
    <x v="99"/>
    <x v="0"/>
    <x v="1"/>
    <s v="Accessories &amp; Power"/>
    <x v="11"/>
    <x v="12"/>
    <n v="270"/>
    <n v="3"/>
    <s v="CUST-1272"/>
    <s v="New"/>
    <x v="1"/>
    <s v="Sale"/>
  </r>
  <r>
    <s v="ORD-10301"/>
    <x v="99"/>
    <x v="1"/>
    <x v="0"/>
    <s v="Smart Home &amp; IoT"/>
    <x v="4"/>
    <x v="46"/>
    <n v="165"/>
    <n v="3"/>
    <s v="CUST-1421"/>
    <s v="New"/>
    <x v="1"/>
    <s v="Sale"/>
  </r>
  <r>
    <s v="ORD-10302"/>
    <x v="99"/>
    <x v="0"/>
    <x v="1"/>
    <s v="Laptops &amp; Computers"/>
    <x v="9"/>
    <x v="9"/>
    <n v="1200"/>
    <n v="2"/>
    <s v="CUST-1264"/>
    <s v="New"/>
    <x v="1"/>
    <s v="Sale"/>
  </r>
  <r>
    <s v="ORD-10303"/>
    <x v="99"/>
    <x v="0"/>
    <x v="2"/>
    <s v="Smart Home &amp; IoT"/>
    <x v="8"/>
    <x v="3"/>
    <n v="130"/>
    <n v="1"/>
    <s v="CUST-2481"/>
    <s v="Existing"/>
    <x v="0"/>
    <s v="Sale"/>
  </r>
  <r>
    <s v="ORD-10304"/>
    <x v="100"/>
    <x v="5"/>
    <x v="2"/>
    <s v="Networking &amp; Security"/>
    <x v="5"/>
    <x v="12"/>
    <n v="270"/>
    <n v="3"/>
    <s v="CUST-1211"/>
    <s v="New"/>
    <x v="1"/>
    <s v="Sale"/>
  </r>
  <r>
    <s v="ORD-10305"/>
    <x v="100"/>
    <x v="0"/>
    <x v="0"/>
    <s v="Smart Home &amp; IoT"/>
    <x v="4"/>
    <x v="2"/>
    <n v="55"/>
    <n v="1"/>
    <s v="CUST-2101"/>
    <s v="Existing"/>
    <x v="0"/>
    <s v="Sale"/>
  </r>
  <r>
    <s v="ORD-10306"/>
    <x v="101"/>
    <x v="3"/>
    <x v="0"/>
    <s v="Laptops &amp; Computers"/>
    <x v="6"/>
    <x v="10"/>
    <n v="850"/>
    <n v="1"/>
    <s v="CUST-1781"/>
    <s v="New"/>
    <x v="1"/>
    <s v="Sale"/>
  </r>
  <r>
    <s v="ORD-10307"/>
    <x v="101"/>
    <x v="0"/>
    <x v="1"/>
    <s v="Accessories &amp; Power"/>
    <x v="2"/>
    <x v="31"/>
    <n v="20"/>
    <n v="1"/>
    <s v="CUST-1665"/>
    <s v="New"/>
    <x v="1"/>
    <s v="Sale"/>
  </r>
  <r>
    <s v="ORD-10308"/>
    <x v="102"/>
    <x v="1"/>
    <x v="0"/>
    <s v="Networking &amp; Security"/>
    <x v="7"/>
    <x v="18"/>
    <n v="660"/>
    <n v="3"/>
    <s v="CUST-2244"/>
    <s v="New"/>
    <x v="1"/>
    <s v="Sale"/>
  </r>
  <r>
    <s v="ORD-10309"/>
    <x v="102"/>
    <x v="1"/>
    <x v="2"/>
    <s v="Smart Home &amp; IoT"/>
    <x v="8"/>
    <x v="3"/>
    <n v="130"/>
    <n v="1"/>
    <s v="CUST-1368"/>
    <s v="New"/>
    <x v="1"/>
    <s v="Sale"/>
  </r>
  <r>
    <s v="ORD-10310"/>
    <x v="103"/>
    <x v="0"/>
    <x v="0"/>
    <s v="Laptops &amp; Computers"/>
    <x v="9"/>
    <x v="15"/>
    <n v="600"/>
    <n v="1"/>
    <s v="CUST-1957"/>
    <s v="Existing"/>
    <x v="0"/>
    <s v="Sale"/>
  </r>
  <r>
    <s v="ORD-10311"/>
    <x v="104"/>
    <x v="0"/>
    <x v="0"/>
    <s v="Networking &amp; Security"/>
    <x v="5"/>
    <x v="4"/>
    <n v="90"/>
    <n v="1"/>
    <s v="CUST-1346"/>
    <s v="New"/>
    <x v="1"/>
    <s v="Sale"/>
  </r>
  <r>
    <s v="ORD-10312"/>
    <x v="104"/>
    <x v="1"/>
    <x v="0"/>
    <s v="Networking &amp; Security"/>
    <x v="5"/>
    <x v="14"/>
    <n v="180"/>
    <n v="2"/>
    <s v="CUST-1024"/>
    <s v="Existing"/>
    <x v="0"/>
    <s v="Sale"/>
  </r>
  <r>
    <s v="ORD-10313"/>
    <x v="104"/>
    <x v="1"/>
    <x v="2"/>
    <s v="Networking &amp; Security"/>
    <x v="5"/>
    <x v="14"/>
    <n v="180"/>
    <n v="2"/>
    <s v="CUST-1975"/>
    <s v="Existing"/>
    <x v="0"/>
    <s v="Sale"/>
  </r>
  <r>
    <s v="ORD-10314"/>
    <x v="105"/>
    <x v="1"/>
    <x v="1"/>
    <s v="Laptops &amp; Computers"/>
    <x v="6"/>
    <x v="10"/>
    <n v="850"/>
    <n v="1"/>
    <s v="CUST-2443"/>
    <s v="New"/>
    <x v="1"/>
    <s v="Sale"/>
  </r>
  <r>
    <s v="ORD-10315"/>
    <x v="105"/>
    <x v="5"/>
    <x v="0"/>
    <s v="Accessories &amp; Power"/>
    <x v="3"/>
    <x v="36"/>
    <n v="-65"/>
    <n v="-1"/>
    <s v="CUST-2377"/>
    <s v="New"/>
    <x v="1"/>
    <s v="Return"/>
  </r>
  <r>
    <s v="ORD-10316"/>
    <x v="105"/>
    <x v="5"/>
    <x v="0"/>
    <s v="Laptops &amp; Computers"/>
    <x v="0"/>
    <x v="19"/>
    <n v="900"/>
    <n v="2"/>
    <s v="CUST-2743"/>
    <s v="New"/>
    <x v="1"/>
    <s v="Sale"/>
  </r>
  <r>
    <s v="ORD-10317"/>
    <x v="105"/>
    <x v="0"/>
    <x v="0"/>
    <s v="Smart Home &amp; IoT"/>
    <x v="4"/>
    <x v="12"/>
    <n v="275"/>
    <n v="5"/>
    <s v="CUST-1416"/>
    <s v="New"/>
    <x v="1"/>
    <s v="Sale"/>
  </r>
  <r>
    <s v="ORD-10318"/>
    <x v="105"/>
    <x v="1"/>
    <x v="2"/>
    <s v="Accessories &amp; Power"/>
    <x v="11"/>
    <x v="14"/>
    <n v="180"/>
    <n v="2"/>
    <s v="CUST-1514"/>
    <s v="Existing"/>
    <x v="0"/>
    <s v="Sale"/>
  </r>
  <r>
    <s v="ORD-10319"/>
    <x v="106"/>
    <x v="4"/>
    <x v="0"/>
    <s v="Smart Home &amp; IoT"/>
    <x v="4"/>
    <x v="2"/>
    <n v="55"/>
    <n v="1"/>
    <s v="CUST-1214"/>
    <s v="New"/>
    <x v="1"/>
    <s v="Sale"/>
  </r>
  <r>
    <s v="ORD-10320"/>
    <x v="107"/>
    <x v="5"/>
    <x v="1"/>
    <s v="Smart Home &amp; IoT"/>
    <x v="8"/>
    <x v="7"/>
    <n v="390"/>
    <n v="3"/>
    <s v="CUST-2930"/>
    <s v="New"/>
    <x v="1"/>
    <s v="Sale"/>
  </r>
  <r>
    <s v="ORD-10321"/>
    <x v="108"/>
    <x v="2"/>
    <x v="2"/>
    <s v="Smart Home &amp; IoT"/>
    <x v="4"/>
    <x v="2"/>
    <n v="55"/>
    <n v="1"/>
    <s v="CUST-2135"/>
    <s v="New"/>
    <x v="1"/>
    <s v="Sale"/>
  </r>
  <r>
    <s v="ORD-10322"/>
    <x v="109"/>
    <x v="1"/>
    <x v="2"/>
    <s v="Networking &amp; Security"/>
    <x v="5"/>
    <x v="4"/>
    <n v="90"/>
    <n v="1"/>
    <s v="CUST-1953"/>
    <s v="New"/>
    <x v="1"/>
    <s v="Sale"/>
  </r>
  <r>
    <s v="ORD-10323"/>
    <x v="109"/>
    <x v="2"/>
    <x v="0"/>
    <s v="Accessories &amp; Power"/>
    <x v="11"/>
    <x v="4"/>
    <n v="90"/>
    <n v="1"/>
    <s v="CUST-2727"/>
    <s v="New"/>
    <x v="1"/>
    <s v="Sale"/>
  </r>
  <r>
    <s v="ORD-10324"/>
    <x v="109"/>
    <x v="2"/>
    <x v="1"/>
    <s v="Laptops &amp; Computers"/>
    <x v="9"/>
    <x v="15"/>
    <n v="600"/>
    <n v="1"/>
    <s v="CUST-1913"/>
    <s v="Existing"/>
    <x v="0"/>
    <s v="Sale"/>
  </r>
  <r>
    <s v="ORD-10325"/>
    <x v="110"/>
    <x v="5"/>
    <x v="0"/>
    <s v="Smart Home &amp; IoT"/>
    <x v="8"/>
    <x v="17"/>
    <n v="260"/>
    <n v="2"/>
    <s v="CUST-2582"/>
    <s v="Existing"/>
    <x v="0"/>
    <s v="Sale"/>
  </r>
  <r>
    <s v="ORD-10326"/>
    <x v="110"/>
    <x v="4"/>
    <x v="0"/>
    <s v="Smart Home &amp; IoT"/>
    <x v="8"/>
    <x v="3"/>
    <n v="130"/>
    <n v="1"/>
    <s v="CUST-1427"/>
    <s v="Existing"/>
    <x v="0"/>
    <s v="Sale"/>
  </r>
  <r>
    <s v="ORD-10327"/>
    <x v="110"/>
    <x v="0"/>
    <x v="2"/>
    <s v="Networking &amp; Security"/>
    <x v="10"/>
    <x v="11"/>
    <n v="110"/>
    <n v="1"/>
    <s v="CUST-1732"/>
    <s v="Existing"/>
    <x v="0"/>
    <s v="Sale"/>
  </r>
  <r>
    <s v="ORD-10328"/>
    <x v="110"/>
    <x v="0"/>
    <x v="2"/>
    <s v="Networking &amp; Security"/>
    <x v="7"/>
    <x v="28"/>
    <n v="-220"/>
    <n v="-1"/>
    <s v="CUST-1698"/>
    <s v="New"/>
    <x v="1"/>
    <s v="Return"/>
  </r>
  <r>
    <s v="ORD-10329"/>
    <x v="111"/>
    <x v="2"/>
    <x v="0"/>
    <s v="Networking &amp; Security"/>
    <x v="5"/>
    <x v="4"/>
    <n v="90"/>
    <n v="1"/>
    <s v="CUST-2585"/>
    <s v="Existing"/>
    <x v="0"/>
    <s v="Sale"/>
  </r>
  <r>
    <s v="ORD-10330"/>
    <x v="111"/>
    <x v="3"/>
    <x v="0"/>
    <s v="Accessories &amp; Power"/>
    <x v="3"/>
    <x v="13"/>
    <n v="65"/>
    <n v="1"/>
    <s v="CUST-2732"/>
    <s v="New"/>
    <x v="1"/>
    <s v="Sale"/>
  </r>
  <r>
    <s v="ORD-10331"/>
    <x v="112"/>
    <x v="0"/>
    <x v="2"/>
    <s v="Accessories &amp; Power"/>
    <x v="2"/>
    <x v="31"/>
    <n v="20"/>
    <n v="1"/>
    <s v="CUST-1215"/>
    <s v="New"/>
    <x v="1"/>
    <s v="Sale"/>
  </r>
  <r>
    <s v="ORD-10332"/>
    <x v="112"/>
    <x v="0"/>
    <x v="0"/>
    <s v="Networking &amp; Security"/>
    <x v="7"/>
    <x v="6"/>
    <n v="220"/>
    <n v="1"/>
    <s v="CUST-1412"/>
    <s v="New"/>
    <x v="1"/>
    <s v="Sale"/>
  </r>
  <r>
    <s v="ORD-10333"/>
    <x v="112"/>
    <x v="0"/>
    <x v="1"/>
    <s v="Smart Home &amp; IoT"/>
    <x v="4"/>
    <x v="11"/>
    <n v="110"/>
    <n v="2"/>
    <s v="CUST-2756"/>
    <s v="New"/>
    <x v="1"/>
    <s v="Sale"/>
  </r>
  <r>
    <s v="ORD-10334"/>
    <x v="113"/>
    <x v="0"/>
    <x v="2"/>
    <s v="Accessories &amp; Power"/>
    <x v="2"/>
    <x v="2"/>
    <n v="40"/>
    <n v="2"/>
    <s v="CUST-1379"/>
    <s v="New"/>
    <x v="1"/>
    <s v="Sale"/>
  </r>
  <r>
    <s v="ORD-10335"/>
    <x v="114"/>
    <x v="2"/>
    <x v="0"/>
    <s v="Laptops &amp; Computers"/>
    <x v="6"/>
    <x v="49"/>
    <n v="-1700"/>
    <n v="-2"/>
    <s v="CUST-2625"/>
    <s v="New"/>
    <x v="1"/>
    <s v="Return"/>
  </r>
  <r>
    <s v="ORD-10336"/>
    <x v="114"/>
    <x v="5"/>
    <x v="0"/>
    <s v="Laptops &amp; Computers"/>
    <x v="0"/>
    <x v="0"/>
    <n v="450"/>
    <n v="1"/>
    <s v="CUST-1231"/>
    <s v="New"/>
    <x v="1"/>
    <s v="Sale"/>
  </r>
  <r>
    <s v="ORD-10337"/>
    <x v="114"/>
    <x v="1"/>
    <x v="0"/>
    <s v="Smart Home &amp; IoT"/>
    <x v="1"/>
    <x v="26"/>
    <n v="210"/>
    <n v="3"/>
    <s v="CUST-1834"/>
    <s v="New"/>
    <x v="1"/>
    <s v="Sale"/>
  </r>
  <r>
    <s v="ORD-10338"/>
    <x v="115"/>
    <x v="1"/>
    <x v="2"/>
    <s v="Accessories &amp; Power"/>
    <x v="11"/>
    <x v="12"/>
    <n v="270"/>
    <n v="3"/>
    <s v="CUST-1257"/>
    <s v="New"/>
    <x v="1"/>
    <s v="Sale"/>
  </r>
  <r>
    <s v="ORD-10339"/>
    <x v="116"/>
    <x v="0"/>
    <x v="2"/>
    <s v="Accessories &amp; Power"/>
    <x v="2"/>
    <x v="2"/>
    <n v="40"/>
    <n v="2"/>
    <s v="CUST-2688"/>
    <s v="Existing"/>
    <x v="0"/>
    <s v="Sale"/>
  </r>
  <r>
    <s v="ORD-10340"/>
    <x v="116"/>
    <x v="0"/>
    <x v="0"/>
    <s v="Networking &amp; Security"/>
    <x v="5"/>
    <x v="14"/>
    <n v="180"/>
    <n v="2"/>
    <s v="CUST-2279"/>
    <s v="New"/>
    <x v="1"/>
    <s v="Sale"/>
  </r>
  <r>
    <s v="ORD-10341"/>
    <x v="116"/>
    <x v="5"/>
    <x v="2"/>
    <s v="Laptops &amp; Computers"/>
    <x v="6"/>
    <x v="50"/>
    <n v="-850"/>
    <n v="-1"/>
    <s v="CUST-1402"/>
    <s v="New"/>
    <x v="1"/>
    <s v="Return"/>
  </r>
  <r>
    <s v="ORD-10342"/>
    <x v="116"/>
    <x v="4"/>
    <x v="1"/>
    <s v="Networking &amp; Security"/>
    <x v="7"/>
    <x v="32"/>
    <n v="1100"/>
    <n v="5"/>
    <s v="CUST-1423"/>
    <s v="New"/>
    <x v="1"/>
    <s v="Sale"/>
  </r>
  <r>
    <s v="ORD-10343"/>
    <x v="116"/>
    <x v="3"/>
    <x v="0"/>
    <s v="Laptops &amp; Computers"/>
    <x v="9"/>
    <x v="15"/>
    <n v="600"/>
    <n v="1"/>
    <s v="CUST-1769"/>
    <s v="Existing"/>
    <x v="0"/>
    <s v="Sale"/>
  </r>
  <r>
    <s v="ORD-10344"/>
    <x v="116"/>
    <x v="0"/>
    <x v="1"/>
    <s v="Laptops &amp; Computers"/>
    <x v="0"/>
    <x v="0"/>
    <n v="450"/>
    <n v="1"/>
    <s v="CUST-1064"/>
    <s v="New"/>
    <x v="1"/>
    <s v="Sale"/>
  </r>
  <r>
    <s v="ORD-10345"/>
    <x v="116"/>
    <x v="3"/>
    <x v="0"/>
    <s v="Accessories &amp; Power"/>
    <x v="11"/>
    <x v="4"/>
    <n v="90"/>
    <n v="1"/>
    <s v="CUST-1189"/>
    <s v="New"/>
    <x v="1"/>
    <s v="Sale"/>
  </r>
  <r>
    <s v="ORD-10346"/>
    <x v="116"/>
    <x v="2"/>
    <x v="0"/>
    <s v="Laptops &amp; Computers"/>
    <x v="6"/>
    <x v="10"/>
    <n v="850"/>
    <n v="1"/>
    <s v="CUST-2626"/>
    <s v="New"/>
    <x v="1"/>
    <s v="Sale"/>
  </r>
  <r>
    <s v="ORD-10347"/>
    <x v="117"/>
    <x v="2"/>
    <x v="0"/>
    <s v="Accessories &amp; Power"/>
    <x v="3"/>
    <x v="17"/>
    <n v="260"/>
    <n v="4"/>
    <s v="CUST-1949"/>
    <s v="New"/>
    <x v="1"/>
    <s v="Sale"/>
  </r>
  <r>
    <s v="ORD-10348"/>
    <x v="117"/>
    <x v="1"/>
    <x v="0"/>
    <s v="Networking &amp; Security"/>
    <x v="7"/>
    <x v="6"/>
    <n v="220"/>
    <n v="1"/>
    <s v="CUST-1172"/>
    <s v="New"/>
    <x v="1"/>
    <s v="Sale"/>
  </r>
  <r>
    <s v="ORD-10349"/>
    <x v="118"/>
    <x v="1"/>
    <x v="0"/>
    <s v="Smart Home &amp; IoT"/>
    <x v="8"/>
    <x v="3"/>
    <n v="130"/>
    <n v="1"/>
    <s v="CUST-1758"/>
    <s v="New"/>
    <x v="1"/>
    <s v="Sale"/>
  </r>
  <r>
    <s v="ORD-10350"/>
    <x v="119"/>
    <x v="1"/>
    <x v="0"/>
    <s v="Laptops &amp; Computers"/>
    <x v="9"/>
    <x v="9"/>
    <n v="1200"/>
    <n v="2"/>
    <s v="CUST-2791"/>
    <s v="New"/>
    <x v="1"/>
    <s v="Sale"/>
  </r>
  <r>
    <s v="ORD-10351"/>
    <x v="119"/>
    <x v="0"/>
    <x v="1"/>
    <s v="Networking &amp; Security"/>
    <x v="10"/>
    <x v="11"/>
    <n v="110"/>
    <n v="1"/>
    <s v="CUST-1627"/>
    <s v="New"/>
    <x v="1"/>
    <s v="Sale"/>
  </r>
  <r>
    <s v="ORD-10352"/>
    <x v="119"/>
    <x v="0"/>
    <x v="1"/>
    <s v="Laptops &amp; Computers"/>
    <x v="0"/>
    <x v="0"/>
    <n v="450"/>
    <n v="1"/>
    <s v="CUST-1560"/>
    <s v="New"/>
    <x v="1"/>
    <s v="Sale"/>
  </r>
  <r>
    <s v="ORD-10353"/>
    <x v="119"/>
    <x v="0"/>
    <x v="2"/>
    <s v="Accessories &amp; Power"/>
    <x v="3"/>
    <x v="3"/>
    <n v="130"/>
    <n v="2"/>
    <s v="CUST-2250"/>
    <s v="New"/>
    <x v="1"/>
    <s v="Sale"/>
  </r>
  <r>
    <s v="ORD-10354"/>
    <x v="120"/>
    <x v="1"/>
    <x v="0"/>
    <s v="Accessories &amp; Power"/>
    <x v="2"/>
    <x v="2"/>
    <n v="40"/>
    <n v="2"/>
    <s v="CUST-2000"/>
    <s v="Existing"/>
    <x v="0"/>
    <s v="Sale"/>
  </r>
  <r>
    <s v="ORD-10355"/>
    <x v="121"/>
    <x v="2"/>
    <x v="0"/>
    <s v="Networking &amp; Security"/>
    <x v="10"/>
    <x v="11"/>
    <n v="110"/>
    <n v="1"/>
    <s v="CUST-2604"/>
    <s v="New"/>
    <x v="1"/>
    <s v="Sale"/>
  </r>
  <r>
    <s v="ORD-10356"/>
    <x v="121"/>
    <x v="1"/>
    <x v="0"/>
    <s v="Laptops &amp; Computers"/>
    <x v="0"/>
    <x v="19"/>
    <n v="900"/>
    <n v="2"/>
    <s v="CUST-2957"/>
    <s v="New"/>
    <x v="1"/>
    <s v="Sale"/>
  </r>
  <r>
    <s v="ORD-10357"/>
    <x v="121"/>
    <x v="0"/>
    <x v="2"/>
    <s v="Accessories &amp; Power"/>
    <x v="2"/>
    <x v="31"/>
    <n v="20"/>
    <n v="1"/>
    <s v="CUST-2411"/>
    <s v="New"/>
    <x v="1"/>
    <s v="Sale"/>
  </r>
  <r>
    <s v="ORD-10358"/>
    <x v="121"/>
    <x v="4"/>
    <x v="1"/>
    <s v="Networking &amp; Security"/>
    <x v="5"/>
    <x v="4"/>
    <n v="90"/>
    <n v="1"/>
    <s v="CUST-1400"/>
    <s v="New"/>
    <x v="1"/>
    <s v="Sale"/>
  </r>
  <r>
    <s v="ORD-10359"/>
    <x v="122"/>
    <x v="4"/>
    <x v="0"/>
    <s v="Laptops &amp; Computers"/>
    <x v="9"/>
    <x v="15"/>
    <n v="600"/>
    <n v="1"/>
    <s v="CUST-1637"/>
    <s v="New"/>
    <x v="1"/>
    <s v="Sale"/>
  </r>
  <r>
    <s v="ORD-10360"/>
    <x v="122"/>
    <x v="2"/>
    <x v="0"/>
    <s v="Smart Home &amp; IoT"/>
    <x v="4"/>
    <x v="2"/>
    <n v="55"/>
    <n v="1"/>
    <s v="CUST-1948"/>
    <s v="New"/>
    <x v="1"/>
    <s v="Sale"/>
  </r>
  <r>
    <s v="ORD-10361"/>
    <x v="122"/>
    <x v="4"/>
    <x v="2"/>
    <s v="Accessories &amp; Power"/>
    <x v="2"/>
    <x v="2"/>
    <n v="40"/>
    <n v="2"/>
    <s v="CUST-1212"/>
    <s v="New"/>
    <x v="1"/>
    <s v="Sale"/>
  </r>
  <r>
    <s v="ORD-10362"/>
    <x v="122"/>
    <x v="5"/>
    <x v="0"/>
    <s v="Laptops &amp; Computers"/>
    <x v="9"/>
    <x v="9"/>
    <n v="1200"/>
    <n v="2"/>
    <s v="CUST-1052"/>
    <s v="New"/>
    <x v="1"/>
    <s v="Sale"/>
  </r>
  <r>
    <s v="ORD-10363"/>
    <x v="122"/>
    <x v="4"/>
    <x v="0"/>
    <s v="Laptops &amp; Computers"/>
    <x v="9"/>
    <x v="15"/>
    <n v="600"/>
    <n v="1"/>
    <s v="CUST-1623"/>
    <s v="New"/>
    <x v="1"/>
    <s v="Sale"/>
  </r>
  <r>
    <s v="ORD-10364"/>
    <x v="123"/>
    <x v="0"/>
    <x v="2"/>
    <s v="Accessories &amp; Power"/>
    <x v="11"/>
    <x v="4"/>
    <n v="90"/>
    <n v="1"/>
    <s v="CUST-2694"/>
    <s v="Existing"/>
    <x v="0"/>
    <s v="Sale"/>
  </r>
  <r>
    <s v="ORD-10365"/>
    <x v="123"/>
    <x v="1"/>
    <x v="2"/>
    <s v="Laptops &amp; Computers"/>
    <x v="6"/>
    <x v="5"/>
    <n v="1700"/>
    <n v="2"/>
    <s v="CUST-1751"/>
    <s v="New"/>
    <x v="1"/>
    <s v="Sale"/>
  </r>
  <r>
    <s v="ORD-10366"/>
    <x v="123"/>
    <x v="0"/>
    <x v="0"/>
    <s v="Laptops &amp; Computers"/>
    <x v="9"/>
    <x v="15"/>
    <n v="600"/>
    <n v="1"/>
    <s v="CUST-1661"/>
    <s v="Existing"/>
    <x v="0"/>
    <s v="Sale"/>
  </r>
  <r>
    <s v="ORD-10367"/>
    <x v="123"/>
    <x v="0"/>
    <x v="0"/>
    <s v="Smart Home &amp; IoT"/>
    <x v="4"/>
    <x v="2"/>
    <n v="55"/>
    <n v="1"/>
    <s v="CUST-1138"/>
    <s v="New"/>
    <x v="1"/>
    <s v="Sale"/>
  </r>
  <r>
    <s v="ORD-10368"/>
    <x v="124"/>
    <x v="0"/>
    <x v="1"/>
    <s v="Accessories &amp; Power"/>
    <x v="3"/>
    <x v="17"/>
    <n v="260"/>
    <n v="4"/>
    <s v="CUST-1417"/>
    <s v="New"/>
    <x v="1"/>
    <s v="Sale"/>
  </r>
  <r>
    <s v="ORD-10369"/>
    <x v="124"/>
    <x v="5"/>
    <x v="0"/>
    <s v="Networking &amp; Security"/>
    <x v="10"/>
    <x v="26"/>
    <n v="220"/>
    <n v="2"/>
    <s v="CUST-2648"/>
    <s v="New"/>
    <x v="1"/>
    <s v="Sale"/>
  </r>
  <r>
    <s v="ORD-10370"/>
    <x v="124"/>
    <x v="2"/>
    <x v="0"/>
    <s v="Accessories &amp; Power"/>
    <x v="2"/>
    <x v="51"/>
    <n v="-100"/>
    <n v="-5"/>
    <s v="CUST-1142"/>
    <s v="Existing"/>
    <x v="0"/>
    <s v="Return"/>
  </r>
  <r>
    <s v="ORD-10371"/>
    <x v="124"/>
    <x v="5"/>
    <x v="0"/>
    <s v="Smart Home &amp; IoT"/>
    <x v="8"/>
    <x v="3"/>
    <n v="130"/>
    <n v="1"/>
    <s v="CUST-2905"/>
    <s v="Existing"/>
    <x v="0"/>
    <s v="Sale"/>
  </r>
  <r>
    <s v="ORD-10372"/>
    <x v="125"/>
    <x v="0"/>
    <x v="0"/>
    <s v="Laptops &amp; Computers"/>
    <x v="9"/>
    <x v="9"/>
    <n v="1200"/>
    <n v="2"/>
    <s v="CUST-1508"/>
    <s v="Existing"/>
    <x v="0"/>
    <s v="Sale"/>
  </r>
  <r>
    <s v="ORD-10373"/>
    <x v="125"/>
    <x v="3"/>
    <x v="0"/>
    <s v="Accessories &amp; Power"/>
    <x v="2"/>
    <x v="31"/>
    <n v="20"/>
    <n v="1"/>
    <s v="CUST-1649"/>
    <s v="New"/>
    <x v="1"/>
    <s v="Sale"/>
  </r>
  <r>
    <s v="ORD-10374"/>
    <x v="125"/>
    <x v="5"/>
    <x v="1"/>
    <s v="Networking &amp; Security"/>
    <x v="5"/>
    <x v="4"/>
    <n v="90"/>
    <n v="1"/>
    <s v="CUST-1485"/>
    <s v="Existing"/>
    <x v="0"/>
    <s v="Sale"/>
  </r>
  <r>
    <s v="ORD-10375"/>
    <x v="126"/>
    <x v="1"/>
    <x v="0"/>
    <s v="Laptops &amp; Computers"/>
    <x v="6"/>
    <x v="10"/>
    <n v="850"/>
    <n v="1"/>
    <s v="CUST-1991"/>
    <s v="New"/>
    <x v="1"/>
    <s v="Sale"/>
  </r>
  <r>
    <s v="ORD-10376"/>
    <x v="126"/>
    <x v="2"/>
    <x v="0"/>
    <s v="Smart Home &amp; IoT"/>
    <x v="1"/>
    <x v="27"/>
    <n v="70"/>
    <n v="1"/>
    <s v="CUST-2460"/>
    <s v="Existing"/>
    <x v="0"/>
    <s v="Sale"/>
  </r>
  <r>
    <s v="ORD-10377"/>
    <x v="126"/>
    <x v="0"/>
    <x v="2"/>
    <s v="Networking &amp; Security"/>
    <x v="5"/>
    <x v="4"/>
    <n v="90"/>
    <n v="1"/>
    <s v="CUST-2839"/>
    <s v="New"/>
    <x v="1"/>
    <s v="Sale"/>
  </r>
  <r>
    <s v="ORD-10378"/>
    <x v="126"/>
    <x v="1"/>
    <x v="2"/>
    <s v="Laptops &amp; Computers"/>
    <x v="0"/>
    <x v="0"/>
    <n v="450"/>
    <n v="1"/>
    <s v="CUST-1542"/>
    <s v="New"/>
    <x v="1"/>
    <s v="Sale"/>
  </r>
  <r>
    <s v="ORD-10379"/>
    <x v="126"/>
    <x v="4"/>
    <x v="1"/>
    <s v="Laptops &amp; Computers"/>
    <x v="0"/>
    <x v="0"/>
    <n v="450"/>
    <n v="1"/>
    <s v="CUST-1292"/>
    <s v="New"/>
    <x v="1"/>
    <s v="Sale"/>
  </r>
  <r>
    <s v="ORD-10380"/>
    <x v="126"/>
    <x v="0"/>
    <x v="1"/>
    <s v="Networking &amp; Security"/>
    <x v="7"/>
    <x v="21"/>
    <n v="440"/>
    <n v="2"/>
    <s v="CUST-2643"/>
    <s v="Existing"/>
    <x v="0"/>
    <s v="Sale"/>
  </r>
  <r>
    <s v="ORD-10381"/>
    <x v="127"/>
    <x v="1"/>
    <x v="0"/>
    <s v="Accessories &amp; Power"/>
    <x v="11"/>
    <x v="4"/>
    <n v="90"/>
    <n v="1"/>
    <s v="CUST-2307"/>
    <s v="New"/>
    <x v="1"/>
    <s v="Sale"/>
  </r>
  <r>
    <s v="ORD-10382"/>
    <x v="127"/>
    <x v="3"/>
    <x v="2"/>
    <s v="Smart Home &amp; IoT"/>
    <x v="1"/>
    <x v="52"/>
    <n v="-70"/>
    <n v="-1"/>
    <s v="CUST-1670"/>
    <s v="New"/>
    <x v="1"/>
    <s v="Return"/>
  </r>
  <r>
    <s v="ORD-10383"/>
    <x v="127"/>
    <x v="2"/>
    <x v="0"/>
    <s v="Accessories &amp; Power"/>
    <x v="11"/>
    <x v="4"/>
    <n v="90"/>
    <n v="1"/>
    <s v="CUST-1837"/>
    <s v="Existing"/>
    <x v="0"/>
    <s v="Sale"/>
  </r>
  <r>
    <s v="ORD-10384"/>
    <x v="127"/>
    <x v="0"/>
    <x v="1"/>
    <s v="Laptops &amp; Computers"/>
    <x v="0"/>
    <x v="0"/>
    <n v="450"/>
    <n v="1"/>
    <s v="CUST-2037"/>
    <s v="Existing"/>
    <x v="0"/>
    <s v="Sale"/>
  </r>
  <r>
    <s v="ORD-10385"/>
    <x v="127"/>
    <x v="0"/>
    <x v="0"/>
    <s v="Laptops &amp; Computers"/>
    <x v="6"/>
    <x v="5"/>
    <n v="1700"/>
    <n v="2"/>
    <s v="CUST-1633"/>
    <s v="New"/>
    <x v="1"/>
    <s v="Sale"/>
  </r>
  <r>
    <s v="ORD-10386"/>
    <x v="128"/>
    <x v="0"/>
    <x v="1"/>
    <s v="Laptops &amp; Computers"/>
    <x v="6"/>
    <x v="10"/>
    <n v="850"/>
    <n v="1"/>
    <s v="CUST-2750"/>
    <s v="New"/>
    <x v="1"/>
    <s v="Sale"/>
  </r>
  <r>
    <s v="ORD-10387"/>
    <x v="128"/>
    <x v="5"/>
    <x v="2"/>
    <s v="Laptops &amp; Computers"/>
    <x v="6"/>
    <x v="5"/>
    <n v="1700"/>
    <n v="2"/>
    <s v="CUST-1271"/>
    <s v="New"/>
    <x v="1"/>
    <s v="Sale"/>
  </r>
  <r>
    <s v="ORD-10388"/>
    <x v="129"/>
    <x v="1"/>
    <x v="0"/>
    <s v="Laptops &amp; Computers"/>
    <x v="6"/>
    <x v="10"/>
    <n v="850"/>
    <n v="1"/>
    <s v="CUST-2048"/>
    <s v="New"/>
    <x v="1"/>
    <s v="Sale"/>
  </r>
  <r>
    <s v="ORD-10389"/>
    <x v="129"/>
    <x v="0"/>
    <x v="2"/>
    <s v="Accessories &amp; Power"/>
    <x v="2"/>
    <x v="31"/>
    <n v="20"/>
    <n v="1"/>
    <s v="CUST-2958"/>
    <s v="Existing"/>
    <x v="0"/>
    <s v="Sale"/>
  </r>
  <r>
    <s v="ORD-10390"/>
    <x v="130"/>
    <x v="4"/>
    <x v="1"/>
    <s v="Accessories &amp; Power"/>
    <x v="3"/>
    <x v="16"/>
    <n v="195"/>
    <n v="3"/>
    <s v="CUST-1321"/>
    <s v="New"/>
    <x v="1"/>
    <s v="Sale"/>
  </r>
  <r>
    <s v="ORD-10391"/>
    <x v="130"/>
    <x v="5"/>
    <x v="1"/>
    <s v="Accessories &amp; Power"/>
    <x v="3"/>
    <x v="22"/>
    <n v="-130"/>
    <n v="-2"/>
    <s v="CUST-1805"/>
    <s v="New"/>
    <x v="1"/>
    <s v="Return"/>
  </r>
  <r>
    <s v="ORD-10392"/>
    <x v="131"/>
    <x v="0"/>
    <x v="0"/>
    <s v="Laptops &amp; Computers"/>
    <x v="6"/>
    <x v="10"/>
    <n v="850"/>
    <n v="1"/>
    <s v="CUST-2704"/>
    <s v="New"/>
    <x v="1"/>
    <s v="Sale"/>
  </r>
  <r>
    <s v="ORD-10393"/>
    <x v="131"/>
    <x v="5"/>
    <x v="2"/>
    <s v="Accessories &amp; Power"/>
    <x v="3"/>
    <x v="3"/>
    <n v="130"/>
    <n v="2"/>
    <s v="CUST-2126"/>
    <s v="New"/>
    <x v="1"/>
    <s v="Sale"/>
  </r>
  <r>
    <s v="ORD-10394"/>
    <x v="132"/>
    <x v="2"/>
    <x v="0"/>
    <s v="Networking &amp; Security"/>
    <x v="10"/>
    <x v="11"/>
    <n v="110"/>
    <n v="1"/>
    <s v="CUST-2889"/>
    <s v="Existing"/>
    <x v="0"/>
    <s v="Sale"/>
  </r>
  <r>
    <s v="ORD-10395"/>
    <x v="132"/>
    <x v="0"/>
    <x v="0"/>
    <s v="Laptops &amp; Computers"/>
    <x v="6"/>
    <x v="49"/>
    <n v="-1700"/>
    <n v="-2"/>
    <s v="CUST-1882"/>
    <s v="New"/>
    <x v="1"/>
    <s v="Return"/>
  </r>
  <r>
    <s v="ORD-10396"/>
    <x v="132"/>
    <x v="0"/>
    <x v="0"/>
    <s v="Accessories &amp; Power"/>
    <x v="11"/>
    <x v="14"/>
    <n v="180"/>
    <n v="2"/>
    <s v="CUST-2063"/>
    <s v="New"/>
    <x v="1"/>
    <s v="Sale"/>
  </r>
  <r>
    <s v="ORD-10397"/>
    <x v="132"/>
    <x v="3"/>
    <x v="0"/>
    <s v="Smart Home &amp; IoT"/>
    <x v="8"/>
    <x v="17"/>
    <n v="260"/>
    <n v="2"/>
    <s v="CUST-1234"/>
    <s v="New"/>
    <x v="1"/>
    <s v="Sale"/>
  </r>
  <r>
    <s v="ORD-10398"/>
    <x v="133"/>
    <x v="1"/>
    <x v="1"/>
    <s v="Laptops &amp; Computers"/>
    <x v="9"/>
    <x v="34"/>
    <n v="3000"/>
    <n v="5"/>
    <s v="CUST-1831"/>
    <s v="Existing"/>
    <x v="0"/>
    <s v="Sale"/>
  </r>
  <r>
    <s v="ORD-10399"/>
    <x v="133"/>
    <x v="5"/>
    <x v="0"/>
    <s v="Networking &amp; Security"/>
    <x v="7"/>
    <x v="6"/>
    <n v="220"/>
    <n v="1"/>
    <s v="CUST-2112"/>
    <s v="New"/>
    <x v="1"/>
    <s v="Sale"/>
  </r>
  <r>
    <s v="ORD-10400"/>
    <x v="133"/>
    <x v="1"/>
    <x v="1"/>
    <s v="Laptops &amp; Computers"/>
    <x v="9"/>
    <x v="9"/>
    <n v="1200"/>
    <n v="2"/>
    <s v="CUST-2123"/>
    <s v="New"/>
    <x v="1"/>
    <s v="Sale"/>
  </r>
  <r>
    <s v="ORD-10401"/>
    <x v="134"/>
    <x v="0"/>
    <x v="0"/>
    <s v="Smart Home &amp; IoT"/>
    <x v="8"/>
    <x v="3"/>
    <n v="130"/>
    <n v="1"/>
    <s v="CUST-1143"/>
    <s v="New"/>
    <x v="1"/>
    <s v="Sale"/>
  </r>
  <r>
    <s v="ORD-10402"/>
    <x v="134"/>
    <x v="0"/>
    <x v="0"/>
    <s v="Networking &amp; Security"/>
    <x v="10"/>
    <x v="11"/>
    <n v="110"/>
    <n v="1"/>
    <s v="CUST-2105"/>
    <s v="Existing"/>
    <x v="0"/>
    <s v="Sale"/>
  </r>
  <r>
    <s v="ORD-10403"/>
    <x v="134"/>
    <x v="1"/>
    <x v="0"/>
    <s v="Accessories &amp; Power"/>
    <x v="11"/>
    <x v="4"/>
    <n v="90"/>
    <n v="1"/>
    <s v="CUST-1588"/>
    <s v="New"/>
    <x v="1"/>
    <s v="Sale"/>
  </r>
  <r>
    <s v="ORD-10404"/>
    <x v="135"/>
    <x v="0"/>
    <x v="0"/>
    <s v="Laptops &amp; Computers"/>
    <x v="6"/>
    <x v="10"/>
    <n v="850"/>
    <n v="1"/>
    <s v="CUST-2594"/>
    <s v="New"/>
    <x v="1"/>
    <s v="Sale"/>
  </r>
  <r>
    <s v="ORD-10405"/>
    <x v="135"/>
    <x v="0"/>
    <x v="0"/>
    <s v="Networking &amp; Security"/>
    <x v="7"/>
    <x v="21"/>
    <n v="440"/>
    <n v="2"/>
    <s v="CUST-1228"/>
    <s v="Existing"/>
    <x v="0"/>
    <s v="Sale"/>
  </r>
  <r>
    <s v="ORD-10406"/>
    <x v="136"/>
    <x v="3"/>
    <x v="0"/>
    <s v="Networking &amp; Security"/>
    <x v="10"/>
    <x v="11"/>
    <n v="110"/>
    <n v="1"/>
    <s v="CUST-2626"/>
    <s v="Existing"/>
    <x v="0"/>
    <s v="Sale"/>
  </r>
  <r>
    <s v="ORD-10407"/>
    <x v="136"/>
    <x v="4"/>
    <x v="2"/>
    <s v="Networking &amp; Security"/>
    <x v="7"/>
    <x v="6"/>
    <n v="220"/>
    <n v="1"/>
    <s v="CUST-2889"/>
    <s v="New"/>
    <x v="1"/>
    <s v="Sale"/>
  </r>
  <r>
    <s v="ORD-10408"/>
    <x v="136"/>
    <x v="2"/>
    <x v="0"/>
    <s v="Networking &amp; Security"/>
    <x v="5"/>
    <x v="4"/>
    <n v="90"/>
    <n v="1"/>
    <s v="CUST-2418"/>
    <s v="New"/>
    <x v="1"/>
    <s v="Sale"/>
  </r>
  <r>
    <s v="ORD-10409"/>
    <x v="137"/>
    <x v="3"/>
    <x v="0"/>
    <s v="Smart Home &amp; IoT"/>
    <x v="4"/>
    <x v="24"/>
    <n v="-55"/>
    <n v="-1"/>
    <s v="CUST-2536"/>
    <s v="New"/>
    <x v="1"/>
    <s v="Return"/>
  </r>
  <r>
    <s v="ORD-10410"/>
    <x v="138"/>
    <x v="0"/>
    <x v="0"/>
    <s v="Accessories &amp; Power"/>
    <x v="2"/>
    <x v="35"/>
    <n v="60"/>
    <n v="3"/>
    <s v="CUST-2804"/>
    <s v="Existing"/>
    <x v="0"/>
    <s v="Sale"/>
  </r>
  <r>
    <s v="ORD-10411"/>
    <x v="138"/>
    <x v="4"/>
    <x v="1"/>
    <s v="Accessories &amp; Power"/>
    <x v="2"/>
    <x v="31"/>
    <n v="20"/>
    <n v="1"/>
    <s v="CUST-2821"/>
    <s v="Existing"/>
    <x v="0"/>
    <s v="Sale"/>
  </r>
  <r>
    <s v="ORD-10412"/>
    <x v="139"/>
    <x v="0"/>
    <x v="1"/>
    <s v="Accessories &amp; Power"/>
    <x v="2"/>
    <x v="2"/>
    <n v="40"/>
    <n v="2"/>
    <s v="CUST-2220"/>
    <s v="New"/>
    <x v="1"/>
    <s v="Sale"/>
  </r>
  <r>
    <s v="ORD-10413"/>
    <x v="139"/>
    <x v="4"/>
    <x v="0"/>
    <s v="Accessories &amp; Power"/>
    <x v="2"/>
    <x v="2"/>
    <n v="40"/>
    <n v="2"/>
    <s v="CUST-1273"/>
    <s v="New"/>
    <x v="1"/>
    <s v="Sale"/>
  </r>
  <r>
    <s v="ORD-10414"/>
    <x v="140"/>
    <x v="4"/>
    <x v="0"/>
    <s v="Smart Home &amp; IoT"/>
    <x v="8"/>
    <x v="17"/>
    <n v="260"/>
    <n v="2"/>
    <s v="CUST-1589"/>
    <s v="New"/>
    <x v="1"/>
    <s v="Sale"/>
  </r>
  <r>
    <s v="ORD-10415"/>
    <x v="140"/>
    <x v="2"/>
    <x v="0"/>
    <s v="Accessories &amp; Power"/>
    <x v="11"/>
    <x v="4"/>
    <n v="90"/>
    <n v="1"/>
    <s v="CUST-1652"/>
    <s v="New"/>
    <x v="1"/>
    <s v="Sale"/>
  </r>
  <r>
    <s v="ORD-10416"/>
    <x v="140"/>
    <x v="4"/>
    <x v="1"/>
    <s v="Networking &amp; Security"/>
    <x v="5"/>
    <x v="12"/>
    <n v="270"/>
    <n v="3"/>
    <s v="CUST-2823"/>
    <s v="New"/>
    <x v="1"/>
    <s v="Sale"/>
  </r>
  <r>
    <s v="ORD-10417"/>
    <x v="141"/>
    <x v="5"/>
    <x v="0"/>
    <s v="Networking &amp; Security"/>
    <x v="10"/>
    <x v="11"/>
    <n v="110"/>
    <n v="1"/>
    <s v="CUST-1582"/>
    <s v="Existing"/>
    <x v="0"/>
    <s v="Sale"/>
  </r>
  <r>
    <s v="ORD-10418"/>
    <x v="141"/>
    <x v="0"/>
    <x v="0"/>
    <s v="Networking &amp; Security"/>
    <x v="10"/>
    <x v="25"/>
    <n v="330"/>
    <n v="3"/>
    <s v="CUST-1967"/>
    <s v="New"/>
    <x v="1"/>
    <s v="Sale"/>
  </r>
  <r>
    <s v="ORD-10419"/>
    <x v="142"/>
    <x v="1"/>
    <x v="0"/>
    <s v="Networking &amp; Security"/>
    <x v="7"/>
    <x v="6"/>
    <n v="220"/>
    <n v="1"/>
    <s v="CUST-2585"/>
    <s v="Existing"/>
    <x v="0"/>
    <s v="Sale"/>
  </r>
  <r>
    <s v="ORD-10420"/>
    <x v="142"/>
    <x v="5"/>
    <x v="0"/>
    <s v="Laptops &amp; Computers"/>
    <x v="0"/>
    <x v="0"/>
    <n v="450"/>
    <n v="1"/>
    <s v="CUST-2990"/>
    <s v="New"/>
    <x v="1"/>
    <s v="Sale"/>
  </r>
  <r>
    <s v="ORD-10421"/>
    <x v="142"/>
    <x v="0"/>
    <x v="0"/>
    <s v="Accessories &amp; Power"/>
    <x v="3"/>
    <x v="13"/>
    <n v="65"/>
    <n v="1"/>
    <s v="CUST-1371"/>
    <s v="Existing"/>
    <x v="0"/>
    <s v="Sale"/>
  </r>
  <r>
    <s v="ORD-10422"/>
    <x v="143"/>
    <x v="5"/>
    <x v="2"/>
    <s v="Networking &amp; Security"/>
    <x v="5"/>
    <x v="14"/>
    <n v="180"/>
    <n v="2"/>
    <s v="CUST-2904"/>
    <s v="Existing"/>
    <x v="0"/>
    <s v="Sale"/>
  </r>
  <r>
    <s v="ORD-10423"/>
    <x v="143"/>
    <x v="4"/>
    <x v="0"/>
    <s v="Laptops &amp; Computers"/>
    <x v="0"/>
    <x v="0"/>
    <n v="450"/>
    <n v="1"/>
    <s v="CUST-2103"/>
    <s v="Existing"/>
    <x v="0"/>
    <s v="Sale"/>
  </r>
  <r>
    <s v="ORD-10424"/>
    <x v="143"/>
    <x v="0"/>
    <x v="2"/>
    <s v="Networking &amp; Security"/>
    <x v="5"/>
    <x v="4"/>
    <n v="90"/>
    <n v="1"/>
    <s v="CUST-2258"/>
    <s v="Existing"/>
    <x v="0"/>
    <s v="Sale"/>
  </r>
  <r>
    <s v="ORD-10425"/>
    <x v="144"/>
    <x v="2"/>
    <x v="0"/>
    <s v="Laptops &amp; Computers"/>
    <x v="6"/>
    <x v="10"/>
    <n v="850"/>
    <n v="1"/>
    <s v="CUST-2310"/>
    <s v="Existing"/>
    <x v="0"/>
    <s v="Sale"/>
  </r>
  <r>
    <s v="ORD-10426"/>
    <x v="145"/>
    <x v="4"/>
    <x v="0"/>
    <s v="Laptops &amp; Computers"/>
    <x v="9"/>
    <x v="37"/>
    <n v="1800"/>
    <n v="3"/>
    <s v="CUST-1818"/>
    <s v="New"/>
    <x v="1"/>
    <s v="Sale"/>
  </r>
  <r>
    <s v="ORD-10427"/>
    <x v="145"/>
    <x v="4"/>
    <x v="1"/>
    <s v="Laptops &amp; Computers"/>
    <x v="6"/>
    <x v="5"/>
    <n v="1700"/>
    <n v="2"/>
    <s v="CUST-2690"/>
    <s v="Existing"/>
    <x v="0"/>
    <s v="Sale"/>
  </r>
  <r>
    <s v="ORD-10428"/>
    <x v="146"/>
    <x v="4"/>
    <x v="0"/>
    <s v="Networking &amp; Security"/>
    <x v="10"/>
    <x v="11"/>
    <n v="110"/>
    <n v="1"/>
    <s v="CUST-1571"/>
    <s v="Existing"/>
    <x v="0"/>
    <s v="Sale"/>
  </r>
  <r>
    <s v="ORD-10429"/>
    <x v="146"/>
    <x v="5"/>
    <x v="1"/>
    <s v="Networking &amp; Security"/>
    <x v="10"/>
    <x v="26"/>
    <n v="220"/>
    <n v="2"/>
    <s v="CUST-1544"/>
    <s v="New"/>
    <x v="1"/>
    <s v="Sale"/>
  </r>
  <r>
    <s v="ORD-10430"/>
    <x v="146"/>
    <x v="4"/>
    <x v="2"/>
    <s v="Accessories &amp; Power"/>
    <x v="3"/>
    <x v="13"/>
    <n v="65"/>
    <n v="1"/>
    <s v="CUST-2460"/>
    <s v="Existing"/>
    <x v="0"/>
    <s v="Sale"/>
  </r>
  <r>
    <s v="ORD-10431"/>
    <x v="147"/>
    <x v="2"/>
    <x v="0"/>
    <s v="Smart Home &amp; IoT"/>
    <x v="1"/>
    <x v="27"/>
    <n v="70"/>
    <n v="1"/>
    <s v="CUST-1126"/>
    <s v="New"/>
    <x v="1"/>
    <s v="Sale"/>
  </r>
  <r>
    <s v="ORD-10432"/>
    <x v="147"/>
    <x v="0"/>
    <x v="1"/>
    <s v="Networking &amp; Security"/>
    <x v="7"/>
    <x v="18"/>
    <n v="660"/>
    <n v="3"/>
    <s v="CUST-1732"/>
    <s v="Existing"/>
    <x v="0"/>
    <s v="Sale"/>
  </r>
  <r>
    <s v="ORD-10433"/>
    <x v="147"/>
    <x v="1"/>
    <x v="0"/>
    <s v="Networking &amp; Security"/>
    <x v="5"/>
    <x v="4"/>
    <n v="90"/>
    <n v="1"/>
    <s v="CUST-2735"/>
    <s v="New"/>
    <x v="1"/>
    <s v="Sale"/>
  </r>
  <r>
    <s v="ORD-10434"/>
    <x v="148"/>
    <x v="2"/>
    <x v="1"/>
    <s v="Networking &amp; Security"/>
    <x v="5"/>
    <x v="4"/>
    <n v="90"/>
    <n v="1"/>
    <s v="CUST-1416"/>
    <s v="New"/>
    <x v="1"/>
    <s v="Sale"/>
  </r>
  <r>
    <s v="ORD-10435"/>
    <x v="148"/>
    <x v="0"/>
    <x v="0"/>
    <s v="Accessories &amp; Power"/>
    <x v="3"/>
    <x v="13"/>
    <n v="65"/>
    <n v="1"/>
    <s v="CUST-1637"/>
    <s v="Existing"/>
    <x v="0"/>
    <s v="Sale"/>
  </r>
  <r>
    <s v="ORD-10436"/>
    <x v="149"/>
    <x v="5"/>
    <x v="1"/>
    <s v="Laptops &amp; Computers"/>
    <x v="0"/>
    <x v="0"/>
    <n v="450"/>
    <n v="1"/>
    <s v="CUST-1040"/>
    <s v="New"/>
    <x v="1"/>
    <s v="Sale"/>
  </r>
  <r>
    <s v="ORD-10437"/>
    <x v="150"/>
    <x v="2"/>
    <x v="0"/>
    <s v="Laptops &amp; Computers"/>
    <x v="0"/>
    <x v="0"/>
    <n v="450"/>
    <n v="1"/>
    <s v="CUST-1786"/>
    <s v="New"/>
    <x v="1"/>
    <s v="Sale"/>
  </r>
  <r>
    <s v="ORD-10438"/>
    <x v="150"/>
    <x v="0"/>
    <x v="2"/>
    <s v="Accessories &amp; Power"/>
    <x v="3"/>
    <x v="13"/>
    <n v="65"/>
    <n v="1"/>
    <s v="CUST-2492"/>
    <s v="Existing"/>
    <x v="0"/>
    <s v="Sale"/>
  </r>
  <r>
    <s v="ORD-10439"/>
    <x v="150"/>
    <x v="5"/>
    <x v="2"/>
    <s v="Networking &amp; Security"/>
    <x v="10"/>
    <x v="11"/>
    <n v="110"/>
    <n v="1"/>
    <s v="CUST-1296"/>
    <s v="Existing"/>
    <x v="0"/>
    <s v="Sale"/>
  </r>
  <r>
    <s v="ORD-10440"/>
    <x v="151"/>
    <x v="2"/>
    <x v="1"/>
    <s v="Laptops &amp; Computers"/>
    <x v="0"/>
    <x v="0"/>
    <n v="450"/>
    <n v="1"/>
    <s v="CUST-2620"/>
    <s v="Existing"/>
    <x v="0"/>
    <s v="Sale"/>
  </r>
  <r>
    <s v="ORD-10441"/>
    <x v="151"/>
    <x v="1"/>
    <x v="1"/>
    <s v="Laptops &amp; Computers"/>
    <x v="6"/>
    <x v="50"/>
    <n v="-850"/>
    <n v="-1"/>
    <s v="CUST-2624"/>
    <s v="Existing"/>
    <x v="0"/>
    <s v="Return"/>
  </r>
  <r>
    <s v="ORD-10442"/>
    <x v="151"/>
    <x v="0"/>
    <x v="1"/>
    <s v="Accessories &amp; Power"/>
    <x v="3"/>
    <x v="13"/>
    <n v="65"/>
    <n v="1"/>
    <s v="CUST-1041"/>
    <s v="New"/>
    <x v="1"/>
    <s v="Sale"/>
  </r>
  <r>
    <s v="ORD-10443"/>
    <x v="151"/>
    <x v="0"/>
    <x v="1"/>
    <s v="Accessories &amp; Power"/>
    <x v="2"/>
    <x v="31"/>
    <n v="20"/>
    <n v="1"/>
    <s v="CUST-1631"/>
    <s v="New"/>
    <x v="1"/>
    <s v="Sale"/>
  </r>
  <r>
    <s v="ORD-10444"/>
    <x v="151"/>
    <x v="1"/>
    <x v="0"/>
    <s v="Smart Home &amp; IoT"/>
    <x v="4"/>
    <x v="11"/>
    <n v="110"/>
    <n v="2"/>
    <s v="CUST-2302"/>
    <s v="Existing"/>
    <x v="0"/>
    <s v="Sale"/>
  </r>
  <r>
    <s v="ORD-10445"/>
    <x v="151"/>
    <x v="4"/>
    <x v="0"/>
    <s v="Networking &amp; Security"/>
    <x v="5"/>
    <x v="4"/>
    <n v="90"/>
    <n v="1"/>
    <s v="CUST-2482"/>
    <s v="New"/>
    <x v="1"/>
    <s v="Sale"/>
  </r>
  <r>
    <s v="ORD-10446"/>
    <x v="152"/>
    <x v="0"/>
    <x v="0"/>
    <s v="Networking &amp; Security"/>
    <x v="5"/>
    <x v="14"/>
    <n v="180"/>
    <n v="2"/>
    <s v="CUST-1032"/>
    <s v="New"/>
    <x v="1"/>
    <s v="Sale"/>
  </r>
  <r>
    <s v="ORD-10447"/>
    <x v="153"/>
    <x v="5"/>
    <x v="0"/>
    <s v="Accessories &amp; Power"/>
    <x v="3"/>
    <x v="3"/>
    <n v="130"/>
    <n v="2"/>
    <s v="CUST-2299"/>
    <s v="New"/>
    <x v="1"/>
    <s v="Sale"/>
  </r>
  <r>
    <s v="ORD-10448"/>
    <x v="153"/>
    <x v="0"/>
    <x v="0"/>
    <s v="Accessories &amp; Power"/>
    <x v="2"/>
    <x v="2"/>
    <n v="40"/>
    <n v="2"/>
    <s v="CUST-1664"/>
    <s v="New"/>
    <x v="1"/>
    <s v="Sale"/>
  </r>
  <r>
    <s v="ORD-10449"/>
    <x v="154"/>
    <x v="1"/>
    <x v="2"/>
    <s v="Laptops &amp; Computers"/>
    <x v="6"/>
    <x v="10"/>
    <n v="850"/>
    <n v="1"/>
    <s v="CUST-2113"/>
    <s v="New"/>
    <x v="1"/>
    <s v="Sale"/>
  </r>
  <r>
    <s v="ORD-10450"/>
    <x v="154"/>
    <x v="3"/>
    <x v="0"/>
    <s v="Accessories &amp; Power"/>
    <x v="11"/>
    <x v="4"/>
    <n v="90"/>
    <n v="1"/>
    <s v="CUST-1615"/>
    <s v="New"/>
    <x v="1"/>
    <s v="Sale"/>
  </r>
  <r>
    <s v="ORD-10451"/>
    <x v="154"/>
    <x v="2"/>
    <x v="2"/>
    <s v="Laptops &amp; Computers"/>
    <x v="6"/>
    <x v="10"/>
    <n v="850"/>
    <n v="1"/>
    <s v="CUST-1947"/>
    <s v="Existing"/>
    <x v="0"/>
    <s v="Sale"/>
  </r>
  <r>
    <s v="ORD-10452"/>
    <x v="155"/>
    <x v="0"/>
    <x v="0"/>
    <s v="Laptops &amp; Computers"/>
    <x v="9"/>
    <x v="9"/>
    <n v="1200"/>
    <n v="2"/>
    <s v="CUST-2547"/>
    <s v="Existing"/>
    <x v="0"/>
    <s v="Sale"/>
  </r>
  <r>
    <s v="ORD-10453"/>
    <x v="156"/>
    <x v="1"/>
    <x v="0"/>
    <s v="Smart Home &amp; IoT"/>
    <x v="4"/>
    <x v="2"/>
    <n v="55"/>
    <n v="1"/>
    <s v="CUST-1159"/>
    <s v="New"/>
    <x v="1"/>
    <s v="Sale"/>
  </r>
  <r>
    <s v="ORD-10454"/>
    <x v="156"/>
    <x v="0"/>
    <x v="2"/>
    <s v="Networking &amp; Security"/>
    <x v="7"/>
    <x v="21"/>
    <n v="440"/>
    <n v="2"/>
    <s v="CUST-2952"/>
    <s v="New"/>
    <x v="1"/>
    <s v="Sale"/>
  </r>
  <r>
    <s v="ORD-10455"/>
    <x v="156"/>
    <x v="1"/>
    <x v="2"/>
    <s v="Accessories &amp; Power"/>
    <x v="11"/>
    <x v="12"/>
    <n v="270"/>
    <n v="3"/>
    <s v="CUST-1457"/>
    <s v="Existing"/>
    <x v="0"/>
    <s v="Sale"/>
  </r>
  <r>
    <s v="ORD-10456"/>
    <x v="156"/>
    <x v="2"/>
    <x v="2"/>
    <s v="Laptops &amp; Computers"/>
    <x v="6"/>
    <x v="10"/>
    <n v="850"/>
    <n v="1"/>
    <s v="CUST-2731"/>
    <s v="New"/>
    <x v="1"/>
    <s v="Sale"/>
  </r>
  <r>
    <s v="ORD-10457"/>
    <x v="157"/>
    <x v="0"/>
    <x v="2"/>
    <s v="Networking &amp; Security"/>
    <x v="5"/>
    <x v="4"/>
    <n v="90"/>
    <n v="1"/>
    <s v="CUST-1398"/>
    <s v="New"/>
    <x v="1"/>
    <s v="Sale"/>
  </r>
  <r>
    <s v="ORD-10458"/>
    <x v="157"/>
    <x v="0"/>
    <x v="0"/>
    <s v="Accessories &amp; Power"/>
    <x v="3"/>
    <x v="3"/>
    <n v="130"/>
    <n v="2"/>
    <s v="CUST-2842"/>
    <s v="New"/>
    <x v="1"/>
    <s v="Sale"/>
  </r>
  <r>
    <s v="ORD-10459"/>
    <x v="158"/>
    <x v="1"/>
    <x v="2"/>
    <s v="Accessories &amp; Power"/>
    <x v="11"/>
    <x v="4"/>
    <n v="90"/>
    <n v="1"/>
    <s v="CUST-2797"/>
    <s v="Existing"/>
    <x v="0"/>
    <s v="Sale"/>
  </r>
  <r>
    <s v="ORD-10460"/>
    <x v="158"/>
    <x v="4"/>
    <x v="0"/>
    <s v="Laptops &amp; Computers"/>
    <x v="0"/>
    <x v="0"/>
    <n v="450"/>
    <n v="1"/>
    <s v="CUST-2114"/>
    <s v="New"/>
    <x v="1"/>
    <s v="Sale"/>
  </r>
  <r>
    <s v="ORD-10461"/>
    <x v="158"/>
    <x v="4"/>
    <x v="0"/>
    <s v="Networking &amp; Security"/>
    <x v="10"/>
    <x v="25"/>
    <n v="330"/>
    <n v="3"/>
    <s v="CUST-2732"/>
    <s v="New"/>
    <x v="1"/>
    <s v="Sale"/>
  </r>
  <r>
    <s v="ORD-10462"/>
    <x v="159"/>
    <x v="0"/>
    <x v="0"/>
    <s v="Smart Home &amp; IoT"/>
    <x v="4"/>
    <x v="2"/>
    <n v="55"/>
    <n v="1"/>
    <s v="CUST-1580"/>
    <s v="New"/>
    <x v="1"/>
    <s v="Sale"/>
  </r>
  <r>
    <s v="ORD-10463"/>
    <x v="159"/>
    <x v="2"/>
    <x v="0"/>
    <s v="Laptops &amp; Computers"/>
    <x v="0"/>
    <x v="40"/>
    <n v="1350"/>
    <n v="3"/>
    <s v="CUST-2489"/>
    <s v="New"/>
    <x v="1"/>
    <s v="Sale"/>
  </r>
  <r>
    <s v="ORD-10464"/>
    <x v="159"/>
    <x v="1"/>
    <x v="0"/>
    <s v="Accessories &amp; Power"/>
    <x v="2"/>
    <x v="2"/>
    <n v="40"/>
    <n v="2"/>
    <s v="CUST-1219"/>
    <s v="New"/>
    <x v="1"/>
    <s v="Sale"/>
  </r>
  <r>
    <s v="ORD-10465"/>
    <x v="160"/>
    <x v="1"/>
    <x v="1"/>
    <s v="Accessories &amp; Power"/>
    <x v="3"/>
    <x v="3"/>
    <n v="130"/>
    <n v="2"/>
    <s v="CUST-2442"/>
    <s v="New"/>
    <x v="1"/>
    <s v="Sale"/>
  </r>
  <r>
    <s v="ORD-10466"/>
    <x v="160"/>
    <x v="2"/>
    <x v="1"/>
    <s v="Laptops &amp; Computers"/>
    <x v="9"/>
    <x v="15"/>
    <n v="600"/>
    <n v="1"/>
    <s v="CUST-1378"/>
    <s v="New"/>
    <x v="1"/>
    <s v="Sale"/>
  </r>
  <r>
    <s v="ORD-10467"/>
    <x v="161"/>
    <x v="4"/>
    <x v="0"/>
    <s v="Laptops &amp; Computers"/>
    <x v="6"/>
    <x v="10"/>
    <n v="850"/>
    <n v="1"/>
    <s v="CUST-2749"/>
    <s v="New"/>
    <x v="1"/>
    <s v="Sale"/>
  </r>
  <r>
    <s v="ORD-10468"/>
    <x v="161"/>
    <x v="4"/>
    <x v="0"/>
    <s v="Laptops &amp; Computers"/>
    <x v="0"/>
    <x v="0"/>
    <n v="450"/>
    <n v="1"/>
    <s v="CUST-1929"/>
    <s v="Existing"/>
    <x v="0"/>
    <s v="Sale"/>
  </r>
  <r>
    <s v="ORD-10469"/>
    <x v="162"/>
    <x v="5"/>
    <x v="0"/>
    <s v="Accessories &amp; Power"/>
    <x v="11"/>
    <x v="4"/>
    <n v="90"/>
    <n v="1"/>
    <s v="CUST-2470"/>
    <s v="New"/>
    <x v="1"/>
    <s v="Sale"/>
  </r>
  <r>
    <s v="ORD-10470"/>
    <x v="162"/>
    <x v="1"/>
    <x v="0"/>
    <s v="Laptops &amp; Computers"/>
    <x v="0"/>
    <x v="0"/>
    <n v="450"/>
    <n v="1"/>
    <s v="CUST-1963"/>
    <s v="New"/>
    <x v="1"/>
    <s v="Sale"/>
  </r>
  <r>
    <s v="ORD-10471"/>
    <x v="162"/>
    <x v="2"/>
    <x v="1"/>
    <s v="Networking &amp; Security"/>
    <x v="7"/>
    <x v="6"/>
    <n v="220"/>
    <n v="1"/>
    <s v="CUST-2169"/>
    <s v="New"/>
    <x v="1"/>
    <s v="Sale"/>
  </r>
  <r>
    <s v="ORD-10472"/>
    <x v="162"/>
    <x v="0"/>
    <x v="0"/>
    <s v="Networking &amp; Security"/>
    <x v="10"/>
    <x v="11"/>
    <n v="110"/>
    <n v="1"/>
    <s v="CUST-1232"/>
    <s v="New"/>
    <x v="1"/>
    <s v="Sale"/>
  </r>
  <r>
    <s v="ORD-10473"/>
    <x v="163"/>
    <x v="5"/>
    <x v="2"/>
    <s v="Smart Home &amp; IoT"/>
    <x v="4"/>
    <x v="2"/>
    <n v="55"/>
    <n v="1"/>
    <s v="CUST-2394"/>
    <s v="Existing"/>
    <x v="0"/>
    <s v="Sale"/>
  </r>
  <r>
    <s v="ORD-10474"/>
    <x v="163"/>
    <x v="1"/>
    <x v="0"/>
    <s v="Laptops &amp; Computers"/>
    <x v="0"/>
    <x v="19"/>
    <n v="900"/>
    <n v="2"/>
    <s v="CUST-1921"/>
    <s v="Existing"/>
    <x v="0"/>
    <s v="Sale"/>
  </r>
  <r>
    <s v="ORD-10475"/>
    <x v="163"/>
    <x v="2"/>
    <x v="1"/>
    <s v="Laptops &amp; Computers"/>
    <x v="0"/>
    <x v="0"/>
    <n v="450"/>
    <n v="1"/>
    <s v="CUST-1233"/>
    <s v="New"/>
    <x v="1"/>
    <s v="Sale"/>
  </r>
  <r>
    <s v="ORD-10476"/>
    <x v="164"/>
    <x v="0"/>
    <x v="0"/>
    <s v="Accessories &amp; Power"/>
    <x v="11"/>
    <x v="4"/>
    <n v="90"/>
    <n v="1"/>
    <s v="CUST-1725"/>
    <s v="Existing"/>
    <x v="0"/>
    <s v="Sale"/>
  </r>
  <r>
    <s v="ORD-10477"/>
    <x v="164"/>
    <x v="0"/>
    <x v="2"/>
    <s v="Accessories &amp; Power"/>
    <x v="2"/>
    <x v="2"/>
    <n v="40"/>
    <n v="2"/>
    <s v="CUST-1366"/>
    <s v="New"/>
    <x v="1"/>
    <s v="Sale"/>
  </r>
  <r>
    <s v="ORD-10478"/>
    <x v="164"/>
    <x v="4"/>
    <x v="0"/>
    <s v="Accessories &amp; Power"/>
    <x v="3"/>
    <x v="17"/>
    <n v="260"/>
    <n v="4"/>
    <s v="CUST-1480"/>
    <s v="Existing"/>
    <x v="0"/>
    <s v="Sale"/>
  </r>
  <r>
    <s v="ORD-10479"/>
    <x v="164"/>
    <x v="0"/>
    <x v="2"/>
    <s v="Laptops &amp; Computers"/>
    <x v="6"/>
    <x v="10"/>
    <n v="850"/>
    <n v="1"/>
    <s v="CUST-2596"/>
    <s v="New"/>
    <x v="1"/>
    <s v="Sale"/>
  </r>
  <r>
    <s v="ORD-10480"/>
    <x v="165"/>
    <x v="5"/>
    <x v="0"/>
    <s v="Networking &amp; Security"/>
    <x v="5"/>
    <x v="29"/>
    <n v="-90"/>
    <n v="-1"/>
    <s v="CUST-2386"/>
    <s v="New"/>
    <x v="1"/>
    <s v="Return"/>
  </r>
  <r>
    <s v="ORD-10481"/>
    <x v="165"/>
    <x v="0"/>
    <x v="0"/>
    <s v="Smart Home &amp; IoT"/>
    <x v="8"/>
    <x v="22"/>
    <n v="-130"/>
    <n v="-1"/>
    <s v="CUST-1589"/>
    <s v="New"/>
    <x v="1"/>
    <s v="Return"/>
  </r>
  <r>
    <s v="ORD-10482"/>
    <x v="165"/>
    <x v="0"/>
    <x v="1"/>
    <s v="Laptops &amp; Computers"/>
    <x v="9"/>
    <x v="37"/>
    <n v="1800"/>
    <n v="3"/>
    <s v="CUST-2534"/>
    <s v="Existing"/>
    <x v="0"/>
    <s v="Sale"/>
  </r>
  <r>
    <s v="ORD-10483"/>
    <x v="166"/>
    <x v="0"/>
    <x v="1"/>
    <s v="Accessories &amp; Power"/>
    <x v="2"/>
    <x v="2"/>
    <n v="40"/>
    <n v="2"/>
    <s v="CUST-2118"/>
    <s v="New"/>
    <x v="1"/>
    <s v="Sale"/>
  </r>
  <r>
    <s v="ORD-10484"/>
    <x v="166"/>
    <x v="0"/>
    <x v="1"/>
    <s v="Smart Home &amp; IoT"/>
    <x v="1"/>
    <x v="1"/>
    <n v="140"/>
    <n v="2"/>
    <s v="CUST-2865"/>
    <s v="Existing"/>
    <x v="0"/>
    <s v="Sale"/>
  </r>
  <r>
    <s v="ORD-10485"/>
    <x v="166"/>
    <x v="3"/>
    <x v="2"/>
    <s v="Laptops &amp; Computers"/>
    <x v="0"/>
    <x v="0"/>
    <n v="450"/>
    <n v="1"/>
    <s v="CUST-1215"/>
    <s v="Existing"/>
    <x v="0"/>
    <s v="Sale"/>
  </r>
  <r>
    <s v="ORD-10486"/>
    <x v="167"/>
    <x v="0"/>
    <x v="1"/>
    <s v="Accessories &amp; Power"/>
    <x v="11"/>
    <x v="4"/>
    <n v="90"/>
    <n v="1"/>
    <s v="CUST-1724"/>
    <s v="New"/>
    <x v="1"/>
    <s v="Sale"/>
  </r>
  <r>
    <s v="ORD-10487"/>
    <x v="167"/>
    <x v="4"/>
    <x v="0"/>
    <s v="Accessories &amp; Power"/>
    <x v="11"/>
    <x v="4"/>
    <n v="90"/>
    <n v="1"/>
    <s v="CUST-2839"/>
    <s v="New"/>
    <x v="1"/>
    <s v="Sale"/>
  </r>
  <r>
    <s v="ORD-10488"/>
    <x v="168"/>
    <x v="5"/>
    <x v="0"/>
    <s v="Laptops &amp; Computers"/>
    <x v="0"/>
    <x v="19"/>
    <n v="900"/>
    <n v="2"/>
    <s v="CUST-1711"/>
    <s v="New"/>
    <x v="1"/>
    <s v="Sale"/>
  </r>
  <r>
    <s v="ORD-10489"/>
    <x v="168"/>
    <x v="1"/>
    <x v="0"/>
    <s v="Networking &amp; Security"/>
    <x v="7"/>
    <x v="21"/>
    <n v="440"/>
    <n v="2"/>
    <s v="CUST-2887"/>
    <s v="Existing"/>
    <x v="0"/>
    <s v="Sale"/>
  </r>
  <r>
    <s v="ORD-10490"/>
    <x v="168"/>
    <x v="5"/>
    <x v="2"/>
    <s v="Networking &amp; Security"/>
    <x v="7"/>
    <x v="30"/>
    <n v="880"/>
    <n v="4"/>
    <s v="CUST-2566"/>
    <s v="New"/>
    <x v="1"/>
    <s v="Sale"/>
  </r>
  <r>
    <s v="ORD-10491"/>
    <x v="169"/>
    <x v="5"/>
    <x v="0"/>
    <s v="Networking &amp; Security"/>
    <x v="5"/>
    <x v="4"/>
    <n v="90"/>
    <n v="1"/>
    <s v="CUST-2825"/>
    <s v="New"/>
    <x v="1"/>
    <s v="Sale"/>
  </r>
  <r>
    <s v="ORD-10492"/>
    <x v="169"/>
    <x v="2"/>
    <x v="0"/>
    <s v="Laptops &amp; Computers"/>
    <x v="6"/>
    <x v="10"/>
    <n v="850"/>
    <n v="1"/>
    <s v="CUST-2878"/>
    <s v="Existing"/>
    <x v="0"/>
    <s v="Sale"/>
  </r>
  <r>
    <s v="ORD-10493"/>
    <x v="170"/>
    <x v="0"/>
    <x v="2"/>
    <s v="Smart Home &amp; IoT"/>
    <x v="1"/>
    <x v="27"/>
    <n v="70"/>
    <n v="1"/>
    <s v="CUST-1984"/>
    <s v="Existing"/>
    <x v="0"/>
    <s v="Sale"/>
  </r>
  <r>
    <s v="ORD-10494"/>
    <x v="171"/>
    <x v="1"/>
    <x v="1"/>
    <s v="Accessories &amp; Power"/>
    <x v="2"/>
    <x v="2"/>
    <n v="40"/>
    <n v="2"/>
    <s v="CUST-2158"/>
    <s v="New"/>
    <x v="1"/>
    <s v="Sale"/>
  </r>
  <r>
    <s v="ORD-10495"/>
    <x v="171"/>
    <x v="3"/>
    <x v="0"/>
    <s v="Networking &amp; Security"/>
    <x v="5"/>
    <x v="14"/>
    <n v="180"/>
    <n v="2"/>
    <s v="CUST-2106"/>
    <s v="New"/>
    <x v="1"/>
    <s v="Sale"/>
  </r>
  <r>
    <s v="ORD-10496"/>
    <x v="172"/>
    <x v="4"/>
    <x v="0"/>
    <s v="Laptops &amp; Computers"/>
    <x v="9"/>
    <x v="15"/>
    <n v="600"/>
    <n v="1"/>
    <s v="CUST-1390"/>
    <s v="New"/>
    <x v="1"/>
    <s v="Sale"/>
  </r>
  <r>
    <s v="ORD-10497"/>
    <x v="172"/>
    <x v="3"/>
    <x v="0"/>
    <s v="Smart Home &amp; IoT"/>
    <x v="1"/>
    <x v="27"/>
    <n v="70"/>
    <n v="1"/>
    <s v="CUST-2070"/>
    <s v="Existing"/>
    <x v="0"/>
    <s v="Sale"/>
  </r>
  <r>
    <s v="ORD-10498"/>
    <x v="172"/>
    <x v="1"/>
    <x v="0"/>
    <s v="Networking &amp; Security"/>
    <x v="10"/>
    <x v="11"/>
    <n v="110"/>
    <n v="1"/>
    <s v="CUST-1391"/>
    <s v="New"/>
    <x v="1"/>
    <s v="Sale"/>
  </r>
  <r>
    <s v="ORD-10499"/>
    <x v="172"/>
    <x v="2"/>
    <x v="0"/>
    <s v="Accessories &amp; Power"/>
    <x v="2"/>
    <x v="53"/>
    <n v="-20"/>
    <n v="-1"/>
    <s v="CUST-1717"/>
    <s v="New"/>
    <x v="1"/>
    <s v="Return"/>
  </r>
  <r>
    <s v="ORD-10500"/>
    <x v="172"/>
    <x v="1"/>
    <x v="2"/>
    <s v="Networking &amp; Security"/>
    <x v="7"/>
    <x v="18"/>
    <n v="660"/>
    <n v="3"/>
    <s v="CUST-1384"/>
    <s v="New"/>
    <x v="1"/>
    <s v="Sale"/>
  </r>
  <r>
    <s v="ORD-10501"/>
    <x v="173"/>
    <x v="1"/>
    <x v="2"/>
    <s v="Laptops &amp; Computers"/>
    <x v="6"/>
    <x v="10"/>
    <n v="850"/>
    <n v="1"/>
    <s v="CUST-1380"/>
    <s v="New"/>
    <x v="1"/>
    <s v="Sale"/>
  </r>
  <r>
    <s v="ORD-10502"/>
    <x v="173"/>
    <x v="0"/>
    <x v="2"/>
    <s v="Laptops &amp; Computers"/>
    <x v="0"/>
    <x v="19"/>
    <n v="900"/>
    <n v="2"/>
    <s v="CUST-2100"/>
    <s v="New"/>
    <x v="1"/>
    <s v="Sale"/>
  </r>
  <r>
    <s v="ORD-10503"/>
    <x v="173"/>
    <x v="5"/>
    <x v="0"/>
    <s v="Accessories &amp; Power"/>
    <x v="3"/>
    <x v="36"/>
    <n v="-65"/>
    <n v="-1"/>
    <s v="CUST-2282"/>
    <s v="New"/>
    <x v="1"/>
    <s v="Return"/>
  </r>
  <r>
    <s v="ORD-10504"/>
    <x v="173"/>
    <x v="0"/>
    <x v="1"/>
    <s v="Laptops &amp; Computers"/>
    <x v="6"/>
    <x v="5"/>
    <n v="1700"/>
    <n v="2"/>
    <s v="CUST-2972"/>
    <s v="Existing"/>
    <x v="0"/>
    <s v="Sale"/>
  </r>
  <r>
    <s v="ORD-10505"/>
    <x v="173"/>
    <x v="1"/>
    <x v="0"/>
    <s v="Accessories &amp; Power"/>
    <x v="11"/>
    <x v="4"/>
    <n v="90"/>
    <n v="1"/>
    <s v="CUST-1603"/>
    <s v="Existing"/>
    <x v="0"/>
    <s v="Sale"/>
  </r>
  <r>
    <s v="ORD-10506"/>
    <x v="173"/>
    <x v="3"/>
    <x v="0"/>
    <s v="Laptops &amp; Computers"/>
    <x v="9"/>
    <x v="9"/>
    <n v="1200"/>
    <n v="2"/>
    <s v="CUST-1933"/>
    <s v="New"/>
    <x v="1"/>
    <s v="Sale"/>
  </r>
  <r>
    <s v="ORD-10507"/>
    <x v="174"/>
    <x v="0"/>
    <x v="1"/>
    <s v="Networking &amp; Security"/>
    <x v="7"/>
    <x v="28"/>
    <n v="-220"/>
    <n v="-1"/>
    <s v="CUST-2970"/>
    <s v="New"/>
    <x v="1"/>
    <s v="Return"/>
  </r>
  <r>
    <s v="ORD-10508"/>
    <x v="174"/>
    <x v="0"/>
    <x v="0"/>
    <s v="Networking &amp; Security"/>
    <x v="7"/>
    <x v="6"/>
    <n v="220"/>
    <n v="1"/>
    <s v="CUST-1398"/>
    <s v="Existing"/>
    <x v="0"/>
    <s v="Sale"/>
  </r>
  <r>
    <s v="ORD-10509"/>
    <x v="174"/>
    <x v="0"/>
    <x v="0"/>
    <s v="Accessories &amp; Power"/>
    <x v="11"/>
    <x v="4"/>
    <n v="90"/>
    <n v="1"/>
    <s v="CUST-1099"/>
    <s v="New"/>
    <x v="1"/>
    <s v="Sale"/>
  </r>
  <r>
    <s v="ORD-10510"/>
    <x v="174"/>
    <x v="4"/>
    <x v="1"/>
    <s v="Accessories &amp; Power"/>
    <x v="11"/>
    <x v="4"/>
    <n v="90"/>
    <n v="1"/>
    <s v="CUST-2524"/>
    <s v="New"/>
    <x v="1"/>
    <s v="Sale"/>
  </r>
  <r>
    <s v="ORD-10511"/>
    <x v="174"/>
    <x v="5"/>
    <x v="0"/>
    <s v="Laptops &amp; Computers"/>
    <x v="0"/>
    <x v="0"/>
    <n v="450"/>
    <n v="1"/>
    <s v="CUST-1382"/>
    <s v="New"/>
    <x v="1"/>
    <s v="Sale"/>
  </r>
  <r>
    <s v="ORD-10512"/>
    <x v="175"/>
    <x v="1"/>
    <x v="2"/>
    <s v="Networking &amp; Security"/>
    <x v="5"/>
    <x v="4"/>
    <n v="90"/>
    <n v="1"/>
    <s v="CUST-1706"/>
    <s v="New"/>
    <x v="1"/>
    <s v="Sale"/>
  </r>
  <r>
    <s v="ORD-10513"/>
    <x v="175"/>
    <x v="3"/>
    <x v="0"/>
    <s v="Laptops &amp; Computers"/>
    <x v="9"/>
    <x v="43"/>
    <n v="2400"/>
    <n v="4"/>
    <s v="CUST-2215"/>
    <s v="New"/>
    <x v="1"/>
    <s v="Sale"/>
  </r>
  <r>
    <s v="ORD-10514"/>
    <x v="175"/>
    <x v="3"/>
    <x v="2"/>
    <s v="Networking &amp; Security"/>
    <x v="10"/>
    <x v="11"/>
    <n v="110"/>
    <n v="1"/>
    <s v="CUST-2603"/>
    <s v="New"/>
    <x v="1"/>
    <s v="Sale"/>
  </r>
  <r>
    <s v="ORD-10515"/>
    <x v="176"/>
    <x v="1"/>
    <x v="0"/>
    <s v="Networking &amp; Security"/>
    <x v="5"/>
    <x v="14"/>
    <n v="180"/>
    <n v="2"/>
    <s v="CUST-2924"/>
    <s v="New"/>
    <x v="1"/>
    <s v="Sale"/>
  </r>
  <r>
    <s v="ORD-10516"/>
    <x v="176"/>
    <x v="2"/>
    <x v="0"/>
    <s v="Accessories &amp; Power"/>
    <x v="11"/>
    <x v="54"/>
    <n v="450"/>
    <n v="5"/>
    <s v="CUST-2777"/>
    <s v="Existing"/>
    <x v="0"/>
    <s v="Sale"/>
  </r>
  <r>
    <s v="ORD-10517"/>
    <x v="176"/>
    <x v="2"/>
    <x v="2"/>
    <s v="Accessories &amp; Power"/>
    <x v="11"/>
    <x v="29"/>
    <n v="-90"/>
    <n v="-1"/>
    <s v="CUST-2625"/>
    <s v="New"/>
    <x v="1"/>
    <s v="Return"/>
  </r>
  <r>
    <s v="ORD-10518"/>
    <x v="176"/>
    <x v="2"/>
    <x v="0"/>
    <s v="Networking &amp; Security"/>
    <x v="10"/>
    <x v="26"/>
    <n v="220"/>
    <n v="2"/>
    <s v="CUST-2368"/>
    <s v="New"/>
    <x v="1"/>
    <s v="Sale"/>
  </r>
  <r>
    <s v="ORD-10519"/>
    <x v="176"/>
    <x v="0"/>
    <x v="0"/>
    <s v="Networking &amp; Security"/>
    <x v="5"/>
    <x v="4"/>
    <n v="90"/>
    <n v="1"/>
    <s v="CUST-1009"/>
    <s v="Existing"/>
    <x v="0"/>
    <s v="Sale"/>
  </r>
  <r>
    <s v="ORD-10520"/>
    <x v="177"/>
    <x v="3"/>
    <x v="0"/>
    <s v="Accessories &amp; Power"/>
    <x v="11"/>
    <x v="4"/>
    <n v="90"/>
    <n v="1"/>
    <s v="CUST-1263"/>
    <s v="New"/>
    <x v="1"/>
    <s v="Sale"/>
  </r>
  <r>
    <s v="ORD-10521"/>
    <x v="177"/>
    <x v="5"/>
    <x v="0"/>
    <s v="Accessories &amp; Power"/>
    <x v="3"/>
    <x v="13"/>
    <n v="65"/>
    <n v="1"/>
    <s v="CUST-2291"/>
    <s v="Existing"/>
    <x v="0"/>
    <s v="Sale"/>
  </r>
  <r>
    <s v="ORD-10522"/>
    <x v="177"/>
    <x v="0"/>
    <x v="0"/>
    <s v="Laptops &amp; Computers"/>
    <x v="0"/>
    <x v="40"/>
    <n v="1350"/>
    <n v="3"/>
    <s v="CUST-1831"/>
    <s v="New"/>
    <x v="1"/>
    <s v="Sale"/>
  </r>
  <r>
    <s v="ORD-10523"/>
    <x v="177"/>
    <x v="1"/>
    <x v="0"/>
    <s v="Networking &amp; Security"/>
    <x v="7"/>
    <x v="6"/>
    <n v="220"/>
    <n v="1"/>
    <s v="CUST-1629"/>
    <s v="New"/>
    <x v="1"/>
    <s v="Sale"/>
  </r>
  <r>
    <s v="ORD-10524"/>
    <x v="177"/>
    <x v="0"/>
    <x v="1"/>
    <s v="Networking &amp; Security"/>
    <x v="5"/>
    <x v="4"/>
    <n v="90"/>
    <n v="1"/>
    <s v="CUST-1761"/>
    <s v="Existing"/>
    <x v="0"/>
    <s v="Sale"/>
  </r>
  <r>
    <s v="ORD-10525"/>
    <x v="178"/>
    <x v="0"/>
    <x v="0"/>
    <s v="Laptops &amp; Computers"/>
    <x v="0"/>
    <x v="0"/>
    <n v="450"/>
    <n v="1"/>
    <s v="CUST-2594"/>
    <s v="Existing"/>
    <x v="0"/>
    <s v="Sale"/>
  </r>
  <r>
    <s v="ORD-10526"/>
    <x v="178"/>
    <x v="2"/>
    <x v="0"/>
    <s v="Laptops &amp; Computers"/>
    <x v="0"/>
    <x v="40"/>
    <n v="1350"/>
    <n v="3"/>
    <s v="CUST-1194"/>
    <s v="New"/>
    <x v="1"/>
    <s v="Sale"/>
  </r>
  <r>
    <s v="ORD-10527"/>
    <x v="178"/>
    <x v="0"/>
    <x v="0"/>
    <s v="Laptops &amp; Computers"/>
    <x v="9"/>
    <x v="15"/>
    <n v="600"/>
    <n v="1"/>
    <s v="CUST-1561"/>
    <s v="New"/>
    <x v="1"/>
    <s v="Sale"/>
  </r>
  <r>
    <s v="ORD-10528"/>
    <x v="178"/>
    <x v="1"/>
    <x v="0"/>
    <s v="Smart Home &amp; IoT"/>
    <x v="4"/>
    <x v="8"/>
    <n v="-110"/>
    <n v="-2"/>
    <s v="CUST-2430"/>
    <s v="Existing"/>
    <x v="0"/>
    <s v="Return"/>
  </r>
  <r>
    <s v="ORD-10529"/>
    <x v="178"/>
    <x v="5"/>
    <x v="1"/>
    <s v="Laptops &amp; Computers"/>
    <x v="9"/>
    <x v="9"/>
    <n v="1200"/>
    <n v="2"/>
    <s v="CUST-2319"/>
    <s v="Existing"/>
    <x v="0"/>
    <s v="Sale"/>
  </r>
  <r>
    <s v="ORD-10530"/>
    <x v="179"/>
    <x v="0"/>
    <x v="0"/>
    <s v="Laptops &amp; Computers"/>
    <x v="9"/>
    <x v="9"/>
    <n v="1200"/>
    <n v="2"/>
    <s v="CUST-2913"/>
    <s v="New"/>
    <x v="1"/>
    <s v="Sale"/>
  </r>
  <r>
    <s v="ORD-10531"/>
    <x v="179"/>
    <x v="4"/>
    <x v="1"/>
    <s v="Laptops &amp; Computers"/>
    <x v="6"/>
    <x v="33"/>
    <n v="2550"/>
    <n v="3"/>
    <s v="CUST-1096"/>
    <s v="New"/>
    <x v="1"/>
    <s v="Sale"/>
  </r>
  <r>
    <s v="ORD-10532"/>
    <x v="179"/>
    <x v="0"/>
    <x v="0"/>
    <s v="Accessories &amp; Power"/>
    <x v="3"/>
    <x v="3"/>
    <n v="130"/>
    <n v="2"/>
    <s v="CUST-1461"/>
    <s v="Existing"/>
    <x v="0"/>
    <s v="Sale"/>
  </r>
  <r>
    <s v="ORD-10533"/>
    <x v="180"/>
    <x v="1"/>
    <x v="2"/>
    <s v="Accessories &amp; Power"/>
    <x v="3"/>
    <x v="13"/>
    <n v="65"/>
    <n v="1"/>
    <s v="CUST-2662"/>
    <s v="Existing"/>
    <x v="0"/>
    <s v="Sale"/>
  </r>
  <r>
    <s v="ORD-10534"/>
    <x v="180"/>
    <x v="1"/>
    <x v="2"/>
    <s v="Networking &amp; Security"/>
    <x v="10"/>
    <x v="11"/>
    <n v="110"/>
    <n v="1"/>
    <s v="CUST-1757"/>
    <s v="New"/>
    <x v="1"/>
    <s v="Sale"/>
  </r>
  <r>
    <s v="ORD-10535"/>
    <x v="180"/>
    <x v="0"/>
    <x v="1"/>
    <s v="Networking &amp; Security"/>
    <x v="10"/>
    <x v="11"/>
    <n v="110"/>
    <n v="1"/>
    <s v="CUST-1086"/>
    <s v="New"/>
    <x v="1"/>
    <s v="Sale"/>
  </r>
  <r>
    <s v="ORD-10536"/>
    <x v="181"/>
    <x v="0"/>
    <x v="2"/>
    <s v="Accessories &amp; Power"/>
    <x v="3"/>
    <x v="13"/>
    <n v="65"/>
    <n v="1"/>
    <s v="CUST-1990"/>
    <s v="New"/>
    <x v="1"/>
    <s v="Sale"/>
  </r>
  <r>
    <s v="ORD-10537"/>
    <x v="182"/>
    <x v="2"/>
    <x v="2"/>
    <s v="Laptops &amp; Computers"/>
    <x v="0"/>
    <x v="0"/>
    <n v="450"/>
    <n v="1"/>
    <s v="CUST-1076"/>
    <s v="New"/>
    <x v="1"/>
    <s v="Sale"/>
  </r>
  <r>
    <s v="ORD-10538"/>
    <x v="182"/>
    <x v="4"/>
    <x v="0"/>
    <s v="Laptops &amp; Computers"/>
    <x v="9"/>
    <x v="15"/>
    <n v="600"/>
    <n v="1"/>
    <s v="CUST-2912"/>
    <s v="New"/>
    <x v="1"/>
    <s v="Sale"/>
  </r>
  <r>
    <s v="ORD-10539"/>
    <x v="182"/>
    <x v="0"/>
    <x v="0"/>
    <s v="Laptops &amp; Computers"/>
    <x v="6"/>
    <x v="10"/>
    <n v="850"/>
    <n v="1"/>
    <s v="CUST-2739"/>
    <s v="New"/>
    <x v="1"/>
    <s v="Sale"/>
  </r>
  <r>
    <s v="ORD-10540"/>
    <x v="182"/>
    <x v="2"/>
    <x v="1"/>
    <s v="Laptops &amp; Computers"/>
    <x v="9"/>
    <x v="43"/>
    <n v="2400"/>
    <n v="4"/>
    <s v="CUST-2506"/>
    <s v="New"/>
    <x v="1"/>
    <s v="Sale"/>
  </r>
  <r>
    <s v="ORD-10541"/>
    <x v="183"/>
    <x v="2"/>
    <x v="0"/>
    <s v="Networking &amp; Security"/>
    <x v="5"/>
    <x v="4"/>
    <n v="90"/>
    <n v="1"/>
    <s v="CUST-2169"/>
    <s v="Existing"/>
    <x v="0"/>
    <s v="Sale"/>
  </r>
  <r>
    <s v="ORD-10542"/>
    <x v="183"/>
    <x v="3"/>
    <x v="0"/>
    <s v="Accessories &amp; Power"/>
    <x v="11"/>
    <x v="12"/>
    <n v="270"/>
    <n v="3"/>
    <s v="CUST-1660"/>
    <s v="New"/>
    <x v="1"/>
    <s v="Sale"/>
  </r>
  <r>
    <s v="ORD-10543"/>
    <x v="183"/>
    <x v="1"/>
    <x v="2"/>
    <s v="Smart Home &amp; IoT"/>
    <x v="4"/>
    <x v="2"/>
    <n v="55"/>
    <n v="1"/>
    <s v="CUST-2134"/>
    <s v="Existing"/>
    <x v="0"/>
    <s v="Sale"/>
  </r>
  <r>
    <s v="ORD-10544"/>
    <x v="184"/>
    <x v="1"/>
    <x v="0"/>
    <s v="Networking &amp; Security"/>
    <x v="7"/>
    <x v="21"/>
    <n v="440"/>
    <n v="2"/>
    <s v="CUST-2664"/>
    <s v="Existing"/>
    <x v="0"/>
    <s v="Sale"/>
  </r>
  <r>
    <s v="ORD-10545"/>
    <x v="184"/>
    <x v="1"/>
    <x v="1"/>
    <s v="Accessories &amp; Power"/>
    <x v="3"/>
    <x v="3"/>
    <n v="130"/>
    <n v="2"/>
    <s v="CUST-1764"/>
    <s v="New"/>
    <x v="1"/>
    <s v="Sale"/>
  </r>
  <r>
    <s v="ORD-10546"/>
    <x v="185"/>
    <x v="2"/>
    <x v="2"/>
    <s v="Laptops &amp; Computers"/>
    <x v="6"/>
    <x v="10"/>
    <n v="850"/>
    <n v="1"/>
    <s v="CUST-1677"/>
    <s v="New"/>
    <x v="1"/>
    <s v="Sale"/>
  </r>
  <r>
    <s v="ORD-10547"/>
    <x v="186"/>
    <x v="3"/>
    <x v="2"/>
    <s v="Laptops &amp; Computers"/>
    <x v="0"/>
    <x v="0"/>
    <n v="450"/>
    <n v="1"/>
    <s v="CUST-2320"/>
    <s v="Existing"/>
    <x v="0"/>
    <s v="Sale"/>
  </r>
  <r>
    <s v="ORD-10548"/>
    <x v="187"/>
    <x v="0"/>
    <x v="1"/>
    <s v="Smart Home &amp; IoT"/>
    <x v="8"/>
    <x v="3"/>
    <n v="130"/>
    <n v="1"/>
    <s v="CUST-2449"/>
    <s v="New"/>
    <x v="1"/>
    <s v="Sale"/>
  </r>
  <r>
    <s v="ORD-10549"/>
    <x v="187"/>
    <x v="1"/>
    <x v="0"/>
    <s v="Smart Home &amp; IoT"/>
    <x v="1"/>
    <x v="52"/>
    <n v="-70"/>
    <n v="-1"/>
    <s v="CUST-2672"/>
    <s v="New"/>
    <x v="1"/>
    <s v="Return"/>
  </r>
  <r>
    <s v="ORD-10550"/>
    <x v="187"/>
    <x v="4"/>
    <x v="0"/>
    <s v="Laptops &amp; Computers"/>
    <x v="9"/>
    <x v="37"/>
    <n v="1800"/>
    <n v="3"/>
    <s v="CUST-1790"/>
    <s v="New"/>
    <x v="1"/>
    <s v="Sale"/>
  </r>
  <r>
    <s v="ORD-10551"/>
    <x v="188"/>
    <x v="3"/>
    <x v="0"/>
    <s v="Networking &amp; Security"/>
    <x v="10"/>
    <x v="26"/>
    <n v="220"/>
    <n v="2"/>
    <s v="CUST-2357"/>
    <s v="Existing"/>
    <x v="0"/>
    <s v="Sale"/>
  </r>
  <r>
    <s v="ORD-10552"/>
    <x v="188"/>
    <x v="4"/>
    <x v="0"/>
    <s v="Smart Home &amp; IoT"/>
    <x v="4"/>
    <x v="2"/>
    <n v="55"/>
    <n v="1"/>
    <s v="CUST-2546"/>
    <s v="New"/>
    <x v="1"/>
    <s v="Sale"/>
  </r>
  <r>
    <s v="ORD-10553"/>
    <x v="189"/>
    <x v="2"/>
    <x v="2"/>
    <s v="Smart Home &amp; IoT"/>
    <x v="1"/>
    <x v="27"/>
    <n v="70"/>
    <n v="1"/>
    <s v="CUST-1582"/>
    <s v="New"/>
    <x v="1"/>
    <s v="Sale"/>
  </r>
  <r>
    <s v="ORD-10554"/>
    <x v="190"/>
    <x v="1"/>
    <x v="1"/>
    <s v="Smart Home &amp; IoT"/>
    <x v="1"/>
    <x v="27"/>
    <n v="70"/>
    <n v="1"/>
    <s v="CUST-1670"/>
    <s v="New"/>
    <x v="1"/>
    <s v="Sale"/>
  </r>
  <r>
    <s v="ORD-10555"/>
    <x v="191"/>
    <x v="5"/>
    <x v="0"/>
    <s v="Networking &amp; Security"/>
    <x v="5"/>
    <x v="4"/>
    <n v="90"/>
    <n v="1"/>
    <s v="CUST-2751"/>
    <s v="Existing"/>
    <x v="0"/>
    <s v="Sale"/>
  </r>
  <r>
    <s v="ORD-10556"/>
    <x v="191"/>
    <x v="2"/>
    <x v="0"/>
    <s v="Laptops &amp; Computers"/>
    <x v="0"/>
    <x v="19"/>
    <n v="900"/>
    <n v="2"/>
    <s v="CUST-1537"/>
    <s v="New"/>
    <x v="1"/>
    <s v="Sale"/>
  </r>
  <r>
    <s v="ORD-10557"/>
    <x v="192"/>
    <x v="0"/>
    <x v="1"/>
    <s v="Networking &amp; Security"/>
    <x v="5"/>
    <x v="4"/>
    <n v="90"/>
    <n v="1"/>
    <s v="CUST-2821"/>
    <s v="New"/>
    <x v="1"/>
    <s v="Sale"/>
  </r>
  <r>
    <s v="ORD-10558"/>
    <x v="192"/>
    <x v="5"/>
    <x v="0"/>
    <s v="Laptops &amp; Computers"/>
    <x v="9"/>
    <x v="15"/>
    <n v="600"/>
    <n v="1"/>
    <s v="CUST-2185"/>
    <s v="New"/>
    <x v="1"/>
    <s v="Sale"/>
  </r>
  <r>
    <s v="ORD-10559"/>
    <x v="192"/>
    <x v="2"/>
    <x v="0"/>
    <s v="Accessories &amp; Power"/>
    <x v="2"/>
    <x v="31"/>
    <n v="20"/>
    <n v="1"/>
    <s v="CUST-1429"/>
    <s v="New"/>
    <x v="1"/>
    <s v="Sale"/>
  </r>
  <r>
    <s v="ORD-10560"/>
    <x v="192"/>
    <x v="0"/>
    <x v="0"/>
    <s v="Networking &amp; Security"/>
    <x v="5"/>
    <x v="29"/>
    <n v="-90"/>
    <n v="-1"/>
    <s v="CUST-2637"/>
    <s v="Existing"/>
    <x v="0"/>
    <s v="Return"/>
  </r>
  <r>
    <s v="ORD-10561"/>
    <x v="193"/>
    <x v="2"/>
    <x v="1"/>
    <s v="Networking &amp; Security"/>
    <x v="5"/>
    <x v="14"/>
    <n v="180"/>
    <n v="2"/>
    <s v="CUST-2092"/>
    <s v="New"/>
    <x v="1"/>
    <s v="Sale"/>
  </r>
  <r>
    <s v="ORD-10562"/>
    <x v="193"/>
    <x v="5"/>
    <x v="2"/>
    <s v="Accessories &amp; Power"/>
    <x v="2"/>
    <x v="31"/>
    <n v="20"/>
    <n v="1"/>
    <s v="CUST-1132"/>
    <s v="New"/>
    <x v="1"/>
    <s v="Sale"/>
  </r>
  <r>
    <s v="ORD-10563"/>
    <x v="193"/>
    <x v="4"/>
    <x v="2"/>
    <s v="Networking &amp; Security"/>
    <x v="7"/>
    <x v="30"/>
    <n v="880"/>
    <n v="4"/>
    <s v="CUST-1188"/>
    <s v="New"/>
    <x v="1"/>
    <s v="Sale"/>
  </r>
  <r>
    <s v="ORD-10564"/>
    <x v="194"/>
    <x v="0"/>
    <x v="1"/>
    <s v="Networking &amp; Security"/>
    <x v="10"/>
    <x v="25"/>
    <n v="330"/>
    <n v="3"/>
    <s v="CUST-2746"/>
    <s v="Existing"/>
    <x v="0"/>
    <s v="Sale"/>
  </r>
  <r>
    <s v="ORD-10565"/>
    <x v="195"/>
    <x v="0"/>
    <x v="0"/>
    <s v="Accessories &amp; Power"/>
    <x v="3"/>
    <x v="13"/>
    <n v="65"/>
    <n v="1"/>
    <s v="CUST-2778"/>
    <s v="New"/>
    <x v="1"/>
    <s v="Sale"/>
  </r>
  <r>
    <s v="ORD-10566"/>
    <x v="195"/>
    <x v="5"/>
    <x v="0"/>
    <s v="Accessories &amp; Power"/>
    <x v="11"/>
    <x v="4"/>
    <n v="90"/>
    <n v="1"/>
    <s v="CUST-2701"/>
    <s v="New"/>
    <x v="1"/>
    <s v="Sale"/>
  </r>
  <r>
    <s v="ORD-10567"/>
    <x v="196"/>
    <x v="0"/>
    <x v="1"/>
    <s v="Smart Home &amp; IoT"/>
    <x v="1"/>
    <x v="1"/>
    <n v="140"/>
    <n v="2"/>
    <s v="CUST-2947"/>
    <s v="Existing"/>
    <x v="0"/>
    <s v="Sale"/>
  </r>
  <r>
    <s v="ORD-10568"/>
    <x v="196"/>
    <x v="2"/>
    <x v="0"/>
    <s v="Laptops &amp; Computers"/>
    <x v="6"/>
    <x v="33"/>
    <n v="2550"/>
    <n v="3"/>
    <s v="CUST-2945"/>
    <s v="New"/>
    <x v="1"/>
    <s v="Sale"/>
  </r>
  <r>
    <s v="ORD-10569"/>
    <x v="196"/>
    <x v="2"/>
    <x v="2"/>
    <s v="Smart Home &amp; IoT"/>
    <x v="1"/>
    <x v="1"/>
    <n v="140"/>
    <n v="2"/>
    <s v="CUST-1572"/>
    <s v="New"/>
    <x v="1"/>
    <s v="Sale"/>
  </r>
  <r>
    <s v="ORD-10570"/>
    <x v="197"/>
    <x v="0"/>
    <x v="1"/>
    <s v="Accessories &amp; Power"/>
    <x v="11"/>
    <x v="4"/>
    <n v="90"/>
    <n v="1"/>
    <s v="CUST-2897"/>
    <s v="New"/>
    <x v="1"/>
    <s v="Sale"/>
  </r>
  <r>
    <s v="ORD-10571"/>
    <x v="197"/>
    <x v="5"/>
    <x v="2"/>
    <s v="Laptops &amp; Computers"/>
    <x v="9"/>
    <x v="34"/>
    <n v="3000"/>
    <n v="5"/>
    <s v="CUST-1278"/>
    <s v="New"/>
    <x v="1"/>
    <s v="Sale"/>
  </r>
  <r>
    <s v="ORD-10572"/>
    <x v="198"/>
    <x v="5"/>
    <x v="2"/>
    <s v="Laptops &amp; Computers"/>
    <x v="9"/>
    <x v="15"/>
    <n v="600"/>
    <n v="1"/>
    <s v="CUST-2453"/>
    <s v="New"/>
    <x v="1"/>
    <s v="Sale"/>
  </r>
  <r>
    <s v="ORD-10573"/>
    <x v="198"/>
    <x v="1"/>
    <x v="1"/>
    <s v="Accessories &amp; Power"/>
    <x v="11"/>
    <x v="14"/>
    <n v="180"/>
    <n v="2"/>
    <s v="CUST-2648"/>
    <s v="New"/>
    <x v="1"/>
    <s v="Sale"/>
  </r>
  <r>
    <s v="ORD-10574"/>
    <x v="198"/>
    <x v="4"/>
    <x v="1"/>
    <s v="Laptops &amp; Computers"/>
    <x v="9"/>
    <x v="37"/>
    <n v="1800"/>
    <n v="3"/>
    <s v="CUST-1541"/>
    <s v="Existing"/>
    <x v="0"/>
    <s v="Sale"/>
  </r>
  <r>
    <s v="ORD-10575"/>
    <x v="199"/>
    <x v="3"/>
    <x v="0"/>
    <s v="Accessories &amp; Power"/>
    <x v="2"/>
    <x v="53"/>
    <n v="-20"/>
    <n v="-1"/>
    <s v="CUST-2858"/>
    <s v="Existing"/>
    <x v="0"/>
    <s v="Return"/>
  </r>
  <r>
    <s v="ORD-10576"/>
    <x v="199"/>
    <x v="2"/>
    <x v="0"/>
    <s v="Networking &amp; Security"/>
    <x v="7"/>
    <x v="18"/>
    <n v="660"/>
    <n v="3"/>
    <s v="CUST-2184"/>
    <s v="Existing"/>
    <x v="0"/>
    <s v="Sale"/>
  </r>
  <r>
    <s v="ORD-10577"/>
    <x v="199"/>
    <x v="2"/>
    <x v="0"/>
    <s v="Networking &amp; Security"/>
    <x v="7"/>
    <x v="6"/>
    <n v="220"/>
    <n v="1"/>
    <s v="CUST-1745"/>
    <s v="New"/>
    <x v="1"/>
    <s v="Sale"/>
  </r>
  <r>
    <s v="ORD-10578"/>
    <x v="199"/>
    <x v="1"/>
    <x v="2"/>
    <s v="Laptops &amp; Computers"/>
    <x v="6"/>
    <x v="55"/>
    <n v="3400"/>
    <n v="4"/>
    <s v="CUST-1898"/>
    <s v="New"/>
    <x v="1"/>
    <s v="Sale"/>
  </r>
  <r>
    <s v="ORD-10579"/>
    <x v="200"/>
    <x v="4"/>
    <x v="0"/>
    <s v="Accessories &amp; Power"/>
    <x v="11"/>
    <x v="4"/>
    <n v="90"/>
    <n v="1"/>
    <s v="CUST-1452"/>
    <s v="Existing"/>
    <x v="0"/>
    <s v="Sale"/>
  </r>
  <r>
    <s v="ORD-10580"/>
    <x v="200"/>
    <x v="2"/>
    <x v="2"/>
    <s v="Networking &amp; Security"/>
    <x v="5"/>
    <x v="56"/>
    <n v="360"/>
    <n v="4"/>
    <s v="CUST-1888"/>
    <s v="New"/>
    <x v="1"/>
    <s v="Sale"/>
  </r>
  <r>
    <s v="ORD-10581"/>
    <x v="200"/>
    <x v="2"/>
    <x v="0"/>
    <s v="Networking &amp; Security"/>
    <x v="5"/>
    <x v="4"/>
    <n v="90"/>
    <n v="1"/>
    <s v="CUST-1850"/>
    <s v="Existing"/>
    <x v="0"/>
    <s v="Sale"/>
  </r>
  <r>
    <s v="ORD-10582"/>
    <x v="201"/>
    <x v="3"/>
    <x v="2"/>
    <s v="Smart Home &amp; IoT"/>
    <x v="4"/>
    <x v="11"/>
    <n v="110"/>
    <n v="2"/>
    <s v="CUST-1169"/>
    <s v="Existing"/>
    <x v="0"/>
    <s v="Sale"/>
  </r>
  <r>
    <s v="ORD-10583"/>
    <x v="201"/>
    <x v="0"/>
    <x v="0"/>
    <s v="Smart Home &amp; IoT"/>
    <x v="1"/>
    <x v="27"/>
    <n v="70"/>
    <n v="1"/>
    <s v="CUST-1829"/>
    <s v="Existing"/>
    <x v="0"/>
    <s v="Sale"/>
  </r>
  <r>
    <s v="ORD-10584"/>
    <x v="201"/>
    <x v="3"/>
    <x v="2"/>
    <s v="Accessories &amp; Power"/>
    <x v="2"/>
    <x v="31"/>
    <n v="20"/>
    <n v="1"/>
    <s v="CUST-1697"/>
    <s v="New"/>
    <x v="1"/>
    <s v="Sale"/>
  </r>
  <r>
    <s v="ORD-10585"/>
    <x v="202"/>
    <x v="0"/>
    <x v="2"/>
    <s v="Networking &amp; Security"/>
    <x v="5"/>
    <x v="4"/>
    <n v="90"/>
    <n v="1"/>
    <s v="CUST-2080"/>
    <s v="New"/>
    <x v="1"/>
    <s v="Sale"/>
  </r>
  <r>
    <s v="ORD-10586"/>
    <x v="202"/>
    <x v="1"/>
    <x v="0"/>
    <s v="Networking &amp; Security"/>
    <x v="10"/>
    <x v="26"/>
    <n v="220"/>
    <n v="2"/>
    <s v="CUST-2263"/>
    <s v="New"/>
    <x v="1"/>
    <s v="Sale"/>
  </r>
  <r>
    <s v="ORD-10587"/>
    <x v="203"/>
    <x v="1"/>
    <x v="0"/>
    <s v="Accessories &amp; Power"/>
    <x v="11"/>
    <x v="29"/>
    <n v="-90"/>
    <n v="-1"/>
    <s v="CUST-1768"/>
    <s v="Existing"/>
    <x v="0"/>
    <s v="Return"/>
  </r>
  <r>
    <s v="ORD-10588"/>
    <x v="203"/>
    <x v="4"/>
    <x v="2"/>
    <s v="Smart Home &amp; IoT"/>
    <x v="1"/>
    <x v="27"/>
    <n v="70"/>
    <n v="1"/>
    <s v="CUST-1357"/>
    <s v="Existing"/>
    <x v="0"/>
    <s v="Sale"/>
  </r>
  <r>
    <s v="ORD-10589"/>
    <x v="204"/>
    <x v="3"/>
    <x v="0"/>
    <s v="Laptops &amp; Computers"/>
    <x v="9"/>
    <x v="57"/>
    <n v="-600"/>
    <n v="-1"/>
    <s v="CUST-1200"/>
    <s v="New"/>
    <x v="1"/>
    <s v="Return"/>
  </r>
  <r>
    <s v="ORD-10590"/>
    <x v="204"/>
    <x v="2"/>
    <x v="0"/>
    <s v="Laptops &amp; Computers"/>
    <x v="9"/>
    <x v="43"/>
    <n v="2400"/>
    <n v="4"/>
    <s v="CUST-1443"/>
    <s v="New"/>
    <x v="1"/>
    <s v="Sale"/>
  </r>
  <r>
    <s v="ORD-10591"/>
    <x v="204"/>
    <x v="2"/>
    <x v="1"/>
    <s v="Accessories &amp; Power"/>
    <x v="2"/>
    <x v="31"/>
    <n v="20"/>
    <n v="1"/>
    <s v="CUST-2860"/>
    <s v="New"/>
    <x v="1"/>
    <s v="Sale"/>
  </r>
  <r>
    <s v="ORD-10592"/>
    <x v="205"/>
    <x v="5"/>
    <x v="2"/>
    <s v="Networking &amp; Security"/>
    <x v="10"/>
    <x v="11"/>
    <n v="110"/>
    <n v="1"/>
    <s v="CUST-1826"/>
    <s v="Existing"/>
    <x v="0"/>
    <s v="Sale"/>
  </r>
  <r>
    <s v="ORD-10593"/>
    <x v="206"/>
    <x v="4"/>
    <x v="1"/>
    <s v="Smart Home &amp; IoT"/>
    <x v="4"/>
    <x v="2"/>
    <n v="55"/>
    <n v="1"/>
    <s v="CUST-2325"/>
    <s v="New"/>
    <x v="1"/>
    <s v="Sale"/>
  </r>
  <r>
    <s v="ORD-10594"/>
    <x v="206"/>
    <x v="1"/>
    <x v="0"/>
    <s v="Networking &amp; Security"/>
    <x v="10"/>
    <x v="11"/>
    <n v="110"/>
    <n v="1"/>
    <s v="CUST-2129"/>
    <s v="Existing"/>
    <x v="0"/>
    <s v="Sale"/>
  </r>
  <r>
    <s v="ORD-10595"/>
    <x v="206"/>
    <x v="1"/>
    <x v="0"/>
    <s v="Laptops &amp; Computers"/>
    <x v="0"/>
    <x v="0"/>
    <n v="450"/>
    <n v="1"/>
    <s v="CUST-2825"/>
    <s v="New"/>
    <x v="1"/>
    <s v="Sale"/>
  </r>
  <r>
    <s v="ORD-10596"/>
    <x v="206"/>
    <x v="0"/>
    <x v="1"/>
    <s v="Smart Home &amp; IoT"/>
    <x v="1"/>
    <x v="27"/>
    <n v="70"/>
    <n v="1"/>
    <s v="CUST-1100"/>
    <s v="Existing"/>
    <x v="0"/>
    <s v="Sale"/>
  </r>
  <r>
    <s v="ORD-10597"/>
    <x v="207"/>
    <x v="2"/>
    <x v="2"/>
    <s v="Laptops &amp; Computers"/>
    <x v="9"/>
    <x v="37"/>
    <n v="1800"/>
    <n v="3"/>
    <s v="CUST-2120"/>
    <s v="Existing"/>
    <x v="0"/>
    <s v="Sale"/>
  </r>
  <r>
    <s v="ORD-10598"/>
    <x v="207"/>
    <x v="2"/>
    <x v="2"/>
    <s v="Networking &amp; Security"/>
    <x v="7"/>
    <x v="21"/>
    <n v="440"/>
    <n v="2"/>
    <s v="CUST-2688"/>
    <s v="New"/>
    <x v="1"/>
    <s v="Sale"/>
  </r>
  <r>
    <s v="ORD-10599"/>
    <x v="208"/>
    <x v="1"/>
    <x v="0"/>
    <s v="Networking &amp; Security"/>
    <x v="7"/>
    <x v="28"/>
    <n v="-220"/>
    <n v="-1"/>
    <s v="CUST-1937"/>
    <s v="New"/>
    <x v="1"/>
    <s v="Return"/>
  </r>
  <r>
    <s v="ORD-10600"/>
    <x v="209"/>
    <x v="0"/>
    <x v="0"/>
    <s v="Networking &amp; Security"/>
    <x v="5"/>
    <x v="4"/>
    <n v="90"/>
    <n v="1"/>
    <s v="CUST-1028"/>
    <s v="New"/>
    <x v="1"/>
    <s v="Sale"/>
  </r>
  <r>
    <s v="ORD-10601"/>
    <x v="209"/>
    <x v="3"/>
    <x v="0"/>
    <s v="Smart Home &amp; IoT"/>
    <x v="4"/>
    <x v="8"/>
    <n v="-110"/>
    <n v="-2"/>
    <s v="CUST-2529"/>
    <s v="New"/>
    <x v="1"/>
    <s v="Return"/>
  </r>
  <r>
    <s v="ORD-10602"/>
    <x v="210"/>
    <x v="0"/>
    <x v="0"/>
    <s v="Accessories &amp; Power"/>
    <x v="3"/>
    <x v="13"/>
    <n v="65"/>
    <n v="1"/>
    <s v="CUST-1664"/>
    <s v="Existing"/>
    <x v="0"/>
    <s v="Sale"/>
  </r>
  <r>
    <s v="ORD-10603"/>
    <x v="210"/>
    <x v="2"/>
    <x v="0"/>
    <s v="Accessories &amp; Power"/>
    <x v="11"/>
    <x v="14"/>
    <n v="180"/>
    <n v="2"/>
    <s v="CUST-2461"/>
    <s v="New"/>
    <x v="1"/>
    <s v="Sale"/>
  </r>
  <r>
    <s v="ORD-10604"/>
    <x v="210"/>
    <x v="4"/>
    <x v="0"/>
    <s v="Laptops &amp; Computers"/>
    <x v="0"/>
    <x v="0"/>
    <n v="450"/>
    <n v="1"/>
    <s v="CUST-2402"/>
    <s v="Existing"/>
    <x v="0"/>
    <s v="Sale"/>
  </r>
  <r>
    <s v="ORD-10605"/>
    <x v="210"/>
    <x v="1"/>
    <x v="1"/>
    <s v="Laptops &amp; Computers"/>
    <x v="6"/>
    <x v="10"/>
    <n v="850"/>
    <n v="1"/>
    <s v="CUST-1072"/>
    <s v="New"/>
    <x v="1"/>
    <s v="Sale"/>
  </r>
  <r>
    <s v="ORD-10606"/>
    <x v="211"/>
    <x v="0"/>
    <x v="0"/>
    <s v="Networking &amp; Security"/>
    <x v="5"/>
    <x v="4"/>
    <n v="90"/>
    <n v="1"/>
    <s v="CUST-1253"/>
    <s v="Existing"/>
    <x v="0"/>
    <s v="Sale"/>
  </r>
  <r>
    <s v="ORD-10607"/>
    <x v="211"/>
    <x v="2"/>
    <x v="2"/>
    <s v="Accessories &amp; Power"/>
    <x v="11"/>
    <x v="12"/>
    <n v="270"/>
    <n v="3"/>
    <s v="CUST-2986"/>
    <s v="Existing"/>
    <x v="0"/>
    <s v="Sale"/>
  </r>
  <r>
    <s v="ORD-10608"/>
    <x v="212"/>
    <x v="3"/>
    <x v="1"/>
    <s v="Accessories &amp; Power"/>
    <x v="3"/>
    <x v="13"/>
    <n v="65"/>
    <n v="1"/>
    <s v="CUST-2934"/>
    <s v="New"/>
    <x v="1"/>
    <s v="Sale"/>
  </r>
  <r>
    <s v="ORD-10609"/>
    <x v="213"/>
    <x v="5"/>
    <x v="2"/>
    <s v="Accessories &amp; Power"/>
    <x v="2"/>
    <x v="31"/>
    <n v="20"/>
    <n v="1"/>
    <s v="CUST-1515"/>
    <s v="New"/>
    <x v="1"/>
    <s v="Sale"/>
  </r>
  <r>
    <s v="ORD-10610"/>
    <x v="214"/>
    <x v="4"/>
    <x v="0"/>
    <s v="Networking &amp; Security"/>
    <x v="7"/>
    <x v="6"/>
    <n v="220"/>
    <n v="1"/>
    <s v="CUST-1748"/>
    <s v="New"/>
    <x v="1"/>
    <s v="Sale"/>
  </r>
  <r>
    <s v="ORD-10611"/>
    <x v="214"/>
    <x v="0"/>
    <x v="2"/>
    <s v="Networking &amp; Security"/>
    <x v="7"/>
    <x v="21"/>
    <n v="440"/>
    <n v="2"/>
    <s v="CUST-2573"/>
    <s v="New"/>
    <x v="1"/>
    <s v="Sale"/>
  </r>
  <r>
    <s v="ORD-10612"/>
    <x v="214"/>
    <x v="5"/>
    <x v="2"/>
    <s v="Networking &amp; Security"/>
    <x v="10"/>
    <x v="25"/>
    <n v="330"/>
    <n v="3"/>
    <s v="CUST-2043"/>
    <s v="New"/>
    <x v="1"/>
    <s v="Sale"/>
  </r>
  <r>
    <s v="ORD-10613"/>
    <x v="214"/>
    <x v="2"/>
    <x v="2"/>
    <s v="Laptops &amp; Computers"/>
    <x v="0"/>
    <x v="0"/>
    <n v="450"/>
    <n v="1"/>
    <s v="CUST-2648"/>
    <s v="New"/>
    <x v="1"/>
    <s v="Sale"/>
  </r>
  <r>
    <s v="ORD-10614"/>
    <x v="215"/>
    <x v="3"/>
    <x v="2"/>
    <s v="Laptops &amp; Computers"/>
    <x v="0"/>
    <x v="0"/>
    <n v="450"/>
    <n v="1"/>
    <s v="CUST-1534"/>
    <s v="New"/>
    <x v="1"/>
    <s v="Sale"/>
  </r>
  <r>
    <s v="ORD-10615"/>
    <x v="216"/>
    <x v="0"/>
    <x v="1"/>
    <s v="Accessories &amp; Power"/>
    <x v="3"/>
    <x v="16"/>
    <n v="195"/>
    <n v="3"/>
    <s v="CUST-1420"/>
    <s v="New"/>
    <x v="1"/>
    <s v="Sale"/>
  </r>
  <r>
    <s v="ORD-10616"/>
    <x v="216"/>
    <x v="3"/>
    <x v="2"/>
    <s v="Laptops &amp; Computers"/>
    <x v="0"/>
    <x v="0"/>
    <n v="450"/>
    <n v="1"/>
    <s v="CUST-1445"/>
    <s v="New"/>
    <x v="1"/>
    <s v="Sale"/>
  </r>
  <r>
    <s v="ORD-10617"/>
    <x v="216"/>
    <x v="5"/>
    <x v="0"/>
    <s v="Laptops &amp; Computers"/>
    <x v="9"/>
    <x v="15"/>
    <n v="600"/>
    <n v="1"/>
    <s v="CUST-1878"/>
    <s v="New"/>
    <x v="1"/>
    <s v="Sale"/>
  </r>
  <r>
    <s v="ORD-10618"/>
    <x v="217"/>
    <x v="1"/>
    <x v="2"/>
    <s v="Laptops &amp; Computers"/>
    <x v="0"/>
    <x v="0"/>
    <n v="450"/>
    <n v="1"/>
    <s v="CUST-1135"/>
    <s v="New"/>
    <x v="1"/>
    <s v="Sale"/>
  </r>
  <r>
    <s v="ORD-10619"/>
    <x v="218"/>
    <x v="0"/>
    <x v="0"/>
    <s v="Accessories &amp; Power"/>
    <x v="11"/>
    <x v="14"/>
    <n v="180"/>
    <n v="2"/>
    <s v="CUST-2528"/>
    <s v="New"/>
    <x v="1"/>
    <s v="Sale"/>
  </r>
  <r>
    <s v="ORD-10620"/>
    <x v="218"/>
    <x v="3"/>
    <x v="1"/>
    <s v="Smart Home &amp; IoT"/>
    <x v="8"/>
    <x v="3"/>
    <n v="130"/>
    <n v="1"/>
    <s v="CUST-2956"/>
    <s v="New"/>
    <x v="1"/>
    <s v="Sale"/>
  </r>
  <r>
    <s v="ORD-10621"/>
    <x v="218"/>
    <x v="0"/>
    <x v="0"/>
    <s v="Smart Home &amp; IoT"/>
    <x v="4"/>
    <x v="11"/>
    <n v="110"/>
    <n v="2"/>
    <s v="CUST-2783"/>
    <s v="New"/>
    <x v="1"/>
    <s v="Sale"/>
  </r>
  <r>
    <s v="ORD-10622"/>
    <x v="218"/>
    <x v="1"/>
    <x v="0"/>
    <s v="Accessories &amp; Power"/>
    <x v="2"/>
    <x v="31"/>
    <n v="20"/>
    <n v="1"/>
    <s v="CUST-2324"/>
    <s v="New"/>
    <x v="1"/>
    <s v="Sale"/>
  </r>
  <r>
    <s v="ORD-10623"/>
    <x v="218"/>
    <x v="0"/>
    <x v="1"/>
    <s v="Networking &amp; Security"/>
    <x v="5"/>
    <x v="4"/>
    <n v="90"/>
    <n v="1"/>
    <s v="CUST-2632"/>
    <s v="New"/>
    <x v="1"/>
    <s v="Sale"/>
  </r>
  <r>
    <s v="ORD-10624"/>
    <x v="218"/>
    <x v="3"/>
    <x v="2"/>
    <s v="Smart Home &amp; IoT"/>
    <x v="1"/>
    <x v="1"/>
    <n v="140"/>
    <n v="2"/>
    <s v="CUST-1032"/>
    <s v="Existing"/>
    <x v="0"/>
    <s v="Sale"/>
  </r>
  <r>
    <s v="ORD-10625"/>
    <x v="219"/>
    <x v="2"/>
    <x v="0"/>
    <s v="Laptops &amp; Computers"/>
    <x v="0"/>
    <x v="0"/>
    <n v="450"/>
    <n v="1"/>
    <s v="CUST-1646"/>
    <s v="New"/>
    <x v="1"/>
    <s v="Sale"/>
  </r>
  <r>
    <s v="ORD-10626"/>
    <x v="219"/>
    <x v="2"/>
    <x v="0"/>
    <s v="Laptops &amp; Computers"/>
    <x v="0"/>
    <x v="0"/>
    <n v="450"/>
    <n v="1"/>
    <s v="CUST-2790"/>
    <s v="Existing"/>
    <x v="0"/>
    <s v="Sale"/>
  </r>
  <r>
    <s v="ORD-10627"/>
    <x v="219"/>
    <x v="0"/>
    <x v="1"/>
    <s v="Accessories &amp; Power"/>
    <x v="2"/>
    <x v="2"/>
    <n v="40"/>
    <n v="2"/>
    <s v="CUST-1277"/>
    <s v="Existing"/>
    <x v="0"/>
    <s v="Sale"/>
  </r>
  <r>
    <s v="ORD-10628"/>
    <x v="220"/>
    <x v="5"/>
    <x v="0"/>
    <s v="Accessories &amp; Power"/>
    <x v="2"/>
    <x v="35"/>
    <n v="60"/>
    <n v="3"/>
    <s v="CUST-1132"/>
    <s v="New"/>
    <x v="1"/>
    <s v="Sale"/>
  </r>
  <r>
    <s v="ORD-10629"/>
    <x v="220"/>
    <x v="5"/>
    <x v="1"/>
    <s v="Networking &amp; Security"/>
    <x v="7"/>
    <x v="18"/>
    <n v="660"/>
    <n v="3"/>
    <s v="CUST-1749"/>
    <s v="Existing"/>
    <x v="0"/>
    <s v="Sale"/>
  </r>
  <r>
    <s v="ORD-10630"/>
    <x v="220"/>
    <x v="3"/>
    <x v="0"/>
    <s v="Networking &amp; Security"/>
    <x v="7"/>
    <x v="30"/>
    <n v="880"/>
    <n v="4"/>
    <s v="CUST-2550"/>
    <s v="Existing"/>
    <x v="0"/>
    <s v="Sale"/>
  </r>
  <r>
    <s v="ORD-10631"/>
    <x v="220"/>
    <x v="4"/>
    <x v="2"/>
    <s v="Networking &amp; Security"/>
    <x v="10"/>
    <x v="25"/>
    <n v="330"/>
    <n v="3"/>
    <s v="CUST-2812"/>
    <s v="New"/>
    <x v="1"/>
    <s v="Sale"/>
  </r>
  <r>
    <s v="ORD-10632"/>
    <x v="221"/>
    <x v="0"/>
    <x v="1"/>
    <s v="Laptops &amp; Computers"/>
    <x v="9"/>
    <x v="15"/>
    <n v="600"/>
    <n v="1"/>
    <s v="CUST-1125"/>
    <s v="New"/>
    <x v="1"/>
    <s v="Sale"/>
  </r>
  <r>
    <s v="ORD-10633"/>
    <x v="221"/>
    <x v="2"/>
    <x v="0"/>
    <s v="Laptops &amp; Computers"/>
    <x v="6"/>
    <x v="10"/>
    <n v="850"/>
    <n v="1"/>
    <s v="CUST-1344"/>
    <s v="Existing"/>
    <x v="0"/>
    <s v="Sale"/>
  </r>
  <r>
    <s v="ORD-10634"/>
    <x v="221"/>
    <x v="0"/>
    <x v="0"/>
    <s v="Laptops &amp; Computers"/>
    <x v="6"/>
    <x v="5"/>
    <n v="1700"/>
    <n v="2"/>
    <s v="CUST-1016"/>
    <s v="Existing"/>
    <x v="0"/>
    <s v="Sale"/>
  </r>
  <r>
    <s v="ORD-10635"/>
    <x v="221"/>
    <x v="5"/>
    <x v="0"/>
    <s v="Laptops &amp; Computers"/>
    <x v="6"/>
    <x v="10"/>
    <n v="850"/>
    <n v="1"/>
    <s v="CUST-1823"/>
    <s v="New"/>
    <x v="1"/>
    <s v="Sale"/>
  </r>
  <r>
    <s v="ORD-10636"/>
    <x v="221"/>
    <x v="0"/>
    <x v="2"/>
    <s v="Accessories &amp; Power"/>
    <x v="2"/>
    <x v="2"/>
    <n v="40"/>
    <n v="2"/>
    <s v="CUST-1561"/>
    <s v="New"/>
    <x v="1"/>
    <s v="Sale"/>
  </r>
  <r>
    <s v="ORD-10637"/>
    <x v="222"/>
    <x v="1"/>
    <x v="2"/>
    <s v="Laptops &amp; Computers"/>
    <x v="0"/>
    <x v="19"/>
    <n v="900"/>
    <n v="2"/>
    <s v="CUST-1646"/>
    <s v="New"/>
    <x v="1"/>
    <s v="Sale"/>
  </r>
  <r>
    <s v="ORD-10638"/>
    <x v="223"/>
    <x v="1"/>
    <x v="2"/>
    <s v="Laptops &amp; Computers"/>
    <x v="9"/>
    <x v="15"/>
    <n v="600"/>
    <n v="1"/>
    <s v="CUST-1629"/>
    <s v="New"/>
    <x v="1"/>
    <s v="Sale"/>
  </r>
  <r>
    <s v="ORD-10639"/>
    <x v="223"/>
    <x v="5"/>
    <x v="0"/>
    <s v="Networking &amp; Security"/>
    <x v="7"/>
    <x v="18"/>
    <n v="660"/>
    <n v="3"/>
    <s v="CUST-2401"/>
    <s v="New"/>
    <x v="1"/>
    <s v="Sale"/>
  </r>
  <r>
    <s v="ORD-10640"/>
    <x v="223"/>
    <x v="1"/>
    <x v="0"/>
    <s v="Accessories &amp; Power"/>
    <x v="11"/>
    <x v="4"/>
    <n v="90"/>
    <n v="1"/>
    <s v="CUST-1817"/>
    <s v="New"/>
    <x v="1"/>
    <s v="Sale"/>
  </r>
  <r>
    <s v="ORD-10641"/>
    <x v="224"/>
    <x v="2"/>
    <x v="0"/>
    <s v="Laptops &amp; Computers"/>
    <x v="6"/>
    <x v="10"/>
    <n v="850"/>
    <n v="1"/>
    <s v="CUST-1059"/>
    <s v="Existing"/>
    <x v="0"/>
    <s v="Sale"/>
  </r>
  <r>
    <s v="ORD-10642"/>
    <x v="225"/>
    <x v="1"/>
    <x v="0"/>
    <s v="Laptops &amp; Computers"/>
    <x v="6"/>
    <x v="48"/>
    <n v="4250"/>
    <n v="5"/>
    <s v="CUST-2660"/>
    <s v="New"/>
    <x v="1"/>
    <s v="Sale"/>
  </r>
  <r>
    <s v="ORD-10643"/>
    <x v="226"/>
    <x v="0"/>
    <x v="2"/>
    <s v="Networking &amp; Security"/>
    <x v="5"/>
    <x v="4"/>
    <n v="90"/>
    <n v="1"/>
    <s v="CUST-1466"/>
    <s v="New"/>
    <x v="1"/>
    <s v="Sale"/>
  </r>
  <r>
    <s v="ORD-10644"/>
    <x v="226"/>
    <x v="2"/>
    <x v="1"/>
    <s v="Smart Home &amp; IoT"/>
    <x v="4"/>
    <x v="2"/>
    <n v="55"/>
    <n v="1"/>
    <s v="CUST-1627"/>
    <s v="New"/>
    <x v="1"/>
    <s v="Sale"/>
  </r>
  <r>
    <s v="ORD-10645"/>
    <x v="227"/>
    <x v="0"/>
    <x v="2"/>
    <s v="Smart Home &amp; IoT"/>
    <x v="8"/>
    <x v="3"/>
    <n v="130"/>
    <n v="1"/>
    <s v="CUST-1390"/>
    <s v="New"/>
    <x v="1"/>
    <s v="Sale"/>
  </r>
  <r>
    <s v="ORD-10646"/>
    <x v="228"/>
    <x v="1"/>
    <x v="0"/>
    <s v="Accessories &amp; Power"/>
    <x v="2"/>
    <x v="2"/>
    <n v="40"/>
    <n v="2"/>
    <s v="CUST-1935"/>
    <s v="New"/>
    <x v="1"/>
    <s v="Sale"/>
  </r>
  <r>
    <s v="ORD-10647"/>
    <x v="228"/>
    <x v="2"/>
    <x v="1"/>
    <s v="Accessories &amp; Power"/>
    <x v="2"/>
    <x v="2"/>
    <n v="40"/>
    <n v="2"/>
    <s v="CUST-1684"/>
    <s v="New"/>
    <x v="1"/>
    <s v="Sale"/>
  </r>
  <r>
    <s v="ORD-10648"/>
    <x v="228"/>
    <x v="1"/>
    <x v="2"/>
    <s v="Accessories &amp; Power"/>
    <x v="3"/>
    <x v="3"/>
    <n v="130"/>
    <n v="2"/>
    <s v="CUST-2210"/>
    <s v="New"/>
    <x v="1"/>
    <s v="Sale"/>
  </r>
  <r>
    <s v="ORD-10649"/>
    <x v="228"/>
    <x v="0"/>
    <x v="1"/>
    <s v="Smart Home &amp; IoT"/>
    <x v="1"/>
    <x v="1"/>
    <n v="140"/>
    <n v="2"/>
    <s v="CUST-1497"/>
    <s v="Existing"/>
    <x v="0"/>
    <s v="Sale"/>
  </r>
  <r>
    <s v="ORD-10650"/>
    <x v="228"/>
    <x v="1"/>
    <x v="2"/>
    <s v="Networking &amp; Security"/>
    <x v="10"/>
    <x v="11"/>
    <n v="110"/>
    <n v="1"/>
    <s v="CUST-1599"/>
    <s v="New"/>
    <x v="1"/>
    <s v="Sale"/>
  </r>
  <r>
    <s v="ORD-10651"/>
    <x v="229"/>
    <x v="4"/>
    <x v="0"/>
    <s v="Laptops &amp; Computers"/>
    <x v="0"/>
    <x v="40"/>
    <n v="1350"/>
    <n v="3"/>
    <s v="CUST-2738"/>
    <s v="New"/>
    <x v="1"/>
    <s v="Sale"/>
  </r>
  <r>
    <s v="ORD-10652"/>
    <x v="229"/>
    <x v="5"/>
    <x v="0"/>
    <s v="Accessories &amp; Power"/>
    <x v="3"/>
    <x v="16"/>
    <n v="195"/>
    <n v="3"/>
    <s v="CUST-2384"/>
    <s v="New"/>
    <x v="1"/>
    <s v="Sale"/>
  </r>
  <r>
    <s v="ORD-10653"/>
    <x v="230"/>
    <x v="2"/>
    <x v="2"/>
    <s v="Networking &amp; Security"/>
    <x v="7"/>
    <x v="6"/>
    <n v="220"/>
    <n v="1"/>
    <s v="CUST-2846"/>
    <s v="New"/>
    <x v="1"/>
    <s v="Sale"/>
  </r>
  <r>
    <s v="ORD-10654"/>
    <x v="230"/>
    <x v="5"/>
    <x v="0"/>
    <s v="Laptops &amp; Computers"/>
    <x v="9"/>
    <x v="15"/>
    <n v="600"/>
    <n v="1"/>
    <s v="CUST-2855"/>
    <s v="New"/>
    <x v="1"/>
    <s v="Sale"/>
  </r>
  <r>
    <s v="ORD-10655"/>
    <x v="230"/>
    <x v="0"/>
    <x v="0"/>
    <s v="Smart Home &amp; IoT"/>
    <x v="1"/>
    <x v="44"/>
    <n v="280"/>
    <n v="4"/>
    <s v="CUST-1448"/>
    <s v="New"/>
    <x v="1"/>
    <s v="Sale"/>
  </r>
  <r>
    <s v="ORD-10656"/>
    <x v="230"/>
    <x v="1"/>
    <x v="2"/>
    <s v="Laptops &amp; Computers"/>
    <x v="9"/>
    <x v="58"/>
    <n v="-1800"/>
    <n v="-3"/>
    <s v="CUST-2717"/>
    <s v="New"/>
    <x v="1"/>
    <s v="Return"/>
  </r>
  <r>
    <s v="ORD-10657"/>
    <x v="230"/>
    <x v="2"/>
    <x v="2"/>
    <s v="Smart Home &amp; IoT"/>
    <x v="8"/>
    <x v="7"/>
    <n v="390"/>
    <n v="3"/>
    <s v="CUST-2887"/>
    <s v="New"/>
    <x v="1"/>
    <s v="Sale"/>
  </r>
  <r>
    <s v="ORD-10658"/>
    <x v="230"/>
    <x v="0"/>
    <x v="2"/>
    <s v="Smart Home &amp; IoT"/>
    <x v="4"/>
    <x v="46"/>
    <n v="165"/>
    <n v="3"/>
    <s v="CUST-1679"/>
    <s v="New"/>
    <x v="1"/>
    <s v="Sale"/>
  </r>
  <r>
    <s v="ORD-10659"/>
    <x v="231"/>
    <x v="0"/>
    <x v="0"/>
    <s v="Networking &amp; Security"/>
    <x v="5"/>
    <x v="4"/>
    <n v="90"/>
    <n v="1"/>
    <s v="CUST-2204"/>
    <s v="New"/>
    <x v="1"/>
    <s v="Sale"/>
  </r>
  <r>
    <s v="ORD-10660"/>
    <x v="231"/>
    <x v="0"/>
    <x v="0"/>
    <s v="Accessories &amp; Power"/>
    <x v="2"/>
    <x v="2"/>
    <n v="40"/>
    <n v="2"/>
    <s v="CUST-2835"/>
    <s v="Existing"/>
    <x v="0"/>
    <s v="Sale"/>
  </r>
  <r>
    <s v="ORD-10661"/>
    <x v="231"/>
    <x v="1"/>
    <x v="2"/>
    <s v="Laptops &amp; Computers"/>
    <x v="0"/>
    <x v="0"/>
    <n v="450"/>
    <n v="1"/>
    <s v="CUST-2982"/>
    <s v="Existing"/>
    <x v="0"/>
    <s v="Sale"/>
  </r>
  <r>
    <s v="ORD-10662"/>
    <x v="231"/>
    <x v="4"/>
    <x v="1"/>
    <s v="Networking &amp; Security"/>
    <x v="10"/>
    <x v="11"/>
    <n v="110"/>
    <n v="1"/>
    <s v="CUST-1129"/>
    <s v="New"/>
    <x v="1"/>
    <s v="Sale"/>
  </r>
  <r>
    <s v="ORD-10663"/>
    <x v="231"/>
    <x v="0"/>
    <x v="2"/>
    <s v="Networking &amp; Security"/>
    <x v="5"/>
    <x v="14"/>
    <n v="180"/>
    <n v="2"/>
    <s v="CUST-2998"/>
    <s v="Existing"/>
    <x v="0"/>
    <s v="Sale"/>
  </r>
  <r>
    <s v="ORD-10664"/>
    <x v="231"/>
    <x v="5"/>
    <x v="1"/>
    <s v="Smart Home &amp; IoT"/>
    <x v="8"/>
    <x v="3"/>
    <n v="130"/>
    <n v="1"/>
    <s v="CUST-1148"/>
    <s v="New"/>
    <x v="1"/>
    <s v="Sale"/>
  </r>
  <r>
    <s v="ORD-10665"/>
    <x v="232"/>
    <x v="0"/>
    <x v="2"/>
    <s v="Accessories &amp; Power"/>
    <x v="3"/>
    <x v="3"/>
    <n v="130"/>
    <n v="2"/>
    <s v="CUST-2495"/>
    <s v="New"/>
    <x v="1"/>
    <s v="Sale"/>
  </r>
  <r>
    <s v="ORD-10666"/>
    <x v="232"/>
    <x v="4"/>
    <x v="2"/>
    <s v="Networking &amp; Security"/>
    <x v="5"/>
    <x v="4"/>
    <n v="90"/>
    <n v="1"/>
    <s v="CUST-1817"/>
    <s v="New"/>
    <x v="1"/>
    <s v="Sale"/>
  </r>
  <r>
    <s v="ORD-10667"/>
    <x v="232"/>
    <x v="0"/>
    <x v="0"/>
    <s v="Smart Home &amp; IoT"/>
    <x v="8"/>
    <x v="3"/>
    <n v="130"/>
    <n v="1"/>
    <s v="CUST-2744"/>
    <s v="New"/>
    <x v="1"/>
    <s v="Sale"/>
  </r>
  <r>
    <s v="ORD-10668"/>
    <x v="233"/>
    <x v="1"/>
    <x v="2"/>
    <s v="Laptops &amp; Computers"/>
    <x v="9"/>
    <x v="15"/>
    <n v="600"/>
    <n v="1"/>
    <s v="CUST-2646"/>
    <s v="New"/>
    <x v="1"/>
    <s v="Sale"/>
  </r>
  <r>
    <s v="ORD-10669"/>
    <x v="233"/>
    <x v="2"/>
    <x v="2"/>
    <s v="Accessories &amp; Power"/>
    <x v="2"/>
    <x v="31"/>
    <n v="20"/>
    <n v="1"/>
    <s v="CUST-1947"/>
    <s v="New"/>
    <x v="1"/>
    <s v="Sale"/>
  </r>
  <r>
    <s v="ORD-10670"/>
    <x v="233"/>
    <x v="2"/>
    <x v="2"/>
    <s v="Networking &amp; Security"/>
    <x v="7"/>
    <x v="6"/>
    <n v="220"/>
    <n v="1"/>
    <s v="CUST-1499"/>
    <s v="New"/>
    <x v="1"/>
    <s v="Sale"/>
  </r>
  <r>
    <s v="ORD-10671"/>
    <x v="233"/>
    <x v="1"/>
    <x v="0"/>
    <s v="Smart Home &amp; IoT"/>
    <x v="8"/>
    <x v="3"/>
    <n v="130"/>
    <n v="1"/>
    <s v="CUST-2672"/>
    <s v="Existing"/>
    <x v="0"/>
    <s v="Sale"/>
  </r>
  <r>
    <s v="ORD-10672"/>
    <x v="234"/>
    <x v="1"/>
    <x v="2"/>
    <s v="Laptops &amp; Computers"/>
    <x v="9"/>
    <x v="59"/>
    <n v="-2400"/>
    <n v="-4"/>
    <s v="CUST-2378"/>
    <s v="New"/>
    <x v="1"/>
    <s v="Return"/>
  </r>
  <r>
    <s v="ORD-10673"/>
    <x v="235"/>
    <x v="1"/>
    <x v="0"/>
    <s v="Laptops &amp; Computers"/>
    <x v="9"/>
    <x v="15"/>
    <n v="600"/>
    <n v="1"/>
    <s v="CUST-2939"/>
    <s v="New"/>
    <x v="1"/>
    <s v="Sale"/>
  </r>
  <r>
    <s v="ORD-10674"/>
    <x v="236"/>
    <x v="0"/>
    <x v="2"/>
    <s v="Networking &amp; Security"/>
    <x v="10"/>
    <x v="11"/>
    <n v="110"/>
    <n v="1"/>
    <s v="CUST-2234"/>
    <s v="New"/>
    <x v="1"/>
    <s v="Sale"/>
  </r>
  <r>
    <s v="ORD-10675"/>
    <x v="236"/>
    <x v="0"/>
    <x v="0"/>
    <s v="Accessories &amp; Power"/>
    <x v="2"/>
    <x v="31"/>
    <n v="20"/>
    <n v="1"/>
    <s v="CUST-1657"/>
    <s v="New"/>
    <x v="1"/>
    <s v="Sale"/>
  </r>
  <r>
    <s v="ORD-10676"/>
    <x v="237"/>
    <x v="1"/>
    <x v="1"/>
    <s v="Networking &amp; Security"/>
    <x v="7"/>
    <x v="42"/>
    <n v="-440"/>
    <n v="-2"/>
    <s v="CUST-2619"/>
    <s v="New"/>
    <x v="1"/>
    <s v="Return"/>
  </r>
  <r>
    <s v="ORD-10677"/>
    <x v="237"/>
    <x v="0"/>
    <x v="0"/>
    <s v="Accessories &amp; Power"/>
    <x v="11"/>
    <x v="29"/>
    <n v="-90"/>
    <n v="-1"/>
    <s v="CUST-2053"/>
    <s v="New"/>
    <x v="1"/>
    <s v="Return"/>
  </r>
  <r>
    <s v="ORD-10678"/>
    <x v="237"/>
    <x v="0"/>
    <x v="0"/>
    <s v="Networking &amp; Security"/>
    <x v="10"/>
    <x v="26"/>
    <n v="220"/>
    <n v="2"/>
    <s v="CUST-1576"/>
    <s v="New"/>
    <x v="1"/>
    <s v="Sale"/>
  </r>
  <r>
    <s v="ORD-10679"/>
    <x v="238"/>
    <x v="2"/>
    <x v="0"/>
    <s v="Networking &amp; Security"/>
    <x v="10"/>
    <x v="26"/>
    <n v="220"/>
    <n v="2"/>
    <s v="CUST-2047"/>
    <s v="New"/>
    <x v="1"/>
    <s v="Sale"/>
  </r>
  <r>
    <s v="ORD-10680"/>
    <x v="239"/>
    <x v="4"/>
    <x v="2"/>
    <s v="Laptops &amp; Computers"/>
    <x v="9"/>
    <x v="15"/>
    <n v="600"/>
    <n v="1"/>
    <s v="CUST-1983"/>
    <s v="New"/>
    <x v="1"/>
    <s v="Sale"/>
  </r>
  <r>
    <s v="ORD-10681"/>
    <x v="239"/>
    <x v="5"/>
    <x v="0"/>
    <s v="Accessories &amp; Power"/>
    <x v="3"/>
    <x v="36"/>
    <n v="-65"/>
    <n v="-1"/>
    <s v="CUST-2966"/>
    <s v="New"/>
    <x v="1"/>
    <s v="Return"/>
  </r>
  <r>
    <s v="ORD-10682"/>
    <x v="240"/>
    <x v="0"/>
    <x v="0"/>
    <s v="Laptops &amp; Computers"/>
    <x v="0"/>
    <x v="40"/>
    <n v="1350"/>
    <n v="3"/>
    <s v="CUST-1722"/>
    <s v="Existing"/>
    <x v="0"/>
    <s v="Sale"/>
  </r>
  <r>
    <s v="ORD-10683"/>
    <x v="240"/>
    <x v="0"/>
    <x v="2"/>
    <s v="Accessories &amp; Power"/>
    <x v="2"/>
    <x v="2"/>
    <n v="40"/>
    <n v="2"/>
    <s v="CUST-1221"/>
    <s v="Existing"/>
    <x v="0"/>
    <s v="Sale"/>
  </r>
  <r>
    <s v="ORD-10684"/>
    <x v="240"/>
    <x v="4"/>
    <x v="0"/>
    <s v="Accessories &amp; Power"/>
    <x v="2"/>
    <x v="2"/>
    <n v="40"/>
    <n v="2"/>
    <s v="CUST-1601"/>
    <s v="New"/>
    <x v="1"/>
    <s v="Sale"/>
  </r>
  <r>
    <s v="ORD-10685"/>
    <x v="240"/>
    <x v="0"/>
    <x v="1"/>
    <s v="Accessories &amp; Power"/>
    <x v="11"/>
    <x v="4"/>
    <n v="90"/>
    <n v="1"/>
    <s v="CUST-2641"/>
    <s v="Existing"/>
    <x v="0"/>
    <s v="Sale"/>
  </r>
  <r>
    <s v="ORD-10686"/>
    <x v="241"/>
    <x v="0"/>
    <x v="1"/>
    <s v="Networking &amp; Security"/>
    <x v="7"/>
    <x v="6"/>
    <n v="220"/>
    <n v="1"/>
    <s v="CUST-1683"/>
    <s v="Existing"/>
    <x v="0"/>
    <s v="Sale"/>
  </r>
  <r>
    <s v="ORD-10687"/>
    <x v="241"/>
    <x v="5"/>
    <x v="2"/>
    <s v="Smart Home &amp; IoT"/>
    <x v="1"/>
    <x v="27"/>
    <n v="70"/>
    <n v="1"/>
    <s v="CUST-1741"/>
    <s v="New"/>
    <x v="1"/>
    <s v="Sale"/>
  </r>
  <r>
    <s v="ORD-10688"/>
    <x v="241"/>
    <x v="5"/>
    <x v="0"/>
    <s v="Accessories &amp; Power"/>
    <x v="11"/>
    <x v="29"/>
    <n v="-90"/>
    <n v="-1"/>
    <s v="CUST-1924"/>
    <s v="New"/>
    <x v="1"/>
    <s v="Return"/>
  </r>
  <r>
    <s v="ORD-10689"/>
    <x v="241"/>
    <x v="5"/>
    <x v="2"/>
    <s v="Laptops &amp; Computers"/>
    <x v="9"/>
    <x v="15"/>
    <n v="600"/>
    <n v="1"/>
    <s v="CUST-2612"/>
    <s v="New"/>
    <x v="1"/>
    <s v="Sale"/>
  </r>
  <r>
    <s v="ORD-10690"/>
    <x v="241"/>
    <x v="0"/>
    <x v="0"/>
    <s v="Smart Home &amp; IoT"/>
    <x v="1"/>
    <x v="1"/>
    <n v="140"/>
    <n v="2"/>
    <s v="CUST-1579"/>
    <s v="New"/>
    <x v="1"/>
    <s v="Sale"/>
  </r>
  <r>
    <s v="ORD-10691"/>
    <x v="241"/>
    <x v="0"/>
    <x v="0"/>
    <s v="Laptops &amp; Computers"/>
    <x v="9"/>
    <x v="15"/>
    <n v="600"/>
    <n v="1"/>
    <s v="CUST-2900"/>
    <s v="Existing"/>
    <x v="0"/>
    <s v="Sale"/>
  </r>
  <r>
    <s v="ORD-10692"/>
    <x v="241"/>
    <x v="4"/>
    <x v="0"/>
    <s v="Networking &amp; Security"/>
    <x v="5"/>
    <x v="14"/>
    <n v="180"/>
    <n v="2"/>
    <s v="CUST-1400"/>
    <s v="Existing"/>
    <x v="0"/>
    <s v="Sale"/>
  </r>
  <r>
    <s v="ORD-10693"/>
    <x v="242"/>
    <x v="0"/>
    <x v="1"/>
    <s v="Laptops &amp; Computers"/>
    <x v="9"/>
    <x v="9"/>
    <n v="1200"/>
    <n v="2"/>
    <s v="CUST-2888"/>
    <s v="New"/>
    <x v="1"/>
    <s v="Sale"/>
  </r>
  <r>
    <s v="ORD-10694"/>
    <x v="242"/>
    <x v="2"/>
    <x v="0"/>
    <s v="Laptops &amp; Computers"/>
    <x v="9"/>
    <x v="15"/>
    <n v="600"/>
    <n v="1"/>
    <s v="CUST-1900"/>
    <s v="New"/>
    <x v="1"/>
    <s v="Sale"/>
  </r>
  <r>
    <s v="ORD-10695"/>
    <x v="242"/>
    <x v="2"/>
    <x v="2"/>
    <s v="Networking &amp; Security"/>
    <x v="10"/>
    <x v="26"/>
    <n v="220"/>
    <n v="2"/>
    <s v="CUST-2627"/>
    <s v="Existing"/>
    <x v="0"/>
    <s v="Sale"/>
  </r>
  <r>
    <s v="ORD-10696"/>
    <x v="243"/>
    <x v="5"/>
    <x v="2"/>
    <s v="Networking &amp; Security"/>
    <x v="10"/>
    <x v="11"/>
    <n v="110"/>
    <n v="1"/>
    <s v="CUST-1511"/>
    <s v="New"/>
    <x v="1"/>
    <s v="Sale"/>
  </r>
  <r>
    <s v="ORD-10697"/>
    <x v="243"/>
    <x v="1"/>
    <x v="0"/>
    <s v="Smart Home &amp; IoT"/>
    <x v="4"/>
    <x v="11"/>
    <n v="110"/>
    <n v="2"/>
    <s v="CUST-1087"/>
    <s v="Existing"/>
    <x v="0"/>
    <s v="Sale"/>
  </r>
  <r>
    <s v="ORD-10698"/>
    <x v="244"/>
    <x v="0"/>
    <x v="0"/>
    <s v="Laptops &amp; Computers"/>
    <x v="9"/>
    <x v="57"/>
    <n v="-600"/>
    <n v="-1"/>
    <s v="CUST-2488"/>
    <s v="New"/>
    <x v="1"/>
    <s v="Return"/>
  </r>
  <r>
    <s v="ORD-10699"/>
    <x v="245"/>
    <x v="5"/>
    <x v="1"/>
    <s v="Networking &amp; Security"/>
    <x v="5"/>
    <x v="4"/>
    <n v="90"/>
    <n v="1"/>
    <s v="CUST-1049"/>
    <s v="Existing"/>
    <x v="0"/>
    <s v="Sale"/>
  </r>
  <r>
    <s v="ORD-10700"/>
    <x v="245"/>
    <x v="3"/>
    <x v="2"/>
    <s v="Laptops &amp; Computers"/>
    <x v="6"/>
    <x v="5"/>
    <n v="1700"/>
    <n v="2"/>
    <s v="CUST-1102"/>
    <s v="New"/>
    <x v="1"/>
    <s v="Sale"/>
  </r>
  <r>
    <s v="ORD-10701"/>
    <x v="245"/>
    <x v="4"/>
    <x v="2"/>
    <s v="Smart Home &amp; IoT"/>
    <x v="1"/>
    <x v="27"/>
    <n v="70"/>
    <n v="1"/>
    <s v="CUST-1367"/>
    <s v="Existing"/>
    <x v="0"/>
    <s v="Sale"/>
  </r>
  <r>
    <s v="ORD-10702"/>
    <x v="245"/>
    <x v="0"/>
    <x v="0"/>
    <s v="Smart Home &amp; IoT"/>
    <x v="8"/>
    <x v="7"/>
    <n v="390"/>
    <n v="3"/>
    <s v="CUST-1935"/>
    <s v="New"/>
    <x v="1"/>
    <s v="Sale"/>
  </r>
  <r>
    <s v="ORD-10703"/>
    <x v="246"/>
    <x v="0"/>
    <x v="0"/>
    <s v="Smart Home &amp; IoT"/>
    <x v="1"/>
    <x v="52"/>
    <n v="-70"/>
    <n v="-1"/>
    <s v="CUST-2515"/>
    <s v="Existing"/>
    <x v="0"/>
    <s v="Return"/>
  </r>
  <r>
    <s v="ORD-10704"/>
    <x v="246"/>
    <x v="4"/>
    <x v="0"/>
    <s v="Smart Home &amp; IoT"/>
    <x v="4"/>
    <x v="2"/>
    <n v="55"/>
    <n v="1"/>
    <s v="CUST-2581"/>
    <s v="New"/>
    <x v="1"/>
    <s v="Sale"/>
  </r>
  <r>
    <s v="ORD-10705"/>
    <x v="246"/>
    <x v="2"/>
    <x v="0"/>
    <s v="Networking &amp; Security"/>
    <x v="5"/>
    <x v="4"/>
    <n v="90"/>
    <n v="1"/>
    <s v="CUST-2714"/>
    <s v="Existing"/>
    <x v="0"/>
    <s v="Sale"/>
  </r>
  <r>
    <s v="ORD-10706"/>
    <x v="246"/>
    <x v="3"/>
    <x v="0"/>
    <s v="Accessories &amp; Power"/>
    <x v="2"/>
    <x v="31"/>
    <n v="20"/>
    <n v="1"/>
    <s v="CUST-2802"/>
    <s v="Existing"/>
    <x v="0"/>
    <s v="Sale"/>
  </r>
  <r>
    <s v="ORD-10707"/>
    <x v="247"/>
    <x v="0"/>
    <x v="1"/>
    <s v="Networking &amp; Security"/>
    <x v="10"/>
    <x v="11"/>
    <n v="110"/>
    <n v="1"/>
    <s v="CUST-2291"/>
    <s v="New"/>
    <x v="1"/>
    <s v="Sale"/>
  </r>
  <r>
    <s v="ORD-10708"/>
    <x v="247"/>
    <x v="5"/>
    <x v="0"/>
    <s v="Networking &amp; Security"/>
    <x v="10"/>
    <x v="26"/>
    <n v="220"/>
    <n v="2"/>
    <s v="CUST-2420"/>
    <s v="New"/>
    <x v="1"/>
    <s v="Sale"/>
  </r>
  <r>
    <s v="ORD-10709"/>
    <x v="247"/>
    <x v="2"/>
    <x v="0"/>
    <s v="Smart Home &amp; IoT"/>
    <x v="1"/>
    <x v="1"/>
    <n v="140"/>
    <n v="2"/>
    <s v="CUST-2343"/>
    <s v="Existing"/>
    <x v="0"/>
    <s v="Sale"/>
  </r>
  <r>
    <s v="ORD-10710"/>
    <x v="248"/>
    <x v="2"/>
    <x v="2"/>
    <s v="Laptops &amp; Computers"/>
    <x v="0"/>
    <x v="40"/>
    <n v="1350"/>
    <n v="3"/>
    <s v="CUST-2543"/>
    <s v="New"/>
    <x v="1"/>
    <s v="Sale"/>
  </r>
  <r>
    <s v="ORD-10711"/>
    <x v="248"/>
    <x v="1"/>
    <x v="2"/>
    <s v="Smart Home &amp; IoT"/>
    <x v="4"/>
    <x v="26"/>
    <n v="220"/>
    <n v="4"/>
    <s v="CUST-2472"/>
    <s v="Existing"/>
    <x v="0"/>
    <s v="Sale"/>
  </r>
  <r>
    <s v="ORD-10712"/>
    <x v="249"/>
    <x v="0"/>
    <x v="0"/>
    <s v="Smart Home &amp; IoT"/>
    <x v="1"/>
    <x v="27"/>
    <n v="70"/>
    <n v="1"/>
    <s v="CUST-2800"/>
    <s v="New"/>
    <x v="1"/>
    <s v="Sale"/>
  </r>
  <r>
    <s v="ORD-10713"/>
    <x v="250"/>
    <x v="5"/>
    <x v="2"/>
    <s v="Networking &amp; Security"/>
    <x v="7"/>
    <x v="21"/>
    <n v="440"/>
    <n v="2"/>
    <s v="CUST-2499"/>
    <s v="New"/>
    <x v="1"/>
    <s v="Sale"/>
  </r>
  <r>
    <s v="ORD-10714"/>
    <x v="250"/>
    <x v="0"/>
    <x v="0"/>
    <s v="Laptops &amp; Computers"/>
    <x v="6"/>
    <x v="10"/>
    <n v="850"/>
    <n v="1"/>
    <s v="CUST-1897"/>
    <s v="Existing"/>
    <x v="0"/>
    <s v="Sale"/>
  </r>
  <r>
    <s v="ORD-10715"/>
    <x v="250"/>
    <x v="1"/>
    <x v="0"/>
    <s v="Laptops &amp; Computers"/>
    <x v="6"/>
    <x v="49"/>
    <n v="-1700"/>
    <n v="-2"/>
    <s v="CUST-2613"/>
    <s v="New"/>
    <x v="1"/>
    <s v="Return"/>
  </r>
  <r>
    <s v="ORD-10716"/>
    <x v="250"/>
    <x v="4"/>
    <x v="0"/>
    <s v="Accessories &amp; Power"/>
    <x v="11"/>
    <x v="4"/>
    <n v="90"/>
    <n v="1"/>
    <s v="CUST-1908"/>
    <s v="New"/>
    <x v="1"/>
    <s v="Sale"/>
  </r>
  <r>
    <s v="ORD-10717"/>
    <x v="251"/>
    <x v="1"/>
    <x v="1"/>
    <s v="Smart Home &amp; IoT"/>
    <x v="8"/>
    <x v="60"/>
    <n v="650"/>
    <n v="5"/>
    <s v="CUST-2263"/>
    <s v="New"/>
    <x v="1"/>
    <s v="Sale"/>
  </r>
  <r>
    <s v="ORD-10718"/>
    <x v="252"/>
    <x v="3"/>
    <x v="0"/>
    <s v="Laptops &amp; Computers"/>
    <x v="6"/>
    <x v="5"/>
    <n v="1700"/>
    <n v="2"/>
    <s v="CUST-1257"/>
    <s v="New"/>
    <x v="1"/>
    <s v="Sale"/>
  </r>
  <r>
    <s v="ORD-10719"/>
    <x v="252"/>
    <x v="0"/>
    <x v="0"/>
    <s v="Networking &amp; Security"/>
    <x v="10"/>
    <x v="45"/>
    <n v="440"/>
    <n v="4"/>
    <s v="CUST-2731"/>
    <s v="New"/>
    <x v="1"/>
    <s v="Sale"/>
  </r>
  <r>
    <s v="ORD-10720"/>
    <x v="252"/>
    <x v="2"/>
    <x v="0"/>
    <s v="Smart Home &amp; IoT"/>
    <x v="4"/>
    <x v="11"/>
    <n v="110"/>
    <n v="2"/>
    <s v="CUST-2995"/>
    <s v="New"/>
    <x v="1"/>
    <s v="Sale"/>
  </r>
  <r>
    <s v="ORD-10721"/>
    <x v="252"/>
    <x v="4"/>
    <x v="1"/>
    <s v="Accessories &amp; Power"/>
    <x v="3"/>
    <x v="16"/>
    <n v="195"/>
    <n v="3"/>
    <s v="CUST-2967"/>
    <s v="New"/>
    <x v="1"/>
    <s v="Sale"/>
  </r>
  <r>
    <s v="ORD-10722"/>
    <x v="253"/>
    <x v="0"/>
    <x v="0"/>
    <s v="Laptops &amp; Computers"/>
    <x v="9"/>
    <x v="9"/>
    <n v="1200"/>
    <n v="2"/>
    <s v="CUST-2865"/>
    <s v="New"/>
    <x v="1"/>
    <s v="Sale"/>
  </r>
  <r>
    <s v="ORD-10723"/>
    <x v="253"/>
    <x v="0"/>
    <x v="0"/>
    <s v="Laptops &amp; Computers"/>
    <x v="6"/>
    <x v="10"/>
    <n v="850"/>
    <n v="1"/>
    <s v="CUST-2666"/>
    <s v="New"/>
    <x v="1"/>
    <s v="Sale"/>
  </r>
  <r>
    <s v="ORD-10724"/>
    <x v="253"/>
    <x v="1"/>
    <x v="0"/>
    <s v="Accessories &amp; Power"/>
    <x v="2"/>
    <x v="31"/>
    <n v="20"/>
    <n v="1"/>
    <s v="CUST-2987"/>
    <s v="New"/>
    <x v="1"/>
    <s v="Sale"/>
  </r>
  <r>
    <s v="ORD-10725"/>
    <x v="253"/>
    <x v="0"/>
    <x v="0"/>
    <s v="Laptops &amp; Computers"/>
    <x v="9"/>
    <x v="15"/>
    <n v="600"/>
    <n v="1"/>
    <s v="CUST-1389"/>
    <s v="New"/>
    <x v="1"/>
    <s v="Sale"/>
  </r>
  <r>
    <s v="ORD-10726"/>
    <x v="254"/>
    <x v="2"/>
    <x v="2"/>
    <s v="Laptops &amp; Computers"/>
    <x v="6"/>
    <x v="10"/>
    <n v="850"/>
    <n v="1"/>
    <s v="CUST-2366"/>
    <s v="New"/>
    <x v="1"/>
    <s v="Sale"/>
  </r>
  <r>
    <s v="ORD-10727"/>
    <x v="254"/>
    <x v="4"/>
    <x v="2"/>
    <s v="Accessories &amp; Power"/>
    <x v="3"/>
    <x v="13"/>
    <n v="65"/>
    <n v="1"/>
    <s v="CUST-1772"/>
    <s v="Existing"/>
    <x v="0"/>
    <s v="Sale"/>
  </r>
  <r>
    <s v="ORD-10728"/>
    <x v="254"/>
    <x v="1"/>
    <x v="0"/>
    <s v="Smart Home &amp; IoT"/>
    <x v="1"/>
    <x v="27"/>
    <n v="70"/>
    <n v="1"/>
    <s v="CUST-1753"/>
    <s v="New"/>
    <x v="1"/>
    <s v="Sale"/>
  </r>
  <r>
    <s v="ORD-10729"/>
    <x v="255"/>
    <x v="0"/>
    <x v="0"/>
    <s v="Laptops &amp; Computers"/>
    <x v="6"/>
    <x v="10"/>
    <n v="850"/>
    <n v="1"/>
    <s v="CUST-2410"/>
    <s v="Existing"/>
    <x v="0"/>
    <s v="Sale"/>
  </r>
  <r>
    <s v="ORD-10730"/>
    <x v="255"/>
    <x v="1"/>
    <x v="0"/>
    <s v="Laptops &amp; Computers"/>
    <x v="6"/>
    <x v="61"/>
    <n v="-3400"/>
    <n v="-4"/>
    <s v="CUST-1393"/>
    <s v="New"/>
    <x v="1"/>
    <s v="Return"/>
  </r>
  <r>
    <s v="ORD-10731"/>
    <x v="256"/>
    <x v="2"/>
    <x v="0"/>
    <s v="Laptops &amp; Computers"/>
    <x v="6"/>
    <x v="33"/>
    <n v="2550"/>
    <n v="3"/>
    <s v="CUST-1682"/>
    <s v="New"/>
    <x v="1"/>
    <s v="Sale"/>
  </r>
  <r>
    <s v="ORD-10732"/>
    <x v="256"/>
    <x v="0"/>
    <x v="0"/>
    <s v="Laptops &amp; Computers"/>
    <x v="6"/>
    <x v="10"/>
    <n v="850"/>
    <n v="1"/>
    <s v="CUST-2682"/>
    <s v="New"/>
    <x v="1"/>
    <s v="Sale"/>
  </r>
  <r>
    <s v="ORD-10733"/>
    <x v="256"/>
    <x v="5"/>
    <x v="2"/>
    <s v="Accessories &amp; Power"/>
    <x v="2"/>
    <x v="31"/>
    <n v="20"/>
    <n v="1"/>
    <s v="CUST-1269"/>
    <s v="New"/>
    <x v="1"/>
    <s v="Sale"/>
  </r>
  <r>
    <s v="ORD-10734"/>
    <x v="257"/>
    <x v="5"/>
    <x v="1"/>
    <s v="Networking &amp; Security"/>
    <x v="5"/>
    <x v="4"/>
    <n v="90"/>
    <n v="1"/>
    <s v="CUST-1148"/>
    <s v="New"/>
    <x v="1"/>
    <s v="Sale"/>
  </r>
  <r>
    <s v="ORD-10735"/>
    <x v="257"/>
    <x v="5"/>
    <x v="1"/>
    <s v="Smart Home &amp; IoT"/>
    <x v="4"/>
    <x v="2"/>
    <n v="55"/>
    <n v="1"/>
    <s v="CUST-2403"/>
    <s v="Existing"/>
    <x v="0"/>
    <s v="Sale"/>
  </r>
  <r>
    <s v="ORD-10736"/>
    <x v="258"/>
    <x v="0"/>
    <x v="1"/>
    <s v="Accessories &amp; Power"/>
    <x v="3"/>
    <x v="3"/>
    <n v="130"/>
    <n v="2"/>
    <s v="CUST-1810"/>
    <s v="New"/>
    <x v="1"/>
    <s v="Sale"/>
  </r>
  <r>
    <s v="ORD-10737"/>
    <x v="258"/>
    <x v="2"/>
    <x v="2"/>
    <s v="Networking &amp; Security"/>
    <x v="7"/>
    <x v="6"/>
    <n v="220"/>
    <n v="1"/>
    <s v="CUST-1027"/>
    <s v="New"/>
    <x v="1"/>
    <s v="Sale"/>
  </r>
  <r>
    <s v="ORD-10738"/>
    <x v="258"/>
    <x v="0"/>
    <x v="2"/>
    <s v="Laptops &amp; Computers"/>
    <x v="0"/>
    <x v="0"/>
    <n v="450"/>
    <n v="1"/>
    <s v="CUST-2172"/>
    <s v="New"/>
    <x v="1"/>
    <s v="Sale"/>
  </r>
  <r>
    <s v="ORD-10739"/>
    <x v="259"/>
    <x v="0"/>
    <x v="0"/>
    <s v="Networking &amp; Security"/>
    <x v="7"/>
    <x v="18"/>
    <n v="660"/>
    <n v="3"/>
    <s v="CUST-2443"/>
    <s v="New"/>
    <x v="1"/>
    <s v="Sale"/>
  </r>
  <r>
    <s v="ORD-10740"/>
    <x v="259"/>
    <x v="3"/>
    <x v="2"/>
    <s v="Accessories &amp; Power"/>
    <x v="11"/>
    <x v="14"/>
    <n v="180"/>
    <n v="2"/>
    <s v="CUST-1279"/>
    <s v="Existing"/>
    <x v="0"/>
    <s v="Sale"/>
  </r>
  <r>
    <s v="ORD-10741"/>
    <x v="259"/>
    <x v="2"/>
    <x v="0"/>
    <s v="Accessories &amp; Power"/>
    <x v="2"/>
    <x v="31"/>
    <n v="20"/>
    <n v="1"/>
    <s v="CUST-2205"/>
    <s v="New"/>
    <x v="1"/>
    <s v="Sale"/>
  </r>
  <r>
    <s v="ORD-10742"/>
    <x v="259"/>
    <x v="0"/>
    <x v="0"/>
    <s v="Laptops &amp; Computers"/>
    <x v="9"/>
    <x v="9"/>
    <n v="1200"/>
    <n v="2"/>
    <s v="CUST-1165"/>
    <s v="New"/>
    <x v="1"/>
    <s v="Sale"/>
  </r>
  <r>
    <s v="ORD-10743"/>
    <x v="259"/>
    <x v="0"/>
    <x v="2"/>
    <s v="Smart Home &amp; IoT"/>
    <x v="8"/>
    <x v="3"/>
    <n v="130"/>
    <n v="1"/>
    <s v="CUST-1016"/>
    <s v="New"/>
    <x v="1"/>
    <s v="Sale"/>
  </r>
  <r>
    <s v="ORD-10744"/>
    <x v="259"/>
    <x v="0"/>
    <x v="0"/>
    <s v="Smart Home &amp; IoT"/>
    <x v="8"/>
    <x v="3"/>
    <n v="130"/>
    <n v="1"/>
    <s v="CUST-2173"/>
    <s v="Existing"/>
    <x v="0"/>
    <s v="Sale"/>
  </r>
  <r>
    <s v="ORD-10745"/>
    <x v="260"/>
    <x v="0"/>
    <x v="0"/>
    <s v="Accessories &amp; Power"/>
    <x v="2"/>
    <x v="31"/>
    <n v="20"/>
    <n v="1"/>
    <s v="CUST-1338"/>
    <s v="Existing"/>
    <x v="0"/>
    <s v="Sale"/>
  </r>
  <r>
    <s v="ORD-10746"/>
    <x v="260"/>
    <x v="0"/>
    <x v="1"/>
    <s v="Laptops &amp; Computers"/>
    <x v="6"/>
    <x v="10"/>
    <n v="850"/>
    <n v="1"/>
    <s v="CUST-2068"/>
    <s v="New"/>
    <x v="1"/>
    <s v="Sale"/>
  </r>
  <r>
    <s v="ORD-10747"/>
    <x v="261"/>
    <x v="0"/>
    <x v="0"/>
    <s v="Networking &amp; Security"/>
    <x v="10"/>
    <x v="11"/>
    <n v="110"/>
    <n v="1"/>
    <s v="CUST-2525"/>
    <s v="New"/>
    <x v="1"/>
    <s v="Sale"/>
  </r>
  <r>
    <s v="ORD-10748"/>
    <x v="261"/>
    <x v="1"/>
    <x v="0"/>
    <s v="Accessories &amp; Power"/>
    <x v="2"/>
    <x v="31"/>
    <n v="20"/>
    <n v="1"/>
    <s v="CUST-1841"/>
    <s v="New"/>
    <x v="1"/>
    <s v="Sale"/>
  </r>
  <r>
    <s v="ORD-10749"/>
    <x v="261"/>
    <x v="2"/>
    <x v="1"/>
    <s v="Networking &amp; Security"/>
    <x v="10"/>
    <x v="26"/>
    <n v="220"/>
    <n v="2"/>
    <s v="CUST-1188"/>
    <s v="New"/>
    <x v="1"/>
    <s v="Sale"/>
  </r>
  <r>
    <s v="ORD-10750"/>
    <x v="261"/>
    <x v="5"/>
    <x v="2"/>
    <s v="Networking &amp; Security"/>
    <x v="7"/>
    <x v="21"/>
    <n v="440"/>
    <n v="2"/>
    <s v="CUST-1650"/>
    <s v="New"/>
    <x v="1"/>
    <s v="Sale"/>
  </r>
  <r>
    <s v="ORD-10751"/>
    <x v="261"/>
    <x v="2"/>
    <x v="2"/>
    <s v="Laptops &amp; Computers"/>
    <x v="6"/>
    <x v="10"/>
    <n v="850"/>
    <n v="1"/>
    <s v="CUST-2084"/>
    <s v="Existing"/>
    <x v="0"/>
    <s v="Sale"/>
  </r>
  <r>
    <s v="ORD-10752"/>
    <x v="261"/>
    <x v="0"/>
    <x v="0"/>
    <s v="Laptops &amp; Computers"/>
    <x v="0"/>
    <x v="0"/>
    <n v="450"/>
    <n v="1"/>
    <s v="CUST-1293"/>
    <s v="Existing"/>
    <x v="0"/>
    <s v="Sale"/>
  </r>
  <r>
    <s v="ORD-10753"/>
    <x v="261"/>
    <x v="4"/>
    <x v="0"/>
    <s v="Networking &amp; Security"/>
    <x v="10"/>
    <x v="26"/>
    <n v="220"/>
    <n v="2"/>
    <s v="CUST-2857"/>
    <s v="New"/>
    <x v="1"/>
    <s v="Sale"/>
  </r>
  <r>
    <s v="ORD-10754"/>
    <x v="262"/>
    <x v="3"/>
    <x v="1"/>
    <s v="Accessories &amp; Power"/>
    <x v="3"/>
    <x v="13"/>
    <n v="65"/>
    <n v="1"/>
    <s v="CUST-2056"/>
    <s v="Existing"/>
    <x v="0"/>
    <s v="Sale"/>
  </r>
  <r>
    <s v="ORD-10755"/>
    <x v="263"/>
    <x v="3"/>
    <x v="2"/>
    <s v="Laptops &amp; Computers"/>
    <x v="6"/>
    <x v="33"/>
    <n v="2550"/>
    <n v="3"/>
    <s v="CUST-2322"/>
    <s v="Existing"/>
    <x v="0"/>
    <s v="Sale"/>
  </r>
  <r>
    <s v="ORD-10756"/>
    <x v="263"/>
    <x v="3"/>
    <x v="2"/>
    <s v="Networking &amp; Security"/>
    <x v="5"/>
    <x v="14"/>
    <n v="180"/>
    <n v="2"/>
    <s v="CUST-1414"/>
    <s v="New"/>
    <x v="1"/>
    <s v="Sale"/>
  </r>
  <r>
    <s v="ORD-10757"/>
    <x v="263"/>
    <x v="4"/>
    <x v="0"/>
    <s v="Smart Home &amp; IoT"/>
    <x v="8"/>
    <x v="3"/>
    <n v="130"/>
    <n v="1"/>
    <s v="CUST-2647"/>
    <s v="Existing"/>
    <x v="0"/>
    <s v="Sale"/>
  </r>
  <r>
    <s v="ORD-10758"/>
    <x v="264"/>
    <x v="5"/>
    <x v="0"/>
    <s v="Laptops &amp; Computers"/>
    <x v="6"/>
    <x v="10"/>
    <n v="850"/>
    <n v="1"/>
    <s v="CUST-1802"/>
    <s v="New"/>
    <x v="1"/>
    <s v="Sale"/>
  </r>
  <r>
    <s v="ORD-10759"/>
    <x v="264"/>
    <x v="0"/>
    <x v="1"/>
    <s v="Networking &amp; Security"/>
    <x v="7"/>
    <x v="6"/>
    <n v="220"/>
    <n v="1"/>
    <s v="CUST-2572"/>
    <s v="Existing"/>
    <x v="0"/>
    <s v="Sale"/>
  </r>
  <r>
    <s v="ORD-10760"/>
    <x v="265"/>
    <x v="5"/>
    <x v="0"/>
    <s v="Smart Home &amp; IoT"/>
    <x v="1"/>
    <x v="27"/>
    <n v="70"/>
    <n v="1"/>
    <s v="CUST-1430"/>
    <s v="Existing"/>
    <x v="0"/>
    <s v="Sale"/>
  </r>
  <r>
    <s v="ORD-10761"/>
    <x v="266"/>
    <x v="2"/>
    <x v="2"/>
    <s v="Accessories &amp; Power"/>
    <x v="11"/>
    <x v="4"/>
    <n v="90"/>
    <n v="1"/>
    <s v="CUST-2518"/>
    <s v="New"/>
    <x v="1"/>
    <s v="Sale"/>
  </r>
  <r>
    <s v="ORD-10762"/>
    <x v="266"/>
    <x v="2"/>
    <x v="0"/>
    <s v="Smart Home &amp; IoT"/>
    <x v="4"/>
    <x v="11"/>
    <n v="110"/>
    <n v="2"/>
    <s v="CUST-2123"/>
    <s v="New"/>
    <x v="1"/>
    <s v="Sale"/>
  </r>
  <r>
    <s v="ORD-10763"/>
    <x v="267"/>
    <x v="5"/>
    <x v="2"/>
    <s v="Smart Home &amp; IoT"/>
    <x v="8"/>
    <x v="22"/>
    <n v="-130"/>
    <n v="-1"/>
    <s v="CUST-2046"/>
    <s v="New"/>
    <x v="1"/>
    <s v="Return"/>
  </r>
  <r>
    <s v="ORD-10764"/>
    <x v="267"/>
    <x v="0"/>
    <x v="1"/>
    <s v="Laptops &amp; Computers"/>
    <x v="6"/>
    <x v="10"/>
    <n v="850"/>
    <n v="1"/>
    <s v="CUST-2443"/>
    <s v="Existing"/>
    <x v="0"/>
    <s v="Sale"/>
  </r>
  <r>
    <s v="ORD-10765"/>
    <x v="268"/>
    <x v="1"/>
    <x v="2"/>
    <s v="Accessories &amp; Power"/>
    <x v="11"/>
    <x v="4"/>
    <n v="90"/>
    <n v="1"/>
    <s v="CUST-2447"/>
    <s v="New"/>
    <x v="1"/>
    <s v="Sale"/>
  </r>
  <r>
    <s v="ORD-10766"/>
    <x v="268"/>
    <x v="4"/>
    <x v="0"/>
    <s v="Laptops &amp; Computers"/>
    <x v="0"/>
    <x v="0"/>
    <n v="450"/>
    <n v="1"/>
    <s v="CUST-1486"/>
    <s v="Existing"/>
    <x v="0"/>
    <s v="Sale"/>
  </r>
  <r>
    <s v="ORD-10767"/>
    <x v="269"/>
    <x v="5"/>
    <x v="2"/>
    <s v="Accessories &amp; Power"/>
    <x v="11"/>
    <x v="4"/>
    <n v="90"/>
    <n v="1"/>
    <s v="CUST-2753"/>
    <s v="Existing"/>
    <x v="0"/>
    <s v="Sale"/>
  </r>
  <r>
    <s v="ORD-10768"/>
    <x v="269"/>
    <x v="5"/>
    <x v="2"/>
    <s v="Laptops &amp; Computers"/>
    <x v="0"/>
    <x v="0"/>
    <n v="450"/>
    <n v="1"/>
    <s v="CUST-1088"/>
    <s v="New"/>
    <x v="1"/>
    <s v="Sale"/>
  </r>
  <r>
    <s v="ORD-10769"/>
    <x v="270"/>
    <x v="0"/>
    <x v="0"/>
    <s v="Accessories &amp; Power"/>
    <x v="3"/>
    <x v="13"/>
    <n v="65"/>
    <n v="1"/>
    <s v="CUST-2232"/>
    <s v="New"/>
    <x v="1"/>
    <s v="Sale"/>
  </r>
  <r>
    <s v="ORD-10770"/>
    <x v="271"/>
    <x v="1"/>
    <x v="1"/>
    <s v="Smart Home &amp; IoT"/>
    <x v="1"/>
    <x v="1"/>
    <n v="140"/>
    <n v="2"/>
    <s v="CUST-1270"/>
    <s v="New"/>
    <x v="1"/>
    <s v="Sale"/>
  </r>
  <r>
    <s v="ORD-10771"/>
    <x v="271"/>
    <x v="3"/>
    <x v="2"/>
    <s v="Accessories &amp; Power"/>
    <x v="3"/>
    <x v="13"/>
    <n v="65"/>
    <n v="1"/>
    <s v="CUST-2956"/>
    <s v="Existing"/>
    <x v="0"/>
    <s v="Sale"/>
  </r>
  <r>
    <s v="ORD-10772"/>
    <x v="271"/>
    <x v="2"/>
    <x v="1"/>
    <s v="Laptops &amp; Computers"/>
    <x v="6"/>
    <x v="5"/>
    <n v="1700"/>
    <n v="2"/>
    <s v="CUST-2772"/>
    <s v="Existing"/>
    <x v="0"/>
    <s v="Sale"/>
  </r>
  <r>
    <s v="ORD-10773"/>
    <x v="271"/>
    <x v="2"/>
    <x v="2"/>
    <s v="Networking &amp; Security"/>
    <x v="10"/>
    <x v="8"/>
    <n v="-110"/>
    <n v="-1"/>
    <s v="CUST-1899"/>
    <s v="New"/>
    <x v="1"/>
    <s v="Return"/>
  </r>
  <r>
    <s v="ORD-10774"/>
    <x v="272"/>
    <x v="1"/>
    <x v="0"/>
    <s v="Smart Home &amp; IoT"/>
    <x v="1"/>
    <x v="27"/>
    <n v="70"/>
    <n v="1"/>
    <s v="CUST-2429"/>
    <s v="New"/>
    <x v="1"/>
    <s v="Sale"/>
  </r>
  <r>
    <s v="ORD-10775"/>
    <x v="272"/>
    <x v="5"/>
    <x v="0"/>
    <s v="Accessories &amp; Power"/>
    <x v="11"/>
    <x v="29"/>
    <n v="-90"/>
    <n v="-1"/>
    <s v="CUST-2744"/>
    <s v="Existing"/>
    <x v="0"/>
    <s v="Return"/>
  </r>
  <r>
    <s v="ORD-10776"/>
    <x v="272"/>
    <x v="0"/>
    <x v="0"/>
    <s v="Laptops &amp; Computers"/>
    <x v="9"/>
    <x v="9"/>
    <n v="1200"/>
    <n v="2"/>
    <s v="CUST-1277"/>
    <s v="New"/>
    <x v="1"/>
    <s v="Sale"/>
  </r>
  <r>
    <s v="ORD-10777"/>
    <x v="272"/>
    <x v="2"/>
    <x v="1"/>
    <s v="Accessories &amp; Power"/>
    <x v="2"/>
    <x v="31"/>
    <n v="20"/>
    <n v="1"/>
    <s v="CUST-1205"/>
    <s v="New"/>
    <x v="1"/>
    <s v="Sale"/>
  </r>
  <r>
    <s v="ORD-10778"/>
    <x v="272"/>
    <x v="1"/>
    <x v="2"/>
    <s v="Accessories &amp; Power"/>
    <x v="2"/>
    <x v="31"/>
    <n v="20"/>
    <n v="1"/>
    <s v="CUST-2613"/>
    <s v="New"/>
    <x v="1"/>
    <s v="Sale"/>
  </r>
  <r>
    <s v="ORD-10779"/>
    <x v="273"/>
    <x v="1"/>
    <x v="2"/>
    <s v="Laptops &amp; Computers"/>
    <x v="0"/>
    <x v="39"/>
    <n v="-450"/>
    <n v="-1"/>
    <s v="CUST-1912"/>
    <s v="Existing"/>
    <x v="0"/>
    <s v="Return"/>
  </r>
  <r>
    <s v="ORD-10780"/>
    <x v="273"/>
    <x v="5"/>
    <x v="0"/>
    <s v="Accessories &amp; Power"/>
    <x v="2"/>
    <x v="31"/>
    <n v="20"/>
    <n v="1"/>
    <s v="CUST-1327"/>
    <s v="New"/>
    <x v="1"/>
    <s v="Sale"/>
  </r>
  <r>
    <s v="ORD-10781"/>
    <x v="273"/>
    <x v="4"/>
    <x v="0"/>
    <s v="Networking &amp; Security"/>
    <x v="5"/>
    <x v="4"/>
    <n v="90"/>
    <n v="1"/>
    <s v="CUST-2633"/>
    <s v="New"/>
    <x v="1"/>
    <s v="Sale"/>
  </r>
  <r>
    <s v="ORD-10782"/>
    <x v="274"/>
    <x v="0"/>
    <x v="2"/>
    <s v="Networking &amp; Security"/>
    <x v="10"/>
    <x v="26"/>
    <n v="220"/>
    <n v="2"/>
    <s v="CUST-1857"/>
    <s v="Existing"/>
    <x v="0"/>
    <s v="Sale"/>
  </r>
  <r>
    <s v="ORD-10783"/>
    <x v="274"/>
    <x v="3"/>
    <x v="0"/>
    <s v="Networking &amp; Security"/>
    <x v="10"/>
    <x v="11"/>
    <n v="110"/>
    <n v="1"/>
    <s v="CUST-1876"/>
    <s v="New"/>
    <x v="1"/>
    <s v="Sale"/>
  </r>
  <r>
    <s v="ORD-10784"/>
    <x v="274"/>
    <x v="0"/>
    <x v="0"/>
    <s v="Smart Home &amp; IoT"/>
    <x v="1"/>
    <x v="1"/>
    <n v="140"/>
    <n v="2"/>
    <s v="CUST-1861"/>
    <s v="New"/>
    <x v="1"/>
    <s v="Sale"/>
  </r>
  <r>
    <s v="ORD-10785"/>
    <x v="274"/>
    <x v="1"/>
    <x v="2"/>
    <s v="Smart Home &amp; IoT"/>
    <x v="1"/>
    <x v="52"/>
    <n v="-70"/>
    <n v="-1"/>
    <s v="CUST-1335"/>
    <s v="New"/>
    <x v="1"/>
    <s v="Return"/>
  </r>
  <r>
    <s v="ORD-10786"/>
    <x v="274"/>
    <x v="0"/>
    <x v="0"/>
    <s v="Networking &amp; Security"/>
    <x v="5"/>
    <x v="14"/>
    <n v="180"/>
    <n v="2"/>
    <s v="CUST-1605"/>
    <s v="New"/>
    <x v="1"/>
    <s v="Sale"/>
  </r>
  <r>
    <s v="ORD-10787"/>
    <x v="274"/>
    <x v="1"/>
    <x v="0"/>
    <s v="Smart Home &amp; IoT"/>
    <x v="8"/>
    <x v="17"/>
    <n v="260"/>
    <n v="2"/>
    <s v="CUST-1591"/>
    <s v="New"/>
    <x v="1"/>
    <s v="Sale"/>
  </r>
  <r>
    <s v="ORD-10788"/>
    <x v="275"/>
    <x v="5"/>
    <x v="0"/>
    <s v="Smart Home &amp; IoT"/>
    <x v="8"/>
    <x v="3"/>
    <n v="130"/>
    <n v="1"/>
    <s v="CUST-2061"/>
    <s v="New"/>
    <x v="1"/>
    <s v="Sale"/>
  </r>
  <r>
    <s v="ORD-10789"/>
    <x v="275"/>
    <x v="0"/>
    <x v="0"/>
    <s v="Smart Home &amp; IoT"/>
    <x v="8"/>
    <x v="17"/>
    <n v="260"/>
    <n v="2"/>
    <s v="CUST-2013"/>
    <s v="Existing"/>
    <x v="0"/>
    <s v="Sale"/>
  </r>
  <r>
    <s v="ORD-10790"/>
    <x v="275"/>
    <x v="1"/>
    <x v="1"/>
    <s v="Laptops &amp; Computers"/>
    <x v="9"/>
    <x v="37"/>
    <n v="1800"/>
    <n v="3"/>
    <s v="CUST-2943"/>
    <s v="New"/>
    <x v="1"/>
    <s v="Sale"/>
  </r>
  <r>
    <s v="ORD-10791"/>
    <x v="276"/>
    <x v="4"/>
    <x v="0"/>
    <s v="Accessories &amp; Power"/>
    <x v="11"/>
    <x v="4"/>
    <n v="90"/>
    <n v="1"/>
    <s v="CUST-2251"/>
    <s v="Existing"/>
    <x v="0"/>
    <s v="Sale"/>
  </r>
  <r>
    <s v="ORD-10792"/>
    <x v="276"/>
    <x v="0"/>
    <x v="0"/>
    <s v="Networking &amp; Security"/>
    <x v="5"/>
    <x v="4"/>
    <n v="90"/>
    <n v="1"/>
    <s v="CUST-2506"/>
    <s v="New"/>
    <x v="1"/>
    <s v="Sale"/>
  </r>
  <r>
    <s v="ORD-10793"/>
    <x v="276"/>
    <x v="2"/>
    <x v="0"/>
    <s v="Laptops &amp; Computers"/>
    <x v="9"/>
    <x v="9"/>
    <n v="1200"/>
    <n v="2"/>
    <s v="CUST-2157"/>
    <s v="Existing"/>
    <x v="0"/>
    <s v="Sale"/>
  </r>
  <r>
    <s v="ORD-10794"/>
    <x v="276"/>
    <x v="1"/>
    <x v="2"/>
    <s v="Laptops &amp; Computers"/>
    <x v="6"/>
    <x v="10"/>
    <n v="850"/>
    <n v="1"/>
    <s v="CUST-1707"/>
    <s v="New"/>
    <x v="1"/>
    <s v="Sale"/>
  </r>
  <r>
    <s v="ORD-10795"/>
    <x v="277"/>
    <x v="2"/>
    <x v="0"/>
    <s v="Networking &amp; Security"/>
    <x v="5"/>
    <x v="4"/>
    <n v="90"/>
    <n v="1"/>
    <s v="CUST-1977"/>
    <s v="Existing"/>
    <x v="0"/>
    <s v="Sale"/>
  </r>
  <r>
    <s v="ORD-10796"/>
    <x v="277"/>
    <x v="0"/>
    <x v="2"/>
    <s v="Accessories &amp; Power"/>
    <x v="11"/>
    <x v="12"/>
    <n v="270"/>
    <n v="3"/>
    <s v="CUST-2413"/>
    <s v="Existing"/>
    <x v="0"/>
    <s v="Sale"/>
  </r>
  <r>
    <s v="ORD-10797"/>
    <x v="278"/>
    <x v="0"/>
    <x v="0"/>
    <s v="Networking &amp; Security"/>
    <x v="7"/>
    <x v="6"/>
    <n v="220"/>
    <n v="1"/>
    <s v="CUST-2817"/>
    <s v="Existing"/>
    <x v="0"/>
    <s v="Sale"/>
  </r>
  <r>
    <s v="ORD-10798"/>
    <x v="279"/>
    <x v="0"/>
    <x v="0"/>
    <s v="Smart Home &amp; IoT"/>
    <x v="8"/>
    <x v="17"/>
    <n v="260"/>
    <n v="2"/>
    <s v="CUST-2636"/>
    <s v="Existing"/>
    <x v="0"/>
    <s v="Sale"/>
  </r>
  <r>
    <s v="ORD-10799"/>
    <x v="279"/>
    <x v="0"/>
    <x v="0"/>
    <s v="Laptops &amp; Computers"/>
    <x v="0"/>
    <x v="19"/>
    <n v="900"/>
    <n v="2"/>
    <s v="CUST-1424"/>
    <s v="New"/>
    <x v="1"/>
    <s v="Sale"/>
  </r>
  <r>
    <s v="ORD-10800"/>
    <x v="280"/>
    <x v="0"/>
    <x v="1"/>
    <s v="Networking &amp; Security"/>
    <x v="5"/>
    <x v="56"/>
    <n v="360"/>
    <n v="4"/>
    <s v="CUST-1586"/>
    <s v="New"/>
    <x v="1"/>
    <s v="Sale"/>
  </r>
  <r>
    <s v="ORD-10801"/>
    <x v="280"/>
    <x v="2"/>
    <x v="1"/>
    <s v="Accessories &amp; Power"/>
    <x v="11"/>
    <x v="4"/>
    <n v="90"/>
    <n v="1"/>
    <s v="CUST-1805"/>
    <s v="New"/>
    <x v="1"/>
    <s v="Sale"/>
  </r>
  <r>
    <s v="ORD-10802"/>
    <x v="281"/>
    <x v="3"/>
    <x v="0"/>
    <s v="Accessories &amp; Power"/>
    <x v="2"/>
    <x v="31"/>
    <n v="20"/>
    <n v="1"/>
    <s v="CUST-2533"/>
    <s v="Existing"/>
    <x v="0"/>
    <s v="Sale"/>
  </r>
  <r>
    <s v="ORD-10803"/>
    <x v="281"/>
    <x v="3"/>
    <x v="2"/>
    <s v="Laptops &amp; Computers"/>
    <x v="6"/>
    <x v="10"/>
    <n v="850"/>
    <n v="1"/>
    <s v="CUST-1719"/>
    <s v="New"/>
    <x v="1"/>
    <s v="Sale"/>
  </r>
  <r>
    <s v="ORD-10804"/>
    <x v="281"/>
    <x v="2"/>
    <x v="1"/>
    <s v="Networking &amp; Security"/>
    <x v="10"/>
    <x v="11"/>
    <n v="110"/>
    <n v="1"/>
    <s v="CUST-2618"/>
    <s v="New"/>
    <x v="1"/>
    <s v="Sale"/>
  </r>
  <r>
    <s v="ORD-10805"/>
    <x v="281"/>
    <x v="0"/>
    <x v="0"/>
    <s v="Laptops &amp; Computers"/>
    <x v="0"/>
    <x v="0"/>
    <n v="450"/>
    <n v="1"/>
    <s v="CUST-2450"/>
    <s v="New"/>
    <x v="1"/>
    <s v="Sale"/>
  </r>
  <r>
    <s v="ORD-10806"/>
    <x v="281"/>
    <x v="0"/>
    <x v="1"/>
    <s v="Networking &amp; Security"/>
    <x v="7"/>
    <x v="6"/>
    <n v="220"/>
    <n v="1"/>
    <s v="CUST-1948"/>
    <s v="New"/>
    <x v="1"/>
    <s v="Sale"/>
  </r>
  <r>
    <s v="ORD-10807"/>
    <x v="282"/>
    <x v="1"/>
    <x v="0"/>
    <s v="Accessories &amp; Power"/>
    <x v="3"/>
    <x v="13"/>
    <n v="65"/>
    <n v="1"/>
    <s v="CUST-1654"/>
    <s v="Existing"/>
    <x v="0"/>
    <s v="Sale"/>
  </r>
  <r>
    <s v="ORD-10808"/>
    <x v="282"/>
    <x v="0"/>
    <x v="1"/>
    <s v="Accessories &amp; Power"/>
    <x v="2"/>
    <x v="31"/>
    <n v="20"/>
    <n v="1"/>
    <s v="CUST-1473"/>
    <s v="Existing"/>
    <x v="0"/>
    <s v="Sale"/>
  </r>
  <r>
    <s v="ORD-10809"/>
    <x v="282"/>
    <x v="5"/>
    <x v="2"/>
    <s v="Laptops &amp; Computers"/>
    <x v="6"/>
    <x v="5"/>
    <n v="1700"/>
    <n v="2"/>
    <s v="CUST-1567"/>
    <s v="New"/>
    <x v="1"/>
    <s v="Sale"/>
  </r>
  <r>
    <s v="ORD-10810"/>
    <x v="282"/>
    <x v="5"/>
    <x v="1"/>
    <s v="Accessories &amp; Power"/>
    <x v="11"/>
    <x v="14"/>
    <n v="180"/>
    <n v="2"/>
    <s v="CUST-2384"/>
    <s v="Existing"/>
    <x v="0"/>
    <s v="Sale"/>
  </r>
  <r>
    <s v="ORD-10811"/>
    <x v="283"/>
    <x v="1"/>
    <x v="2"/>
    <s v="Smart Home &amp; IoT"/>
    <x v="4"/>
    <x v="11"/>
    <n v="110"/>
    <n v="2"/>
    <s v="CUST-2975"/>
    <s v="New"/>
    <x v="1"/>
    <s v="Sale"/>
  </r>
  <r>
    <s v="ORD-10812"/>
    <x v="283"/>
    <x v="1"/>
    <x v="0"/>
    <s v="Networking &amp; Security"/>
    <x v="10"/>
    <x v="25"/>
    <n v="330"/>
    <n v="3"/>
    <s v="CUST-2822"/>
    <s v="New"/>
    <x v="1"/>
    <s v="Sale"/>
  </r>
  <r>
    <s v="ORD-10813"/>
    <x v="283"/>
    <x v="3"/>
    <x v="1"/>
    <s v="Networking &amp; Security"/>
    <x v="10"/>
    <x v="11"/>
    <n v="110"/>
    <n v="1"/>
    <s v="CUST-1210"/>
    <s v="New"/>
    <x v="1"/>
    <s v="Sale"/>
  </r>
  <r>
    <s v="ORD-10814"/>
    <x v="283"/>
    <x v="2"/>
    <x v="0"/>
    <s v="Smart Home &amp; IoT"/>
    <x v="4"/>
    <x v="26"/>
    <n v="220"/>
    <n v="4"/>
    <s v="CUST-2976"/>
    <s v="Existing"/>
    <x v="0"/>
    <s v="Sale"/>
  </r>
  <r>
    <s v="ORD-10815"/>
    <x v="283"/>
    <x v="1"/>
    <x v="0"/>
    <s v="Smart Home &amp; IoT"/>
    <x v="1"/>
    <x v="26"/>
    <n v="210"/>
    <n v="3"/>
    <s v="CUST-2202"/>
    <s v="New"/>
    <x v="1"/>
    <s v="Sale"/>
  </r>
  <r>
    <s v="ORD-10816"/>
    <x v="284"/>
    <x v="4"/>
    <x v="2"/>
    <s v="Networking &amp; Security"/>
    <x v="10"/>
    <x v="11"/>
    <n v="110"/>
    <n v="1"/>
    <s v="CUST-2943"/>
    <s v="New"/>
    <x v="1"/>
    <s v="Sale"/>
  </r>
  <r>
    <s v="ORD-10817"/>
    <x v="284"/>
    <x v="4"/>
    <x v="2"/>
    <s v="Networking &amp; Security"/>
    <x v="10"/>
    <x v="11"/>
    <n v="110"/>
    <n v="1"/>
    <s v="CUST-2081"/>
    <s v="New"/>
    <x v="1"/>
    <s v="Sale"/>
  </r>
  <r>
    <s v="ORD-10818"/>
    <x v="284"/>
    <x v="1"/>
    <x v="1"/>
    <s v="Laptops &amp; Computers"/>
    <x v="9"/>
    <x v="15"/>
    <n v="600"/>
    <n v="1"/>
    <s v="CUST-2096"/>
    <s v="Existing"/>
    <x v="0"/>
    <s v="Sale"/>
  </r>
  <r>
    <s v="ORD-10819"/>
    <x v="284"/>
    <x v="1"/>
    <x v="0"/>
    <s v="Accessories &amp; Power"/>
    <x v="11"/>
    <x v="4"/>
    <n v="90"/>
    <n v="1"/>
    <s v="CUST-1214"/>
    <s v="New"/>
    <x v="1"/>
    <s v="Sale"/>
  </r>
  <r>
    <s v="ORD-10820"/>
    <x v="285"/>
    <x v="5"/>
    <x v="2"/>
    <s v="Networking &amp; Security"/>
    <x v="10"/>
    <x v="11"/>
    <n v="110"/>
    <n v="1"/>
    <s v="CUST-1899"/>
    <s v="New"/>
    <x v="1"/>
    <s v="Sale"/>
  </r>
  <r>
    <s v="ORD-10821"/>
    <x v="285"/>
    <x v="4"/>
    <x v="2"/>
    <s v="Laptops &amp; Computers"/>
    <x v="6"/>
    <x v="10"/>
    <n v="850"/>
    <n v="1"/>
    <s v="CUST-2801"/>
    <s v="Existing"/>
    <x v="0"/>
    <s v="Sale"/>
  </r>
  <r>
    <s v="ORD-10822"/>
    <x v="286"/>
    <x v="3"/>
    <x v="0"/>
    <s v="Accessories &amp; Power"/>
    <x v="11"/>
    <x v="14"/>
    <n v="180"/>
    <n v="2"/>
    <s v="CUST-2982"/>
    <s v="Existing"/>
    <x v="0"/>
    <s v="Sale"/>
  </r>
  <r>
    <s v="ORD-10823"/>
    <x v="286"/>
    <x v="0"/>
    <x v="0"/>
    <s v="Accessories &amp; Power"/>
    <x v="3"/>
    <x v="13"/>
    <n v="65"/>
    <n v="1"/>
    <s v="CUST-2096"/>
    <s v="Existing"/>
    <x v="0"/>
    <s v="Sale"/>
  </r>
  <r>
    <s v="ORD-10824"/>
    <x v="286"/>
    <x v="1"/>
    <x v="0"/>
    <s v="Accessories &amp; Power"/>
    <x v="2"/>
    <x v="31"/>
    <n v="20"/>
    <n v="1"/>
    <s v="CUST-1466"/>
    <s v="New"/>
    <x v="1"/>
    <s v="Sale"/>
  </r>
  <r>
    <s v="ORD-10825"/>
    <x v="287"/>
    <x v="5"/>
    <x v="0"/>
    <s v="Networking &amp; Security"/>
    <x v="10"/>
    <x v="25"/>
    <n v="330"/>
    <n v="3"/>
    <s v="CUST-2294"/>
    <s v="Existing"/>
    <x v="0"/>
    <s v="Sale"/>
  </r>
  <r>
    <s v="ORD-10826"/>
    <x v="287"/>
    <x v="5"/>
    <x v="1"/>
    <s v="Laptops &amp; Computers"/>
    <x v="6"/>
    <x v="10"/>
    <n v="850"/>
    <n v="1"/>
    <s v="CUST-2522"/>
    <s v="Existing"/>
    <x v="0"/>
    <s v="Sale"/>
  </r>
  <r>
    <s v="ORD-10827"/>
    <x v="288"/>
    <x v="0"/>
    <x v="2"/>
    <s v="Networking &amp; Security"/>
    <x v="7"/>
    <x v="30"/>
    <n v="880"/>
    <n v="4"/>
    <s v="CUST-1353"/>
    <s v="New"/>
    <x v="1"/>
    <s v="Sale"/>
  </r>
  <r>
    <s v="ORD-10828"/>
    <x v="288"/>
    <x v="3"/>
    <x v="2"/>
    <s v="Laptops &amp; Computers"/>
    <x v="6"/>
    <x v="10"/>
    <n v="850"/>
    <n v="1"/>
    <s v="CUST-2257"/>
    <s v="New"/>
    <x v="1"/>
    <s v="Sale"/>
  </r>
  <r>
    <s v="ORD-10829"/>
    <x v="289"/>
    <x v="2"/>
    <x v="1"/>
    <s v="Accessories &amp; Power"/>
    <x v="3"/>
    <x v="17"/>
    <n v="260"/>
    <n v="4"/>
    <s v="CUST-2342"/>
    <s v="New"/>
    <x v="1"/>
    <s v="Sale"/>
  </r>
  <r>
    <s v="ORD-10830"/>
    <x v="290"/>
    <x v="3"/>
    <x v="0"/>
    <s v="Laptops &amp; Computers"/>
    <x v="0"/>
    <x v="0"/>
    <n v="450"/>
    <n v="1"/>
    <s v="CUST-2042"/>
    <s v="New"/>
    <x v="1"/>
    <s v="Sale"/>
  </r>
  <r>
    <s v="ORD-10831"/>
    <x v="291"/>
    <x v="3"/>
    <x v="1"/>
    <s v="Laptops &amp; Computers"/>
    <x v="9"/>
    <x v="15"/>
    <n v="600"/>
    <n v="1"/>
    <s v="CUST-1624"/>
    <s v="New"/>
    <x v="1"/>
    <s v="Sale"/>
  </r>
  <r>
    <s v="ORD-10832"/>
    <x v="291"/>
    <x v="2"/>
    <x v="0"/>
    <s v="Networking &amp; Security"/>
    <x v="5"/>
    <x v="4"/>
    <n v="90"/>
    <n v="1"/>
    <s v="CUST-2598"/>
    <s v="New"/>
    <x v="1"/>
    <s v="Sale"/>
  </r>
  <r>
    <s v="ORD-10833"/>
    <x v="291"/>
    <x v="1"/>
    <x v="1"/>
    <s v="Networking &amp; Security"/>
    <x v="7"/>
    <x v="21"/>
    <n v="440"/>
    <n v="2"/>
    <s v="CUST-1371"/>
    <s v="Existing"/>
    <x v="0"/>
    <s v="Sale"/>
  </r>
  <r>
    <s v="ORD-10834"/>
    <x v="291"/>
    <x v="5"/>
    <x v="0"/>
    <s v="Accessories &amp; Power"/>
    <x v="2"/>
    <x v="35"/>
    <n v="60"/>
    <n v="3"/>
    <s v="CUST-1183"/>
    <s v="Existing"/>
    <x v="0"/>
    <s v="Sale"/>
  </r>
  <r>
    <s v="ORD-10835"/>
    <x v="292"/>
    <x v="0"/>
    <x v="1"/>
    <s v="Networking &amp; Security"/>
    <x v="7"/>
    <x v="6"/>
    <n v="220"/>
    <n v="1"/>
    <s v="CUST-2300"/>
    <s v="Existing"/>
    <x v="0"/>
    <s v="Sale"/>
  </r>
  <r>
    <s v="ORD-10836"/>
    <x v="292"/>
    <x v="2"/>
    <x v="0"/>
    <s v="Laptops &amp; Computers"/>
    <x v="0"/>
    <x v="40"/>
    <n v="1350"/>
    <n v="3"/>
    <s v="CUST-1673"/>
    <s v="New"/>
    <x v="1"/>
    <s v="Sale"/>
  </r>
  <r>
    <s v="ORD-10837"/>
    <x v="292"/>
    <x v="0"/>
    <x v="0"/>
    <s v="Laptops &amp; Computers"/>
    <x v="9"/>
    <x v="15"/>
    <n v="600"/>
    <n v="1"/>
    <s v="CUST-1754"/>
    <s v="New"/>
    <x v="1"/>
    <s v="Sale"/>
  </r>
  <r>
    <s v="ORD-10838"/>
    <x v="292"/>
    <x v="2"/>
    <x v="2"/>
    <s v="Networking &amp; Security"/>
    <x v="5"/>
    <x v="62"/>
    <n v="-180"/>
    <n v="-2"/>
    <s v="CUST-2168"/>
    <s v="New"/>
    <x v="1"/>
    <s v="Return"/>
  </r>
  <r>
    <s v="ORD-10839"/>
    <x v="293"/>
    <x v="0"/>
    <x v="0"/>
    <s v="Laptops &amp; Computers"/>
    <x v="0"/>
    <x v="19"/>
    <n v="900"/>
    <n v="2"/>
    <s v="CUST-2681"/>
    <s v="New"/>
    <x v="1"/>
    <s v="Sale"/>
  </r>
  <r>
    <s v="ORD-10840"/>
    <x v="293"/>
    <x v="0"/>
    <x v="2"/>
    <s v="Smart Home &amp; IoT"/>
    <x v="4"/>
    <x v="2"/>
    <n v="55"/>
    <n v="1"/>
    <s v="CUST-2104"/>
    <s v="Existing"/>
    <x v="0"/>
    <s v="Sale"/>
  </r>
  <r>
    <s v="ORD-10841"/>
    <x v="293"/>
    <x v="0"/>
    <x v="0"/>
    <s v="Smart Home &amp; IoT"/>
    <x v="1"/>
    <x v="27"/>
    <n v="70"/>
    <n v="1"/>
    <s v="CUST-1321"/>
    <s v="New"/>
    <x v="1"/>
    <s v="Sale"/>
  </r>
  <r>
    <s v="ORD-10842"/>
    <x v="294"/>
    <x v="0"/>
    <x v="2"/>
    <s v="Smart Home &amp; IoT"/>
    <x v="8"/>
    <x v="7"/>
    <n v="390"/>
    <n v="3"/>
    <s v="CUST-1434"/>
    <s v="Existing"/>
    <x v="0"/>
    <s v="Sale"/>
  </r>
  <r>
    <s v="ORD-10843"/>
    <x v="294"/>
    <x v="2"/>
    <x v="0"/>
    <s v="Accessories &amp; Power"/>
    <x v="11"/>
    <x v="12"/>
    <n v="270"/>
    <n v="3"/>
    <s v="CUST-2856"/>
    <s v="Existing"/>
    <x v="0"/>
    <s v="Sale"/>
  </r>
  <r>
    <s v="ORD-10844"/>
    <x v="295"/>
    <x v="2"/>
    <x v="0"/>
    <s v="Accessories &amp; Power"/>
    <x v="2"/>
    <x v="11"/>
    <n v="80"/>
    <n v="4"/>
    <s v="CUST-2066"/>
    <s v="New"/>
    <x v="1"/>
    <s v="Sale"/>
  </r>
  <r>
    <s v="ORD-10845"/>
    <x v="295"/>
    <x v="5"/>
    <x v="0"/>
    <s v="Accessories &amp; Power"/>
    <x v="2"/>
    <x v="35"/>
    <n v="60"/>
    <n v="3"/>
    <s v="CUST-2336"/>
    <s v="Existing"/>
    <x v="0"/>
    <s v="Sale"/>
  </r>
  <r>
    <s v="ORD-10846"/>
    <x v="296"/>
    <x v="0"/>
    <x v="0"/>
    <s v="Laptops &amp; Computers"/>
    <x v="0"/>
    <x v="0"/>
    <n v="450"/>
    <n v="1"/>
    <s v="CUST-2929"/>
    <s v="Existing"/>
    <x v="0"/>
    <s v="Sale"/>
  </r>
  <r>
    <s v="ORD-10847"/>
    <x v="297"/>
    <x v="0"/>
    <x v="0"/>
    <s v="Laptops &amp; Computers"/>
    <x v="9"/>
    <x v="9"/>
    <n v="1200"/>
    <n v="2"/>
    <s v="CUST-1292"/>
    <s v="Existing"/>
    <x v="0"/>
    <s v="Sale"/>
  </r>
  <r>
    <s v="ORD-10848"/>
    <x v="297"/>
    <x v="0"/>
    <x v="0"/>
    <s v="Networking &amp; Security"/>
    <x v="10"/>
    <x v="11"/>
    <n v="110"/>
    <n v="1"/>
    <s v="CUST-1687"/>
    <s v="New"/>
    <x v="1"/>
    <s v="Sale"/>
  </r>
  <r>
    <s v="ORD-10849"/>
    <x v="298"/>
    <x v="0"/>
    <x v="0"/>
    <s v="Accessories &amp; Power"/>
    <x v="2"/>
    <x v="63"/>
    <n v="100"/>
    <n v="5"/>
    <s v="CUST-1887"/>
    <s v="New"/>
    <x v="1"/>
    <s v="Sale"/>
  </r>
  <r>
    <s v="ORD-10850"/>
    <x v="298"/>
    <x v="3"/>
    <x v="0"/>
    <s v="Accessories &amp; Power"/>
    <x v="3"/>
    <x v="13"/>
    <n v="65"/>
    <n v="1"/>
    <s v="CUST-1068"/>
    <s v="New"/>
    <x v="1"/>
    <s v="Sale"/>
  </r>
  <r>
    <s v="ORD-10851"/>
    <x v="298"/>
    <x v="0"/>
    <x v="2"/>
    <s v="Accessories &amp; Power"/>
    <x v="2"/>
    <x v="31"/>
    <n v="20"/>
    <n v="1"/>
    <s v="CUST-1055"/>
    <s v="Existing"/>
    <x v="0"/>
    <s v="Sale"/>
  </r>
  <r>
    <s v="ORD-10852"/>
    <x v="298"/>
    <x v="1"/>
    <x v="1"/>
    <s v="Laptops &amp; Computers"/>
    <x v="6"/>
    <x v="10"/>
    <n v="850"/>
    <n v="1"/>
    <s v="CUST-1630"/>
    <s v="New"/>
    <x v="1"/>
    <s v="Sale"/>
  </r>
  <r>
    <s v="ORD-10853"/>
    <x v="298"/>
    <x v="0"/>
    <x v="0"/>
    <s v="Accessories &amp; Power"/>
    <x v="3"/>
    <x v="13"/>
    <n v="65"/>
    <n v="1"/>
    <s v="CUST-2227"/>
    <s v="New"/>
    <x v="1"/>
    <s v="Sale"/>
  </r>
  <r>
    <s v="ORD-10854"/>
    <x v="298"/>
    <x v="0"/>
    <x v="2"/>
    <s v="Networking &amp; Security"/>
    <x v="5"/>
    <x v="4"/>
    <n v="90"/>
    <n v="1"/>
    <s v="CUST-1419"/>
    <s v="Existing"/>
    <x v="0"/>
    <s v="Sale"/>
  </r>
  <r>
    <s v="ORD-10855"/>
    <x v="299"/>
    <x v="5"/>
    <x v="2"/>
    <s v="Laptops &amp; Computers"/>
    <x v="9"/>
    <x v="37"/>
    <n v="1800"/>
    <n v="3"/>
    <s v="CUST-2950"/>
    <s v="Existing"/>
    <x v="0"/>
    <s v="Sale"/>
  </r>
  <r>
    <s v="ORD-10856"/>
    <x v="299"/>
    <x v="5"/>
    <x v="0"/>
    <s v="Networking &amp; Security"/>
    <x v="5"/>
    <x v="14"/>
    <n v="180"/>
    <n v="2"/>
    <s v="CUST-1566"/>
    <s v="Existing"/>
    <x v="0"/>
    <s v="Sale"/>
  </r>
  <r>
    <s v="ORD-10857"/>
    <x v="300"/>
    <x v="0"/>
    <x v="2"/>
    <s v="Laptops &amp; Computers"/>
    <x v="0"/>
    <x v="0"/>
    <n v="450"/>
    <n v="1"/>
    <s v="CUST-1549"/>
    <s v="New"/>
    <x v="1"/>
    <s v="Sale"/>
  </r>
  <r>
    <s v="ORD-10858"/>
    <x v="300"/>
    <x v="0"/>
    <x v="0"/>
    <s v="Networking &amp; Security"/>
    <x v="7"/>
    <x v="21"/>
    <n v="440"/>
    <n v="2"/>
    <s v="CUST-1242"/>
    <s v="New"/>
    <x v="1"/>
    <s v="Sale"/>
  </r>
  <r>
    <s v="ORD-10859"/>
    <x v="300"/>
    <x v="1"/>
    <x v="2"/>
    <s v="Networking &amp; Security"/>
    <x v="7"/>
    <x v="21"/>
    <n v="440"/>
    <n v="2"/>
    <s v="CUST-2224"/>
    <s v="Existing"/>
    <x v="0"/>
    <s v="Sale"/>
  </r>
  <r>
    <s v="ORD-10860"/>
    <x v="301"/>
    <x v="0"/>
    <x v="0"/>
    <s v="Networking &amp; Security"/>
    <x v="7"/>
    <x v="6"/>
    <n v="220"/>
    <n v="1"/>
    <s v="CUST-1747"/>
    <s v="Existing"/>
    <x v="0"/>
    <s v="Sale"/>
  </r>
  <r>
    <s v="ORD-10861"/>
    <x v="301"/>
    <x v="0"/>
    <x v="2"/>
    <s v="Smart Home &amp; IoT"/>
    <x v="8"/>
    <x v="3"/>
    <n v="130"/>
    <n v="1"/>
    <s v="CUST-2497"/>
    <s v="New"/>
    <x v="1"/>
    <s v="Sale"/>
  </r>
  <r>
    <s v="ORD-10862"/>
    <x v="301"/>
    <x v="4"/>
    <x v="2"/>
    <s v="Accessories &amp; Power"/>
    <x v="11"/>
    <x v="12"/>
    <n v="270"/>
    <n v="3"/>
    <s v="CUST-1526"/>
    <s v="New"/>
    <x v="1"/>
    <s v="Sale"/>
  </r>
  <r>
    <s v="ORD-10863"/>
    <x v="301"/>
    <x v="5"/>
    <x v="0"/>
    <s v="Smart Home &amp; IoT"/>
    <x v="8"/>
    <x v="17"/>
    <n v="260"/>
    <n v="2"/>
    <s v="CUST-2679"/>
    <s v="Existing"/>
    <x v="0"/>
    <s v="Sale"/>
  </r>
  <r>
    <s v="ORD-10864"/>
    <x v="302"/>
    <x v="5"/>
    <x v="0"/>
    <s v="Networking &amp; Security"/>
    <x v="7"/>
    <x v="6"/>
    <n v="220"/>
    <n v="1"/>
    <s v="CUST-1076"/>
    <s v="New"/>
    <x v="1"/>
    <s v="Sale"/>
  </r>
  <r>
    <s v="ORD-10865"/>
    <x v="303"/>
    <x v="1"/>
    <x v="1"/>
    <s v="Accessories &amp; Power"/>
    <x v="3"/>
    <x v="3"/>
    <n v="130"/>
    <n v="2"/>
    <s v="CUST-2501"/>
    <s v="Existing"/>
    <x v="0"/>
    <s v="Sale"/>
  </r>
  <r>
    <s v="ORD-10866"/>
    <x v="303"/>
    <x v="1"/>
    <x v="0"/>
    <s v="Accessories &amp; Power"/>
    <x v="2"/>
    <x v="31"/>
    <n v="20"/>
    <n v="1"/>
    <s v="CUST-2844"/>
    <s v="New"/>
    <x v="1"/>
    <s v="Sale"/>
  </r>
  <r>
    <s v="ORD-10867"/>
    <x v="304"/>
    <x v="5"/>
    <x v="2"/>
    <s v="Laptops &amp; Computers"/>
    <x v="0"/>
    <x v="0"/>
    <n v="450"/>
    <n v="1"/>
    <s v="CUST-1439"/>
    <s v="Existing"/>
    <x v="0"/>
    <s v="Sale"/>
  </r>
  <r>
    <s v="ORD-10868"/>
    <x v="305"/>
    <x v="2"/>
    <x v="1"/>
    <s v="Networking &amp; Security"/>
    <x v="5"/>
    <x v="4"/>
    <n v="90"/>
    <n v="1"/>
    <s v="CUST-2286"/>
    <s v="New"/>
    <x v="1"/>
    <s v="Sale"/>
  </r>
  <r>
    <s v="ORD-10869"/>
    <x v="305"/>
    <x v="2"/>
    <x v="2"/>
    <s v="Laptops &amp; Computers"/>
    <x v="6"/>
    <x v="10"/>
    <n v="850"/>
    <n v="1"/>
    <s v="CUST-2208"/>
    <s v="New"/>
    <x v="1"/>
    <s v="Sale"/>
  </r>
  <r>
    <s v="ORD-10870"/>
    <x v="306"/>
    <x v="0"/>
    <x v="2"/>
    <s v="Laptops &amp; Computers"/>
    <x v="9"/>
    <x v="9"/>
    <n v="1200"/>
    <n v="2"/>
    <s v="CUST-2078"/>
    <s v="New"/>
    <x v="1"/>
    <s v="Sale"/>
  </r>
  <r>
    <s v="ORD-10871"/>
    <x v="307"/>
    <x v="5"/>
    <x v="2"/>
    <s v="Smart Home &amp; IoT"/>
    <x v="8"/>
    <x v="7"/>
    <n v="390"/>
    <n v="3"/>
    <s v="CUST-2331"/>
    <s v="New"/>
    <x v="1"/>
    <s v="Sale"/>
  </r>
  <r>
    <s v="ORD-10872"/>
    <x v="307"/>
    <x v="1"/>
    <x v="1"/>
    <s v="Accessories &amp; Power"/>
    <x v="3"/>
    <x v="13"/>
    <n v="65"/>
    <n v="1"/>
    <s v="CUST-1515"/>
    <s v="New"/>
    <x v="1"/>
    <s v="Sale"/>
  </r>
  <r>
    <s v="ORD-10873"/>
    <x v="307"/>
    <x v="3"/>
    <x v="0"/>
    <s v="Laptops &amp; Computers"/>
    <x v="9"/>
    <x v="15"/>
    <n v="600"/>
    <n v="1"/>
    <s v="CUST-2322"/>
    <s v="New"/>
    <x v="1"/>
    <s v="Sale"/>
  </r>
  <r>
    <s v="ORD-10874"/>
    <x v="307"/>
    <x v="5"/>
    <x v="0"/>
    <s v="Accessories &amp; Power"/>
    <x v="2"/>
    <x v="2"/>
    <n v="40"/>
    <n v="2"/>
    <s v="CUST-2575"/>
    <s v="New"/>
    <x v="1"/>
    <s v="Sale"/>
  </r>
  <r>
    <s v="ORD-10875"/>
    <x v="307"/>
    <x v="5"/>
    <x v="0"/>
    <s v="Accessories &amp; Power"/>
    <x v="2"/>
    <x v="35"/>
    <n v="60"/>
    <n v="3"/>
    <s v="CUST-2253"/>
    <s v="New"/>
    <x v="1"/>
    <s v="Sale"/>
  </r>
  <r>
    <s v="ORD-10876"/>
    <x v="308"/>
    <x v="0"/>
    <x v="1"/>
    <s v="Accessories &amp; Power"/>
    <x v="11"/>
    <x v="14"/>
    <n v="180"/>
    <n v="2"/>
    <s v="CUST-2400"/>
    <s v="New"/>
    <x v="1"/>
    <s v="Sale"/>
  </r>
  <r>
    <s v="ORD-10877"/>
    <x v="308"/>
    <x v="5"/>
    <x v="2"/>
    <s v="Laptops &amp; Computers"/>
    <x v="9"/>
    <x v="37"/>
    <n v="1800"/>
    <n v="3"/>
    <s v="CUST-2309"/>
    <s v="Existing"/>
    <x v="0"/>
    <s v="Sale"/>
  </r>
  <r>
    <s v="ORD-10878"/>
    <x v="308"/>
    <x v="0"/>
    <x v="0"/>
    <s v="Accessories &amp; Power"/>
    <x v="11"/>
    <x v="4"/>
    <n v="90"/>
    <n v="1"/>
    <s v="CUST-2161"/>
    <s v="Existing"/>
    <x v="0"/>
    <s v="Sale"/>
  </r>
  <r>
    <s v="ORD-10879"/>
    <x v="309"/>
    <x v="1"/>
    <x v="1"/>
    <s v="Networking &amp; Security"/>
    <x v="10"/>
    <x v="26"/>
    <n v="220"/>
    <n v="2"/>
    <s v="CUST-2501"/>
    <s v="Existing"/>
    <x v="0"/>
    <s v="Sale"/>
  </r>
  <r>
    <s v="ORD-10880"/>
    <x v="310"/>
    <x v="0"/>
    <x v="0"/>
    <s v="Smart Home &amp; IoT"/>
    <x v="8"/>
    <x v="3"/>
    <n v="130"/>
    <n v="1"/>
    <s v="CUST-1614"/>
    <s v="New"/>
    <x v="1"/>
    <s v="Sale"/>
  </r>
  <r>
    <s v="ORD-10881"/>
    <x v="310"/>
    <x v="2"/>
    <x v="0"/>
    <s v="Laptops &amp; Computers"/>
    <x v="6"/>
    <x v="10"/>
    <n v="850"/>
    <n v="1"/>
    <s v="CUST-2030"/>
    <s v="Existing"/>
    <x v="0"/>
    <s v="Sale"/>
  </r>
  <r>
    <s v="ORD-10882"/>
    <x v="311"/>
    <x v="0"/>
    <x v="2"/>
    <s v="Laptops &amp; Computers"/>
    <x v="9"/>
    <x v="15"/>
    <n v="600"/>
    <n v="1"/>
    <s v="CUST-1675"/>
    <s v="New"/>
    <x v="1"/>
    <s v="Sale"/>
  </r>
  <r>
    <s v="ORD-10883"/>
    <x v="311"/>
    <x v="1"/>
    <x v="0"/>
    <s v="Smart Home &amp; IoT"/>
    <x v="4"/>
    <x v="2"/>
    <n v="55"/>
    <n v="1"/>
    <s v="CUST-2442"/>
    <s v="Existing"/>
    <x v="0"/>
    <s v="Sale"/>
  </r>
  <r>
    <s v="ORD-10884"/>
    <x v="311"/>
    <x v="3"/>
    <x v="1"/>
    <s v="Networking &amp; Security"/>
    <x v="7"/>
    <x v="18"/>
    <n v="660"/>
    <n v="3"/>
    <s v="CUST-2495"/>
    <s v="New"/>
    <x v="1"/>
    <s v="Sale"/>
  </r>
  <r>
    <s v="ORD-10885"/>
    <x v="312"/>
    <x v="0"/>
    <x v="0"/>
    <s v="Laptops &amp; Computers"/>
    <x v="9"/>
    <x v="37"/>
    <n v="1800"/>
    <n v="3"/>
    <s v="CUST-2958"/>
    <s v="Existing"/>
    <x v="0"/>
    <s v="Sale"/>
  </r>
  <r>
    <s v="ORD-10886"/>
    <x v="312"/>
    <x v="5"/>
    <x v="1"/>
    <s v="Laptops &amp; Computers"/>
    <x v="0"/>
    <x v="0"/>
    <n v="450"/>
    <n v="1"/>
    <s v="CUST-1419"/>
    <s v="Existing"/>
    <x v="0"/>
    <s v="Sale"/>
  </r>
  <r>
    <s v="ORD-10887"/>
    <x v="313"/>
    <x v="1"/>
    <x v="2"/>
    <s v="Smart Home &amp; IoT"/>
    <x v="4"/>
    <x v="2"/>
    <n v="55"/>
    <n v="1"/>
    <s v="CUST-2900"/>
    <s v="Existing"/>
    <x v="0"/>
    <s v="Sale"/>
  </r>
  <r>
    <s v="ORD-10888"/>
    <x v="313"/>
    <x v="0"/>
    <x v="0"/>
    <s v="Laptops &amp; Computers"/>
    <x v="6"/>
    <x v="10"/>
    <n v="850"/>
    <n v="1"/>
    <s v="CUST-1275"/>
    <s v="New"/>
    <x v="1"/>
    <s v="Sale"/>
  </r>
  <r>
    <s v="ORD-10889"/>
    <x v="313"/>
    <x v="2"/>
    <x v="1"/>
    <s v="Accessories &amp; Power"/>
    <x v="3"/>
    <x v="13"/>
    <n v="65"/>
    <n v="1"/>
    <s v="CUST-2584"/>
    <s v="New"/>
    <x v="1"/>
    <s v="Sale"/>
  </r>
  <r>
    <s v="ORD-10890"/>
    <x v="313"/>
    <x v="0"/>
    <x v="2"/>
    <s v="Laptops &amp; Computers"/>
    <x v="0"/>
    <x v="19"/>
    <n v="900"/>
    <n v="2"/>
    <s v="CUST-1607"/>
    <s v="New"/>
    <x v="1"/>
    <s v="Sale"/>
  </r>
  <r>
    <s v="ORD-10891"/>
    <x v="314"/>
    <x v="1"/>
    <x v="0"/>
    <s v="Laptops &amp; Computers"/>
    <x v="6"/>
    <x v="33"/>
    <n v="2550"/>
    <n v="3"/>
    <s v="CUST-1570"/>
    <s v="New"/>
    <x v="1"/>
    <s v="Sale"/>
  </r>
  <r>
    <s v="ORD-10892"/>
    <x v="314"/>
    <x v="5"/>
    <x v="0"/>
    <s v="Networking &amp; Security"/>
    <x v="10"/>
    <x v="45"/>
    <n v="440"/>
    <n v="4"/>
    <s v="CUST-2766"/>
    <s v="Existing"/>
    <x v="0"/>
    <s v="Sale"/>
  </r>
  <r>
    <s v="ORD-10893"/>
    <x v="314"/>
    <x v="5"/>
    <x v="1"/>
    <s v="Networking &amp; Security"/>
    <x v="7"/>
    <x v="21"/>
    <n v="440"/>
    <n v="2"/>
    <s v="CUST-2712"/>
    <s v="Existing"/>
    <x v="0"/>
    <s v="Sale"/>
  </r>
  <r>
    <s v="ORD-10894"/>
    <x v="314"/>
    <x v="2"/>
    <x v="0"/>
    <s v="Networking &amp; Security"/>
    <x v="7"/>
    <x v="21"/>
    <n v="440"/>
    <n v="2"/>
    <s v="CUST-1089"/>
    <s v="New"/>
    <x v="1"/>
    <s v="Sale"/>
  </r>
  <r>
    <s v="ORD-10895"/>
    <x v="314"/>
    <x v="0"/>
    <x v="0"/>
    <s v="Networking &amp; Security"/>
    <x v="5"/>
    <x v="4"/>
    <n v="90"/>
    <n v="1"/>
    <s v="CUST-1281"/>
    <s v="New"/>
    <x v="1"/>
    <s v="Sale"/>
  </r>
  <r>
    <s v="ORD-10896"/>
    <x v="315"/>
    <x v="0"/>
    <x v="0"/>
    <s v="Accessories &amp; Power"/>
    <x v="11"/>
    <x v="4"/>
    <n v="90"/>
    <n v="1"/>
    <s v="CUST-2571"/>
    <s v="New"/>
    <x v="1"/>
    <s v="Sale"/>
  </r>
  <r>
    <s v="ORD-10897"/>
    <x v="316"/>
    <x v="2"/>
    <x v="0"/>
    <s v="Smart Home &amp; IoT"/>
    <x v="8"/>
    <x v="3"/>
    <n v="130"/>
    <n v="1"/>
    <s v="CUST-2194"/>
    <s v="New"/>
    <x v="1"/>
    <s v="Sale"/>
  </r>
  <r>
    <s v="ORD-10898"/>
    <x v="317"/>
    <x v="5"/>
    <x v="2"/>
    <s v="Laptops &amp; Computers"/>
    <x v="6"/>
    <x v="10"/>
    <n v="850"/>
    <n v="1"/>
    <s v="CUST-1637"/>
    <s v="New"/>
    <x v="1"/>
    <s v="Sale"/>
  </r>
  <r>
    <s v="ORD-10899"/>
    <x v="317"/>
    <x v="3"/>
    <x v="0"/>
    <s v="Networking &amp; Security"/>
    <x v="7"/>
    <x v="21"/>
    <n v="440"/>
    <n v="2"/>
    <s v="CUST-1810"/>
    <s v="Existing"/>
    <x v="0"/>
    <s v="Sale"/>
  </r>
  <r>
    <s v="ORD-10900"/>
    <x v="317"/>
    <x v="3"/>
    <x v="0"/>
    <s v="Accessories &amp; Power"/>
    <x v="3"/>
    <x v="13"/>
    <n v="65"/>
    <n v="1"/>
    <s v="CUST-2378"/>
    <s v="Existing"/>
    <x v="0"/>
    <s v="Sale"/>
  </r>
  <r>
    <s v="ORD-10901"/>
    <x v="317"/>
    <x v="3"/>
    <x v="0"/>
    <s v="Networking &amp; Security"/>
    <x v="5"/>
    <x v="4"/>
    <n v="90"/>
    <n v="1"/>
    <s v="CUST-2227"/>
    <s v="Existing"/>
    <x v="0"/>
    <s v="Sale"/>
  </r>
  <r>
    <s v="ORD-10902"/>
    <x v="317"/>
    <x v="1"/>
    <x v="0"/>
    <s v="Laptops &amp; Computers"/>
    <x v="9"/>
    <x v="15"/>
    <n v="600"/>
    <n v="1"/>
    <s v="CUST-2312"/>
    <s v="Existing"/>
    <x v="0"/>
    <s v="Sale"/>
  </r>
  <r>
    <s v="ORD-10903"/>
    <x v="317"/>
    <x v="1"/>
    <x v="1"/>
    <s v="Accessories &amp; Power"/>
    <x v="11"/>
    <x v="56"/>
    <n v="360"/>
    <n v="4"/>
    <s v="CUST-1867"/>
    <s v="Existing"/>
    <x v="0"/>
    <s v="Sale"/>
  </r>
  <r>
    <s v="ORD-10904"/>
    <x v="317"/>
    <x v="2"/>
    <x v="0"/>
    <s v="Smart Home &amp; IoT"/>
    <x v="8"/>
    <x v="3"/>
    <n v="130"/>
    <n v="1"/>
    <s v="CUST-1461"/>
    <s v="New"/>
    <x v="1"/>
    <s v="Sale"/>
  </r>
  <r>
    <s v="ORD-10905"/>
    <x v="317"/>
    <x v="1"/>
    <x v="1"/>
    <s v="Smart Home &amp; IoT"/>
    <x v="8"/>
    <x v="17"/>
    <n v="260"/>
    <n v="2"/>
    <s v="CUST-2632"/>
    <s v="New"/>
    <x v="1"/>
    <s v="Sale"/>
  </r>
  <r>
    <s v="ORD-10906"/>
    <x v="317"/>
    <x v="0"/>
    <x v="0"/>
    <s v="Laptops &amp; Computers"/>
    <x v="9"/>
    <x v="9"/>
    <n v="1200"/>
    <n v="2"/>
    <s v="CUST-1749"/>
    <s v="New"/>
    <x v="1"/>
    <s v="Sale"/>
  </r>
  <r>
    <s v="ORD-10907"/>
    <x v="318"/>
    <x v="3"/>
    <x v="0"/>
    <s v="Laptops &amp; Computers"/>
    <x v="0"/>
    <x v="0"/>
    <n v="450"/>
    <n v="1"/>
    <s v="CUST-2196"/>
    <s v="New"/>
    <x v="1"/>
    <s v="Sale"/>
  </r>
  <r>
    <s v="ORD-10908"/>
    <x v="318"/>
    <x v="3"/>
    <x v="1"/>
    <s v="Smart Home &amp; IoT"/>
    <x v="8"/>
    <x v="3"/>
    <n v="130"/>
    <n v="1"/>
    <s v="CUST-1300"/>
    <s v="New"/>
    <x v="1"/>
    <s v="Sale"/>
  </r>
  <r>
    <s v="ORD-10909"/>
    <x v="318"/>
    <x v="1"/>
    <x v="0"/>
    <s v="Laptops &amp; Computers"/>
    <x v="0"/>
    <x v="40"/>
    <n v="1350"/>
    <n v="3"/>
    <s v="CUST-1599"/>
    <s v="Existing"/>
    <x v="0"/>
    <s v="Sale"/>
  </r>
  <r>
    <s v="ORD-10910"/>
    <x v="318"/>
    <x v="0"/>
    <x v="2"/>
    <s v="Networking &amp; Security"/>
    <x v="5"/>
    <x v="4"/>
    <n v="90"/>
    <n v="1"/>
    <s v="CUST-2934"/>
    <s v="New"/>
    <x v="1"/>
    <s v="Sale"/>
  </r>
  <r>
    <s v="ORD-10911"/>
    <x v="319"/>
    <x v="1"/>
    <x v="1"/>
    <s v="Networking &amp; Security"/>
    <x v="7"/>
    <x v="64"/>
    <n v="-660"/>
    <n v="-3"/>
    <s v="CUST-2886"/>
    <s v="New"/>
    <x v="1"/>
    <s v="Return"/>
  </r>
  <r>
    <s v="ORD-10912"/>
    <x v="319"/>
    <x v="3"/>
    <x v="0"/>
    <s v="Laptops &amp; Computers"/>
    <x v="9"/>
    <x v="15"/>
    <n v="600"/>
    <n v="1"/>
    <s v="CUST-1528"/>
    <s v="Existing"/>
    <x v="0"/>
    <s v="Sale"/>
  </r>
  <r>
    <s v="ORD-10913"/>
    <x v="319"/>
    <x v="4"/>
    <x v="0"/>
    <s v="Accessories &amp; Power"/>
    <x v="11"/>
    <x v="4"/>
    <n v="90"/>
    <n v="1"/>
    <s v="CUST-1139"/>
    <s v="New"/>
    <x v="1"/>
    <s v="Sale"/>
  </r>
  <r>
    <s v="ORD-10914"/>
    <x v="320"/>
    <x v="0"/>
    <x v="2"/>
    <s v="Accessories &amp; Power"/>
    <x v="3"/>
    <x v="16"/>
    <n v="195"/>
    <n v="3"/>
    <s v="CUST-2789"/>
    <s v="Existing"/>
    <x v="0"/>
    <s v="Sale"/>
  </r>
  <r>
    <s v="ORD-10915"/>
    <x v="320"/>
    <x v="0"/>
    <x v="0"/>
    <s v="Smart Home &amp; IoT"/>
    <x v="1"/>
    <x v="1"/>
    <n v="140"/>
    <n v="2"/>
    <s v="CUST-1277"/>
    <s v="New"/>
    <x v="1"/>
    <s v="Sale"/>
  </r>
  <r>
    <s v="ORD-10916"/>
    <x v="320"/>
    <x v="3"/>
    <x v="0"/>
    <s v="Laptops &amp; Computers"/>
    <x v="0"/>
    <x v="65"/>
    <n v="2250"/>
    <n v="5"/>
    <s v="CUST-1662"/>
    <s v="Existing"/>
    <x v="0"/>
    <s v="Sale"/>
  </r>
  <r>
    <s v="ORD-10917"/>
    <x v="320"/>
    <x v="1"/>
    <x v="0"/>
    <s v="Laptops &amp; Computers"/>
    <x v="9"/>
    <x v="9"/>
    <n v="1200"/>
    <n v="2"/>
    <s v="CUST-1510"/>
    <s v="Existing"/>
    <x v="0"/>
    <s v="Sale"/>
  </r>
  <r>
    <s v="ORD-10918"/>
    <x v="321"/>
    <x v="5"/>
    <x v="0"/>
    <s v="Networking &amp; Security"/>
    <x v="7"/>
    <x v="18"/>
    <n v="660"/>
    <n v="3"/>
    <s v="CUST-2369"/>
    <s v="New"/>
    <x v="1"/>
    <s v="Sale"/>
  </r>
  <r>
    <s v="ORD-10919"/>
    <x v="321"/>
    <x v="4"/>
    <x v="2"/>
    <s v="Laptops &amp; Computers"/>
    <x v="9"/>
    <x v="9"/>
    <n v="1200"/>
    <n v="2"/>
    <s v="CUST-2869"/>
    <s v="New"/>
    <x v="1"/>
    <s v="Sale"/>
  </r>
  <r>
    <s v="ORD-10920"/>
    <x v="322"/>
    <x v="0"/>
    <x v="0"/>
    <s v="Accessories &amp; Power"/>
    <x v="11"/>
    <x v="14"/>
    <n v="180"/>
    <n v="2"/>
    <s v="CUST-2163"/>
    <s v="Existing"/>
    <x v="0"/>
    <s v="Sale"/>
  </r>
  <r>
    <s v="ORD-10921"/>
    <x v="322"/>
    <x v="5"/>
    <x v="0"/>
    <s v="Laptops &amp; Computers"/>
    <x v="6"/>
    <x v="10"/>
    <n v="850"/>
    <n v="1"/>
    <s v="CUST-1113"/>
    <s v="New"/>
    <x v="1"/>
    <s v="Sale"/>
  </r>
  <r>
    <s v="ORD-10922"/>
    <x v="322"/>
    <x v="0"/>
    <x v="2"/>
    <s v="Networking &amp; Security"/>
    <x v="7"/>
    <x v="6"/>
    <n v="220"/>
    <n v="1"/>
    <s v="CUST-1579"/>
    <s v="New"/>
    <x v="1"/>
    <s v="Sale"/>
  </r>
  <r>
    <s v="ORD-10923"/>
    <x v="322"/>
    <x v="1"/>
    <x v="0"/>
    <s v="Networking &amp; Security"/>
    <x v="5"/>
    <x v="12"/>
    <n v="270"/>
    <n v="3"/>
    <s v="CUST-2530"/>
    <s v="New"/>
    <x v="1"/>
    <s v="Sale"/>
  </r>
  <r>
    <s v="ORD-10924"/>
    <x v="323"/>
    <x v="3"/>
    <x v="0"/>
    <s v="Smart Home &amp; IoT"/>
    <x v="8"/>
    <x v="3"/>
    <n v="130"/>
    <n v="1"/>
    <s v="CUST-2389"/>
    <s v="New"/>
    <x v="1"/>
    <s v="Sale"/>
  </r>
  <r>
    <s v="ORD-10925"/>
    <x v="323"/>
    <x v="1"/>
    <x v="2"/>
    <s v="Laptops &amp; Computers"/>
    <x v="0"/>
    <x v="0"/>
    <n v="450"/>
    <n v="1"/>
    <s v="CUST-1690"/>
    <s v="Existing"/>
    <x v="0"/>
    <s v="Sale"/>
  </r>
  <r>
    <s v="ORD-10926"/>
    <x v="323"/>
    <x v="4"/>
    <x v="0"/>
    <s v="Networking &amp; Security"/>
    <x v="10"/>
    <x v="11"/>
    <n v="110"/>
    <n v="1"/>
    <s v="CUST-1636"/>
    <s v="New"/>
    <x v="1"/>
    <s v="Sale"/>
  </r>
  <r>
    <s v="ORD-10927"/>
    <x v="324"/>
    <x v="5"/>
    <x v="2"/>
    <s v="Laptops &amp; Computers"/>
    <x v="9"/>
    <x v="15"/>
    <n v="600"/>
    <n v="1"/>
    <s v="CUST-2420"/>
    <s v="New"/>
    <x v="1"/>
    <s v="Sale"/>
  </r>
  <r>
    <s v="ORD-10928"/>
    <x v="324"/>
    <x v="1"/>
    <x v="1"/>
    <s v="Accessories &amp; Power"/>
    <x v="11"/>
    <x v="4"/>
    <n v="90"/>
    <n v="1"/>
    <s v="CUST-2848"/>
    <s v="New"/>
    <x v="1"/>
    <s v="Sale"/>
  </r>
  <r>
    <s v="ORD-10929"/>
    <x v="324"/>
    <x v="0"/>
    <x v="0"/>
    <s v="Laptops &amp; Computers"/>
    <x v="6"/>
    <x v="10"/>
    <n v="850"/>
    <n v="1"/>
    <s v="CUST-1822"/>
    <s v="New"/>
    <x v="1"/>
    <s v="Sale"/>
  </r>
  <r>
    <s v="ORD-10930"/>
    <x v="324"/>
    <x v="1"/>
    <x v="2"/>
    <s v="Accessories &amp; Power"/>
    <x v="11"/>
    <x v="12"/>
    <n v="270"/>
    <n v="3"/>
    <s v="CUST-2873"/>
    <s v="Existing"/>
    <x v="0"/>
    <s v="Sale"/>
  </r>
  <r>
    <s v="ORD-10931"/>
    <x v="325"/>
    <x v="1"/>
    <x v="0"/>
    <s v="Accessories &amp; Power"/>
    <x v="11"/>
    <x v="4"/>
    <n v="90"/>
    <n v="1"/>
    <s v="CUST-1874"/>
    <s v="New"/>
    <x v="1"/>
    <s v="Sale"/>
  </r>
  <r>
    <s v="ORD-10932"/>
    <x v="325"/>
    <x v="0"/>
    <x v="0"/>
    <s v="Laptops &amp; Computers"/>
    <x v="9"/>
    <x v="15"/>
    <n v="600"/>
    <n v="1"/>
    <s v="CUST-2947"/>
    <s v="New"/>
    <x v="1"/>
    <s v="Sale"/>
  </r>
  <r>
    <s v="ORD-10933"/>
    <x v="326"/>
    <x v="1"/>
    <x v="1"/>
    <s v="Accessories &amp; Power"/>
    <x v="2"/>
    <x v="31"/>
    <n v="20"/>
    <n v="1"/>
    <s v="CUST-2893"/>
    <s v="Existing"/>
    <x v="0"/>
    <s v="Sale"/>
  </r>
  <r>
    <s v="ORD-10934"/>
    <x v="326"/>
    <x v="1"/>
    <x v="1"/>
    <s v="Laptops &amp; Computers"/>
    <x v="6"/>
    <x v="10"/>
    <n v="850"/>
    <n v="1"/>
    <s v="CUST-2768"/>
    <s v="New"/>
    <x v="1"/>
    <s v="Sale"/>
  </r>
  <r>
    <s v="ORD-10935"/>
    <x v="326"/>
    <x v="2"/>
    <x v="0"/>
    <s v="Accessories &amp; Power"/>
    <x v="2"/>
    <x v="31"/>
    <n v="20"/>
    <n v="1"/>
    <s v="CUST-1939"/>
    <s v="New"/>
    <x v="1"/>
    <s v="Sale"/>
  </r>
  <r>
    <s v="ORD-10936"/>
    <x v="326"/>
    <x v="2"/>
    <x v="2"/>
    <s v="Networking &amp; Security"/>
    <x v="5"/>
    <x v="14"/>
    <n v="180"/>
    <n v="2"/>
    <s v="CUST-2682"/>
    <s v="New"/>
    <x v="1"/>
    <s v="Sale"/>
  </r>
  <r>
    <s v="ORD-10937"/>
    <x v="327"/>
    <x v="2"/>
    <x v="1"/>
    <s v="Networking &amp; Security"/>
    <x v="10"/>
    <x v="11"/>
    <n v="110"/>
    <n v="1"/>
    <s v="CUST-1941"/>
    <s v="New"/>
    <x v="1"/>
    <s v="Sale"/>
  </r>
  <r>
    <s v="ORD-10938"/>
    <x v="327"/>
    <x v="0"/>
    <x v="1"/>
    <s v="Networking &amp; Security"/>
    <x v="7"/>
    <x v="18"/>
    <n v="660"/>
    <n v="3"/>
    <s v="CUST-2134"/>
    <s v="Existing"/>
    <x v="0"/>
    <s v="Sale"/>
  </r>
  <r>
    <s v="ORD-10939"/>
    <x v="327"/>
    <x v="0"/>
    <x v="2"/>
    <s v="Laptops &amp; Computers"/>
    <x v="0"/>
    <x v="0"/>
    <n v="450"/>
    <n v="1"/>
    <s v="CUST-2898"/>
    <s v="New"/>
    <x v="1"/>
    <s v="Sale"/>
  </r>
  <r>
    <s v="ORD-10940"/>
    <x v="328"/>
    <x v="2"/>
    <x v="0"/>
    <s v="Accessories &amp; Power"/>
    <x v="2"/>
    <x v="31"/>
    <n v="20"/>
    <n v="1"/>
    <s v="CUST-1357"/>
    <s v="New"/>
    <x v="1"/>
    <s v="Sale"/>
  </r>
  <r>
    <s v="ORD-10941"/>
    <x v="328"/>
    <x v="1"/>
    <x v="0"/>
    <s v="Laptops &amp; Computers"/>
    <x v="6"/>
    <x v="10"/>
    <n v="850"/>
    <n v="1"/>
    <s v="CUST-2261"/>
    <s v="Existing"/>
    <x v="0"/>
    <s v="Sale"/>
  </r>
  <r>
    <s v="ORD-10942"/>
    <x v="328"/>
    <x v="0"/>
    <x v="1"/>
    <s v="Smart Home &amp; IoT"/>
    <x v="4"/>
    <x v="2"/>
    <n v="55"/>
    <n v="1"/>
    <s v="CUST-1002"/>
    <s v="Existing"/>
    <x v="0"/>
    <s v="Sale"/>
  </r>
  <r>
    <s v="ORD-10943"/>
    <x v="328"/>
    <x v="3"/>
    <x v="0"/>
    <s v="Networking &amp; Security"/>
    <x v="10"/>
    <x v="26"/>
    <n v="220"/>
    <n v="2"/>
    <s v="CUST-2746"/>
    <s v="New"/>
    <x v="1"/>
    <s v="Sale"/>
  </r>
  <r>
    <s v="ORD-10944"/>
    <x v="328"/>
    <x v="2"/>
    <x v="2"/>
    <s v="Accessories &amp; Power"/>
    <x v="3"/>
    <x v="16"/>
    <n v="195"/>
    <n v="3"/>
    <s v="CUST-1403"/>
    <s v="Existing"/>
    <x v="0"/>
    <s v="Sale"/>
  </r>
  <r>
    <s v="ORD-10945"/>
    <x v="329"/>
    <x v="5"/>
    <x v="0"/>
    <s v="Laptops &amp; Computers"/>
    <x v="6"/>
    <x v="5"/>
    <n v="1700"/>
    <n v="2"/>
    <s v="CUST-1024"/>
    <s v="New"/>
    <x v="1"/>
    <s v="Sale"/>
  </r>
  <r>
    <s v="ORD-10946"/>
    <x v="329"/>
    <x v="0"/>
    <x v="0"/>
    <s v="Networking &amp; Security"/>
    <x v="5"/>
    <x v="4"/>
    <n v="90"/>
    <n v="1"/>
    <s v="CUST-2866"/>
    <s v="Existing"/>
    <x v="0"/>
    <s v="Sale"/>
  </r>
  <r>
    <s v="ORD-10947"/>
    <x v="330"/>
    <x v="2"/>
    <x v="0"/>
    <s v="Networking &amp; Security"/>
    <x v="5"/>
    <x v="4"/>
    <n v="90"/>
    <n v="1"/>
    <s v="CUST-1508"/>
    <s v="Existing"/>
    <x v="0"/>
    <s v="Sale"/>
  </r>
  <r>
    <s v="ORD-10948"/>
    <x v="330"/>
    <x v="5"/>
    <x v="1"/>
    <s v="Smart Home &amp; IoT"/>
    <x v="4"/>
    <x v="2"/>
    <n v="55"/>
    <n v="1"/>
    <s v="CUST-1695"/>
    <s v="New"/>
    <x v="1"/>
    <s v="Sale"/>
  </r>
  <r>
    <s v="ORD-10949"/>
    <x v="330"/>
    <x v="2"/>
    <x v="0"/>
    <s v="Laptops &amp; Computers"/>
    <x v="0"/>
    <x v="66"/>
    <n v="1800"/>
    <n v="4"/>
    <s v="CUST-2488"/>
    <s v="New"/>
    <x v="1"/>
    <s v="Sale"/>
  </r>
  <r>
    <s v="ORD-10950"/>
    <x v="331"/>
    <x v="2"/>
    <x v="2"/>
    <s v="Laptops &amp; Computers"/>
    <x v="6"/>
    <x v="10"/>
    <n v="850"/>
    <n v="1"/>
    <s v="CUST-1060"/>
    <s v="Existing"/>
    <x v="0"/>
    <s v="Sale"/>
  </r>
  <r>
    <s v="ORD-10951"/>
    <x v="331"/>
    <x v="3"/>
    <x v="0"/>
    <s v="Laptops &amp; Computers"/>
    <x v="9"/>
    <x v="9"/>
    <n v="1200"/>
    <n v="2"/>
    <s v="CUST-2531"/>
    <s v="New"/>
    <x v="1"/>
    <s v="Sale"/>
  </r>
  <r>
    <s v="ORD-10952"/>
    <x v="332"/>
    <x v="5"/>
    <x v="0"/>
    <s v="Smart Home &amp; IoT"/>
    <x v="1"/>
    <x v="27"/>
    <n v="70"/>
    <n v="1"/>
    <s v="CUST-1122"/>
    <s v="Existing"/>
    <x v="0"/>
    <s v="Sale"/>
  </r>
  <r>
    <s v="ORD-10953"/>
    <x v="332"/>
    <x v="0"/>
    <x v="0"/>
    <s v="Laptops &amp; Computers"/>
    <x v="0"/>
    <x v="0"/>
    <n v="450"/>
    <n v="1"/>
    <s v="CUST-2520"/>
    <s v="New"/>
    <x v="1"/>
    <s v="Sale"/>
  </r>
  <r>
    <s v="ORD-10954"/>
    <x v="332"/>
    <x v="2"/>
    <x v="2"/>
    <s v="Smart Home &amp; IoT"/>
    <x v="1"/>
    <x v="27"/>
    <n v="70"/>
    <n v="1"/>
    <s v="CUST-1054"/>
    <s v="Existing"/>
    <x v="0"/>
    <s v="Sale"/>
  </r>
  <r>
    <s v="ORD-10955"/>
    <x v="332"/>
    <x v="5"/>
    <x v="0"/>
    <s v="Laptops &amp; Computers"/>
    <x v="6"/>
    <x v="10"/>
    <n v="850"/>
    <n v="1"/>
    <s v="CUST-2186"/>
    <s v="New"/>
    <x v="1"/>
    <s v="Sale"/>
  </r>
  <r>
    <s v="ORD-10956"/>
    <x v="332"/>
    <x v="2"/>
    <x v="0"/>
    <s v="Accessories &amp; Power"/>
    <x v="11"/>
    <x v="14"/>
    <n v="180"/>
    <n v="2"/>
    <s v="CUST-1973"/>
    <s v="Existing"/>
    <x v="0"/>
    <s v="Sale"/>
  </r>
  <r>
    <s v="ORD-10957"/>
    <x v="333"/>
    <x v="0"/>
    <x v="0"/>
    <s v="Accessories &amp; Power"/>
    <x v="3"/>
    <x v="13"/>
    <n v="65"/>
    <n v="1"/>
    <s v="CUST-2722"/>
    <s v="New"/>
    <x v="1"/>
    <s v="Sale"/>
  </r>
  <r>
    <s v="ORD-10958"/>
    <x v="333"/>
    <x v="0"/>
    <x v="0"/>
    <s v="Networking &amp; Security"/>
    <x v="10"/>
    <x v="26"/>
    <n v="220"/>
    <n v="2"/>
    <s v="CUST-2062"/>
    <s v="New"/>
    <x v="1"/>
    <s v="Sale"/>
  </r>
  <r>
    <s v="ORD-10959"/>
    <x v="333"/>
    <x v="3"/>
    <x v="1"/>
    <s v="Networking &amp; Security"/>
    <x v="10"/>
    <x v="11"/>
    <n v="110"/>
    <n v="1"/>
    <s v="CUST-2720"/>
    <s v="Existing"/>
    <x v="0"/>
    <s v="Sale"/>
  </r>
  <r>
    <s v="ORD-10960"/>
    <x v="334"/>
    <x v="2"/>
    <x v="1"/>
    <s v="Laptops &amp; Computers"/>
    <x v="0"/>
    <x v="66"/>
    <n v="1800"/>
    <n v="4"/>
    <s v="CUST-2106"/>
    <s v="New"/>
    <x v="1"/>
    <s v="Sale"/>
  </r>
  <r>
    <s v="ORD-10961"/>
    <x v="334"/>
    <x v="4"/>
    <x v="0"/>
    <s v="Laptops &amp; Computers"/>
    <x v="0"/>
    <x v="0"/>
    <n v="450"/>
    <n v="1"/>
    <s v="CUST-2730"/>
    <s v="New"/>
    <x v="1"/>
    <s v="Sale"/>
  </r>
  <r>
    <s v="ORD-10962"/>
    <x v="334"/>
    <x v="2"/>
    <x v="2"/>
    <s v="Laptops &amp; Computers"/>
    <x v="6"/>
    <x v="33"/>
    <n v="2550"/>
    <n v="3"/>
    <s v="CUST-1545"/>
    <s v="New"/>
    <x v="1"/>
    <s v="Sale"/>
  </r>
  <r>
    <s v="ORD-10963"/>
    <x v="334"/>
    <x v="5"/>
    <x v="1"/>
    <s v="Smart Home &amp; IoT"/>
    <x v="8"/>
    <x v="17"/>
    <n v="260"/>
    <n v="2"/>
    <s v="CUST-1112"/>
    <s v="Existing"/>
    <x v="0"/>
    <s v="Sale"/>
  </r>
  <r>
    <s v="ORD-10964"/>
    <x v="335"/>
    <x v="2"/>
    <x v="0"/>
    <s v="Networking &amp; Security"/>
    <x v="7"/>
    <x v="30"/>
    <n v="880"/>
    <n v="4"/>
    <s v="CUST-1424"/>
    <s v="New"/>
    <x v="1"/>
    <s v="Sale"/>
  </r>
  <r>
    <s v="ORD-10965"/>
    <x v="335"/>
    <x v="3"/>
    <x v="1"/>
    <s v="Accessories &amp; Power"/>
    <x v="2"/>
    <x v="31"/>
    <n v="20"/>
    <n v="1"/>
    <s v="CUST-1917"/>
    <s v="New"/>
    <x v="1"/>
    <s v="Sale"/>
  </r>
  <r>
    <s v="ORD-10966"/>
    <x v="335"/>
    <x v="5"/>
    <x v="1"/>
    <s v="Networking &amp; Security"/>
    <x v="7"/>
    <x v="21"/>
    <n v="440"/>
    <n v="2"/>
    <s v="CUST-1229"/>
    <s v="New"/>
    <x v="1"/>
    <s v="Sale"/>
  </r>
  <r>
    <s v="ORD-10967"/>
    <x v="336"/>
    <x v="5"/>
    <x v="0"/>
    <s v="Smart Home &amp; IoT"/>
    <x v="1"/>
    <x v="27"/>
    <n v="70"/>
    <n v="1"/>
    <s v="CUST-2306"/>
    <s v="New"/>
    <x v="1"/>
    <s v="Sale"/>
  </r>
  <r>
    <s v="ORD-10968"/>
    <x v="336"/>
    <x v="0"/>
    <x v="0"/>
    <s v="Networking &amp; Security"/>
    <x v="10"/>
    <x v="11"/>
    <n v="110"/>
    <n v="1"/>
    <s v="CUST-1916"/>
    <s v="New"/>
    <x v="1"/>
    <s v="Sale"/>
  </r>
  <r>
    <s v="ORD-10969"/>
    <x v="337"/>
    <x v="1"/>
    <x v="1"/>
    <s v="Networking &amp; Security"/>
    <x v="7"/>
    <x v="6"/>
    <n v="220"/>
    <n v="1"/>
    <s v="CUST-2960"/>
    <s v="Existing"/>
    <x v="0"/>
    <s v="Sale"/>
  </r>
  <r>
    <s v="ORD-10970"/>
    <x v="337"/>
    <x v="2"/>
    <x v="2"/>
    <s v="Laptops &amp; Computers"/>
    <x v="0"/>
    <x v="0"/>
    <n v="450"/>
    <n v="1"/>
    <s v="CUST-2310"/>
    <s v="Existing"/>
    <x v="0"/>
    <s v="Sale"/>
  </r>
  <r>
    <s v="ORD-10971"/>
    <x v="337"/>
    <x v="0"/>
    <x v="0"/>
    <s v="Networking &amp; Security"/>
    <x v="7"/>
    <x v="32"/>
    <n v="1100"/>
    <n v="5"/>
    <s v="CUST-1154"/>
    <s v="New"/>
    <x v="1"/>
    <s v="Sale"/>
  </r>
  <r>
    <s v="ORD-10972"/>
    <x v="337"/>
    <x v="0"/>
    <x v="0"/>
    <s v="Networking &amp; Security"/>
    <x v="10"/>
    <x v="11"/>
    <n v="110"/>
    <n v="1"/>
    <s v="CUST-1164"/>
    <s v="New"/>
    <x v="1"/>
    <s v="Sale"/>
  </r>
  <r>
    <s v="ORD-10973"/>
    <x v="338"/>
    <x v="1"/>
    <x v="0"/>
    <s v="Smart Home &amp; IoT"/>
    <x v="8"/>
    <x v="3"/>
    <n v="130"/>
    <n v="1"/>
    <s v="CUST-1961"/>
    <s v="Existing"/>
    <x v="0"/>
    <s v="Sale"/>
  </r>
  <r>
    <s v="ORD-10974"/>
    <x v="338"/>
    <x v="0"/>
    <x v="2"/>
    <s v="Accessories &amp; Power"/>
    <x v="2"/>
    <x v="2"/>
    <n v="40"/>
    <n v="2"/>
    <s v="CUST-2205"/>
    <s v="Existing"/>
    <x v="0"/>
    <s v="Sale"/>
  </r>
  <r>
    <s v="ORD-10975"/>
    <x v="338"/>
    <x v="0"/>
    <x v="2"/>
    <s v="Networking &amp; Security"/>
    <x v="7"/>
    <x v="6"/>
    <n v="220"/>
    <n v="1"/>
    <s v="CUST-2262"/>
    <s v="New"/>
    <x v="1"/>
    <s v="Sale"/>
  </r>
  <r>
    <s v="ORD-10976"/>
    <x v="339"/>
    <x v="1"/>
    <x v="1"/>
    <s v="Laptops &amp; Computers"/>
    <x v="0"/>
    <x v="19"/>
    <n v="900"/>
    <n v="2"/>
    <s v="CUST-1648"/>
    <s v="Existing"/>
    <x v="0"/>
    <s v="Sale"/>
  </r>
  <r>
    <s v="ORD-10977"/>
    <x v="339"/>
    <x v="4"/>
    <x v="0"/>
    <s v="Networking &amp; Security"/>
    <x v="10"/>
    <x v="11"/>
    <n v="110"/>
    <n v="1"/>
    <s v="CUST-2362"/>
    <s v="New"/>
    <x v="1"/>
    <s v="Sale"/>
  </r>
  <r>
    <s v="ORD-10978"/>
    <x v="339"/>
    <x v="5"/>
    <x v="2"/>
    <s v="Networking &amp; Security"/>
    <x v="10"/>
    <x v="11"/>
    <n v="110"/>
    <n v="1"/>
    <s v="CUST-1937"/>
    <s v="New"/>
    <x v="1"/>
    <s v="Sale"/>
  </r>
  <r>
    <s v="ORD-10979"/>
    <x v="339"/>
    <x v="0"/>
    <x v="2"/>
    <s v="Laptops &amp; Computers"/>
    <x v="9"/>
    <x v="15"/>
    <n v="600"/>
    <n v="1"/>
    <s v="CUST-1511"/>
    <s v="Existing"/>
    <x v="0"/>
    <s v="Sale"/>
  </r>
  <r>
    <s v="ORD-10980"/>
    <x v="340"/>
    <x v="0"/>
    <x v="0"/>
    <s v="Accessories &amp; Power"/>
    <x v="3"/>
    <x v="67"/>
    <n v="187.79"/>
    <n v="3"/>
    <s v="CUST-1931"/>
    <s v="New"/>
    <x v="1"/>
    <s v="Sale"/>
  </r>
  <r>
    <s v="ORD-10981"/>
    <x v="340"/>
    <x v="2"/>
    <x v="0"/>
    <s v="Accessories &amp; Power"/>
    <x v="2"/>
    <x v="68"/>
    <n v="38.520000000000003"/>
    <n v="2"/>
    <s v="CUST-1265"/>
    <s v="New"/>
    <x v="1"/>
    <s v="Sale"/>
  </r>
  <r>
    <s v="ORD-10982"/>
    <x v="340"/>
    <x v="1"/>
    <x v="1"/>
    <s v="Accessories &amp; Power"/>
    <x v="2"/>
    <x v="69"/>
    <n v="77.040000000000006"/>
    <n v="4"/>
    <s v="CUST-1186"/>
    <s v="New"/>
    <x v="1"/>
    <s v="Sale"/>
  </r>
  <r>
    <s v="ORD-10983"/>
    <x v="341"/>
    <x v="3"/>
    <x v="1"/>
    <s v="Laptops &amp; Computers"/>
    <x v="9"/>
    <x v="70"/>
    <n v="577.83000000000004"/>
    <n v="1"/>
    <s v="CUST-2063"/>
    <s v="Existing"/>
    <x v="0"/>
    <s v="Sale"/>
  </r>
  <r>
    <s v="ORD-10984"/>
    <x v="342"/>
    <x v="2"/>
    <x v="0"/>
    <s v="Accessories &amp; Power"/>
    <x v="2"/>
    <x v="71"/>
    <n v="19.260000000000002"/>
    <n v="1"/>
    <s v="CUST-2845"/>
    <s v="Existing"/>
    <x v="0"/>
    <s v="Sale"/>
  </r>
  <r>
    <s v="ORD-10985"/>
    <x v="342"/>
    <x v="2"/>
    <x v="2"/>
    <s v="Smart Home &amp; IoT"/>
    <x v="1"/>
    <x v="72"/>
    <n v="67.41"/>
    <n v="1"/>
    <s v="CUST-2516"/>
    <s v="New"/>
    <x v="1"/>
    <s v="Sale"/>
  </r>
  <r>
    <s v="ORD-10986"/>
    <x v="342"/>
    <x v="0"/>
    <x v="0"/>
    <s v="Networking &amp; Security"/>
    <x v="10"/>
    <x v="69"/>
    <n v="105.93"/>
    <n v="1"/>
    <s v="CUST-2702"/>
    <s v="New"/>
    <x v="1"/>
    <s v="Sale"/>
  </r>
  <r>
    <s v="ORD-10987"/>
    <x v="343"/>
    <x v="2"/>
    <x v="2"/>
    <s v="Networking &amp; Security"/>
    <x v="10"/>
    <x v="69"/>
    <n v="105.93"/>
    <n v="1"/>
    <s v="CUST-1390"/>
    <s v="Existing"/>
    <x v="0"/>
    <s v="Sale"/>
  </r>
  <r>
    <s v="ORD-10988"/>
    <x v="344"/>
    <x v="0"/>
    <x v="2"/>
    <s v="Accessories &amp; Power"/>
    <x v="3"/>
    <x v="73"/>
    <n v="125.2"/>
    <n v="2"/>
    <s v="CUST-2283"/>
    <s v="Existing"/>
    <x v="0"/>
    <s v="Sale"/>
  </r>
  <r>
    <s v="ORD-10989"/>
    <x v="344"/>
    <x v="4"/>
    <x v="2"/>
    <s v="Networking &amp; Security"/>
    <x v="5"/>
    <x v="74"/>
    <n v="86.67"/>
    <n v="1"/>
    <s v="CUST-1654"/>
    <s v="New"/>
    <x v="1"/>
    <s v="Sale"/>
  </r>
  <r>
    <s v="ORD-10990"/>
    <x v="344"/>
    <x v="5"/>
    <x v="1"/>
    <s v="Networking &amp; Security"/>
    <x v="10"/>
    <x v="69"/>
    <n v="105.93"/>
    <n v="1"/>
    <s v="CUST-2739"/>
    <s v="New"/>
    <x v="1"/>
    <s v="Sale"/>
  </r>
  <r>
    <s v="ORD-10991"/>
    <x v="345"/>
    <x v="1"/>
    <x v="2"/>
    <s v="Networking &amp; Security"/>
    <x v="10"/>
    <x v="75"/>
    <n v="317.8"/>
    <n v="3"/>
    <s v="CUST-1175"/>
    <s v="New"/>
    <x v="1"/>
    <s v="Sale"/>
  </r>
  <r>
    <s v="ORD-10992"/>
    <x v="345"/>
    <x v="0"/>
    <x v="0"/>
    <s v="Smart Home &amp; IoT"/>
    <x v="1"/>
    <x v="76"/>
    <n v="134.83000000000001"/>
    <n v="2"/>
    <s v="CUST-1773"/>
    <s v="Existing"/>
    <x v="0"/>
    <s v="Sale"/>
  </r>
  <r>
    <s v="ORD-10993"/>
    <x v="345"/>
    <x v="0"/>
    <x v="2"/>
    <s v="Laptops &amp; Computers"/>
    <x v="6"/>
    <x v="77"/>
    <n v="818.59"/>
    <n v="1"/>
    <s v="CUST-1763"/>
    <s v="Existing"/>
    <x v="0"/>
    <s v="Sale"/>
  </r>
  <r>
    <s v="ORD-10994"/>
    <x v="346"/>
    <x v="2"/>
    <x v="0"/>
    <s v="Accessories &amp; Power"/>
    <x v="3"/>
    <x v="78"/>
    <n v="62.6"/>
    <n v="1"/>
    <s v="CUST-2352"/>
    <s v="New"/>
    <x v="1"/>
    <s v="Sale"/>
  </r>
  <r>
    <s v="ORD-10995"/>
    <x v="346"/>
    <x v="0"/>
    <x v="0"/>
    <s v="Smart Home &amp; IoT"/>
    <x v="8"/>
    <x v="73"/>
    <n v="125.2"/>
    <n v="1"/>
    <s v="CUST-1930"/>
    <s v="New"/>
    <x v="1"/>
    <s v="Sale"/>
  </r>
  <r>
    <s v="ORD-10996"/>
    <x v="346"/>
    <x v="5"/>
    <x v="0"/>
    <s v="Smart Home &amp; IoT"/>
    <x v="8"/>
    <x v="73"/>
    <n v="125.2"/>
    <n v="1"/>
    <s v="CUST-2223"/>
    <s v="Existing"/>
    <x v="0"/>
    <s v="Sale"/>
  </r>
  <r>
    <s v="ORD-10997"/>
    <x v="346"/>
    <x v="0"/>
    <x v="0"/>
    <s v="Laptops &amp; Computers"/>
    <x v="0"/>
    <x v="79"/>
    <n v="866.74"/>
    <n v="2"/>
    <s v="CUST-1710"/>
    <s v="Existing"/>
    <x v="0"/>
    <s v="Sale"/>
  </r>
  <r>
    <s v="ORD-10998"/>
    <x v="347"/>
    <x v="2"/>
    <x v="2"/>
    <s v="Smart Home &amp; IoT"/>
    <x v="1"/>
    <x v="72"/>
    <n v="67.41"/>
    <n v="1"/>
    <s v="CUST-2219"/>
    <s v="New"/>
    <x v="1"/>
    <s v="Sale"/>
  </r>
  <r>
    <s v="ORD-10999"/>
    <x v="348"/>
    <x v="3"/>
    <x v="0"/>
    <s v="Laptops &amp; Computers"/>
    <x v="6"/>
    <x v="80"/>
    <n v="2455.7600000000002"/>
    <n v="3"/>
    <s v="CUST-1825"/>
    <s v="Existing"/>
    <x v="0"/>
    <s v="Sale"/>
  </r>
  <r>
    <s v="ORD-11000"/>
    <x v="349"/>
    <x v="2"/>
    <x v="2"/>
    <s v="Laptops &amp; Computers"/>
    <x v="0"/>
    <x v="79"/>
    <n v="866.74"/>
    <n v="2"/>
    <s v="CUST-1588"/>
    <s v="New"/>
    <x v="1"/>
    <s v="Sale"/>
  </r>
  <r>
    <s v="ORD-11001"/>
    <x v="349"/>
    <x v="2"/>
    <x v="2"/>
    <s v="Networking &amp; Security"/>
    <x v="10"/>
    <x v="81"/>
    <n v="211.87"/>
    <n v="2"/>
    <s v="CUST-1530"/>
    <s v="New"/>
    <x v="1"/>
    <s v="Sale"/>
  </r>
  <r>
    <s v="ORD-11002"/>
    <x v="349"/>
    <x v="0"/>
    <x v="0"/>
    <s v="Networking &amp; Security"/>
    <x v="5"/>
    <x v="74"/>
    <n v="86.67"/>
    <n v="1"/>
    <s v="CUST-2085"/>
    <s v="New"/>
    <x v="1"/>
    <s v="Sale"/>
  </r>
  <r>
    <s v="ORD-11003"/>
    <x v="350"/>
    <x v="0"/>
    <x v="1"/>
    <s v="Smart Home &amp; IoT"/>
    <x v="4"/>
    <x v="68"/>
    <n v="52.97"/>
    <n v="1"/>
    <s v="CUST-2350"/>
    <s v="New"/>
    <x v="1"/>
    <s v="Sale"/>
  </r>
  <r>
    <s v="ORD-11004"/>
    <x v="350"/>
    <x v="2"/>
    <x v="0"/>
    <s v="Laptops &amp; Computers"/>
    <x v="6"/>
    <x v="82"/>
    <n v="1637.17"/>
    <n v="2"/>
    <s v="CUST-2929"/>
    <s v="New"/>
    <x v="1"/>
    <s v="Sale"/>
  </r>
  <r>
    <s v="ORD-11005"/>
    <x v="350"/>
    <x v="1"/>
    <x v="0"/>
    <s v="Networking &amp; Security"/>
    <x v="5"/>
    <x v="74"/>
    <n v="86.67"/>
    <n v="1"/>
    <s v="CUST-1280"/>
    <s v="New"/>
    <x v="1"/>
    <s v="Sale"/>
  </r>
  <r>
    <s v="ORD-11006"/>
    <x v="350"/>
    <x v="1"/>
    <x v="2"/>
    <s v="Laptops &amp; Computers"/>
    <x v="9"/>
    <x v="70"/>
    <n v="577.83000000000004"/>
    <n v="1"/>
    <s v="CUST-2963"/>
    <s v="New"/>
    <x v="1"/>
    <s v="Sale"/>
  </r>
  <r>
    <s v="ORD-11007"/>
    <x v="350"/>
    <x v="0"/>
    <x v="0"/>
    <s v="Accessories &amp; Power"/>
    <x v="3"/>
    <x v="78"/>
    <n v="62.6"/>
    <n v="1"/>
    <s v="CUST-2785"/>
    <s v="New"/>
    <x v="1"/>
    <s v="Sale"/>
  </r>
  <r>
    <s v="ORD-11008"/>
    <x v="350"/>
    <x v="0"/>
    <x v="0"/>
    <s v="Smart Home &amp; IoT"/>
    <x v="4"/>
    <x v="68"/>
    <n v="52.97"/>
    <n v="1"/>
    <s v="CUST-1226"/>
    <s v="Existing"/>
    <x v="0"/>
    <s v="Sale"/>
  </r>
  <r>
    <s v="ORD-11009"/>
    <x v="351"/>
    <x v="0"/>
    <x v="2"/>
    <s v="Smart Home &amp; IoT"/>
    <x v="1"/>
    <x v="76"/>
    <n v="134.83000000000001"/>
    <n v="2"/>
    <s v="CUST-1638"/>
    <s v="Existing"/>
    <x v="0"/>
    <s v="Sale"/>
  </r>
  <r>
    <s v="ORD-11010"/>
    <x v="351"/>
    <x v="3"/>
    <x v="2"/>
    <s v="Networking &amp; Security"/>
    <x v="10"/>
    <x v="69"/>
    <n v="105.93"/>
    <n v="1"/>
    <s v="CUST-2081"/>
    <s v="New"/>
    <x v="1"/>
    <s v="Sale"/>
  </r>
  <r>
    <s v="ORD-11011"/>
    <x v="351"/>
    <x v="0"/>
    <x v="0"/>
    <s v="Laptops &amp; Computers"/>
    <x v="0"/>
    <x v="83"/>
    <n v="433.37"/>
    <n v="1"/>
    <s v="CUST-1920"/>
    <s v="New"/>
    <x v="1"/>
    <s v="Sale"/>
  </r>
  <r>
    <s v="ORD-11012"/>
    <x v="352"/>
    <x v="5"/>
    <x v="1"/>
    <s v="Accessories &amp; Power"/>
    <x v="11"/>
    <x v="74"/>
    <n v="86.67"/>
    <n v="1"/>
    <s v="CUST-1476"/>
    <s v="New"/>
    <x v="1"/>
    <s v="Sale"/>
  </r>
  <r>
    <s v="ORD-11013"/>
    <x v="352"/>
    <x v="0"/>
    <x v="2"/>
    <s v="Laptops &amp; Computers"/>
    <x v="6"/>
    <x v="77"/>
    <n v="818.59"/>
    <n v="1"/>
    <s v="CUST-2399"/>
    <s v="New"/>
    <x v="1"/>
    <s v="Sale"/>
  </r>
  <r>
    <s v="ORD-11014"/>
    <x v="352"/>
    <x v="2"/>
    <x v="1"/>
    <s v="Networking &amp; Security"/>
    <x v="5"/>
    <x v="84"/>
    <n v="260.02"/>
    <n v="3"/>
    <s v="CUST-1715"/>
    <s v="New"/>
    <x v="1"/>
    <s v="Sale"/>
  </r>
  <r>
    <s v="ORD-11015"/>
    <x v="353"/>
    <x v="1"/>
    <x v="0"/>
    <s v="Smart Home &amp; IoT"/>
    <x v="8"/>
    <x v="85"/>
    <n v="375.59"/>
    <n v="3"/>
    <s v="CUST-1242"/>
    <s v="Existing"/>
    <x v="0"/>
    <s v="Sale"/>
  </r>
  <r>
    <s v="ORD-11016"/>
    <x v="353"/>
    <x v="3"/>
    <x v="2"/>
    <s v="Laptops &amp; Computers"/>
    <x v="6"/>
    <x v="77"/>
    <n v="818.59"/>
    <n v="1"/>
    <s v="CUST-1366"/>
    <s v="Existing"/>
    <x v="0"/>
    <s v="Sale"/>
  </r>
  <r>
    <s v="ORD-11017"/>
    <x v="353"/>
    <x v="3"/>
    <x v="1"/>
    <s v="Accessories &amp; Power"/>
    <x v="2"/>
    <x v="71"/>
    <n v="19.260000000000002"/>
    <n v="1"/>
    <s v="CUST-1935"/>
    <s v="Existing"/>
    <x v="0"/>
    <s v="Sale"/>
  </r>
  <r>
    <s v="ORD-11018"/>
    <x v="353"/>
    <x v="1"/>
    <x v="2"/>
    <s v="Networking &amp; Security"/>
    <x v="7"/>
    <x v="86"/>
    <n v="211.87"/>
    <n v="1"/>
    <s v="CUST-2867"/>
    <s v="New"/>
    <x v="1"/>
    <s v="Sale"/>
  </r>
  <r>
    <s v="ORD-11019"/>
    <x v="353"/>
    <x v="4"/>
    <x v="2"/>
    <s v="Laptops &amp; Computers"/>
    <x v="6"/>
    <x v="82"/>
    <n v="1637.17"/>
    <n v="2"/>
    <s v="CUST-2523"/>
    <s v="Existing"/>
    <x v="0"/>
    <s v="Sale"/>
  </r>
  <r>
    <s v="ORD-11020"/>
    <x v="354"/>
    <x v="4"/>
    <x v="0"/>
    <s v="Laptops &amp; Computers"/>
    <x v="9"/>
    <x v="70"/>
    <n v="577.83000000000004"/>
    <n v="1"/>
    <s v="CUST-1837"/>
    <s v="New"/>
    <x v="1"/>
    <s v="Sale"/>
  </r>
  <r>
    <s v="ORD-11021"/>
    <x v="355"/>
    <x v="3"/>
    <x v="0"/>
    <s v="Laptops &amp; Computers"/>
    <x v="9"/>
    <x v="87"/>
    <n v="1155.6500000000001"/>
    <n v="2"/>
    <s v="CUST-2275"/>
    <s v="Existing"/>
    <x v="0"/>
    <s v="Sale"/>
  </r>
  <r>
    <s v="ORD-11022"/>
    <x v="355"/>
    <x v="3"/>
    <x v="0"/>
    <s v="Accessories &amp; Power"/>
    <x v="3"/>
    <x v="78"/>
    <n v="62.6"/>
    <n v="1"/>
    <s v="CUST-1905"/>
    <s v="Existing"/>
    <x v="0"/>
    <s v="Sale"/>
  </r>
  <r>
    <s v="ORD-11023"/>
    <x v="356"/>
    <x v="0"/>
    <x v="0"/>
    <s v="Smart Home &amp; IoT"/>
    <x v="1"/>
    <x v="76"/>
    <n v="134.83000000000001"/>
    <n v="2"/>
    <s v="CUST-2345"/>
    <s v="New"/>
    <x v="1"/>
    <s v="Sale"/>
  </r>
  <r>
    <s v="ORD-11024"/>
    <x v="356"/>
    <x v="5"/>
    <x v="1"/>
    <s v="Laptops &amp; Computers"/>
    <x v="6"/>
    <x v="77"/>
    <n v="818.59"/>
    <n v="1"/>
    <s v="CUST-1375"/>
    <s v="New"/>
    <x v="1"/>
    <s v="Sale"/>
  </r>
  <r>
    <s v="ORD-11025"/>
    <x v="356"/>
    <x v="0"/>
    <x v="0"/>
    <s v="Laptops &amp; Computers"/>
    <x v="6"/>
    <x v="82"/>
    <n v="1637.17"/>
    <n v="2"/>
    <s v="CUST-2432"/>
    <s v="New"/>
    <x v="1"/>
    <s v="Sale"/>
  </r>
  <r>
    <s v="ORD-11026"/>
    <x v="356"/>
    <x v="0"/>
    <x v="1"/>
    <s v="Smart Home &amp; IoT"/>
    <x v="1"/>
    <x v="72"/>
    <n v="67.41"/>
    <n v="1"/>
    <s v="CUST-1710"/>
    <s v="New"/>
    <x v="1"/>
    <s v="Sale"/>
  </r>
  <r>
    <s v="ORD-11027"/>
    <x v="357"/>
    <x v="4"/>
    <x v="1"/>
    <s v="Smart Home &amp; IoT"/>
    <x v="4"/>
    <x v="69"/>
    <n v="105.93"/>
    <n v="2"/>
    <s v="CUST-2511"/>
    <s v="Existing"/>
    <x v="0"/>
    <s v="Sale"/>
  </r>
  <r>
    <s v="ORD-11028"/>
    <x v="357"/>
    <x v="1"/>
    <x v="0"/>
    <s v="Networking &amp; Security"/>
    <x v="5"/>
    <x v="74"/>
    <n v="86.67"/>
    <n v="1"/>
    <s v="CUST-1342"/>
    <s v="New"/>
    <x v="1"/>
    <s v="Sale"/>
  </r>
  <r>
    <s v="ORD-11029"/>
    <x v="357"/>
    <x v="2"/>
    <x v="0"/>
    <s v="Networking &amp; Security"/>
    <x v="5"/>
    <x v="74"/>
    <n v="86.67"/>
    <n v="1"/>
    <s v="CUST-1239"/>
    <s v="Existing"/>
    <x v="0"/>
    <s v="Sale"/>
  </r>
  <r>
    <s v="ORD-11030"/>
    <x v="358"/>
    <x v="3"/>
    <x v="1"/>
    <s v="Laptops &amp; Computers"/>
    <x v="9"/>
    <x v="87"/>
    <n v="1155.6500000000001"/>
    <n v="2"/>
    <s v="CUST-1138"/>
    <s v="New"/>
    <x v="1"/>
    <s v="Sale"/>
  </r>
  <r>
    <s v="ORD-11031"/>
    <x v="358"/>
    <x v="3"/>
    <x v="1"/>
    <s v="Smart Home &amp; IoT"/>
    <x v="8"/>
    <x v="73"/>
    <n v="125.2"/>
    <n v="1"/>
    <s v="CUST-2145"/>
    <s v="New"/>
    <x v="1"/>
    <s v="Sale"/>
  </r>
  <r>
    <s v="ORD-11032"/>
    <x v="358"/>
    <x v="4"/>
    <x v="0"/>
    <s v="Accessories &amp; Power"/>
    <x v="11"/>
    <x v="88"/>
    <n v="173.35"/>
    <n v="2"/>
    <s v="CUST-1419"/>
    <s v="New"/>
    <x v="1"/>
    <s v="Sale"/>
  </r>
  <r>
    <s v="ORD-11033"/>
    <x v="359"/>
    <x v="0"/>
    <x v="0"/>
    <s v="Laptops &amp; Computers"/>
    <x v="6"/>
    <x v="82"/>
    <n v="1637.17"/>
    <n v="2"/>
    <s v="CUST-2584"/>
    <s v="New"/>
    <x v="1"/>
    <s v="Sale"/>
  </r>
  <r>
    <s v="ORD-11034"/>
    <x v="359"/>
    <x v="0"/>
    <x v="2"/>
    <s v="Smart Home &amp; IoT"/>
    <x v="1"/>
    <x v="72"/>
    <n v="67.41"/>
    <n v="1"/>
    <s v="CUST-1303"/>
    <s v="New"/>
    <x v="1"/>
    <s v="Sale"/>
  </r>
  <r>
    <s v="ORD-11035"/>
    <x v="359"/>
    <x v="1"/>
    <x v="2"/>
    <s v="Networking &amp; Security"/>
    <x v="7"/>
    <x v="86"/>
    <n v="211.87"/>
    <n v="1"/>
    <s v="CUST-1114"/>
    <s v="Existing"/>
    <x v="0"/>
    <s v="Sale"/>
  </r>
  <r>
    <s v="ORD-11036"/>
    <x v="359"/>
    <x v="0"/>
    <x v="0"/>
    <s v="Networking &amp; Security"/>
    <x v="10"/>
    <x v="69"/>
    <n v="105.93"/>
    <n v="1"/>
    <s v="CUST-1342"/>
    <s v="Existing"/>
    <x v="0"/>
    <s v="Sale"/>
  </r>
  <r>
    <s v="ORD-11037"/>
    <x v="359"/>
    <x v="0"/>
    <x v="2"/>
    <s v="Laptops &amp; Computers"/>
    <x v="6"/>
    <x v="77"/>
    <n v="818.59"/>
    <n v="1"/>
    <s v="CUST-2274"/>
    <s v="New"/>
    <x v="1"/>
    <s v="Sale"/>
  </r>
  <r>
    <s v="ORD-11038"/>
    <x v="360"/>
    <x v="1"/>
    <x v="0"/>
    <s v="Accessories &amp; Power"/>
    <x v="11"/>
    <x v="74"/>
    <n v="86.67"/>
    <n v="1"/>
    <s v="CUST-1006"/>
    <s v="New"/>
    <x v="1"/>
    <s v="Sale"/>
  </r>
  <r>
    <s v="ORD-11039"/>
    <x v="360"/>
    <x v="2"/>
    <x v="0"/>
    <s v="Networking &amp; Security"/>
    <x v="5"/>
    <x v="88"/>
    <n v="173.35"/>
    <n v="2"/>
    <s v="CUST-1730"/>
    <s v="New"/>
    <x v="1"/>
    <s v="Sale"/>
  </r>
  <r>
    <s v="ORD-11040"/>
    <x v="360"/>
    <x v="5"/>
    <x v="0"/>
    <s v="Networking &amp; Security"/>
    <x v="10"/>
    <x v="69"/>
    <n v="105.93"/>
    <n v="1"/>
    <s v="CUST-2612"/>
    <s v="Existing"/>
    <x v="0"/>
    <s v="Sale"/>
  </r>
  <r>
    <s v="ORD-11041"/>
    <x v="360"/>
    <x v="1"/>
    <x v="0"/>
    <s v="Networking &amp; Security"/>
    <x v="7"/>
    <x v="86"/>
    <n v="211.87"/>
    <n v="1"/>
    <s v="CUST-1178"/>
    <s v="New"/>
    <x v="1"/>
    <s v="Sale"/>
  </r>
  <r>
    <s v="ORD-11042"/>
    <x v="360"/>
    <x v="2"/>
    <x v="0"/>
    <s v="Laptops &amp; Computers"/>
    <x v="9"/>
    <x v="70"/>
    <n v="577.83000000000004"/>
    <n v="1"/>
    <s v="CUST-2168"/>
    <s v="New"/>
    <x v="1"/>
    <s v="Sale"/>
  </r>
  <r>
    <s v="ORD-11043"/>
    <x v="360"/>
    <x v="0"/>
    <x v="0"/>
    <s v="Laptops &amp; Computers"/>
    <x v="9"/>
    <x v="70"/>
    <n v="577.83000000000004"/>
    <n v="1"/>
    <s v="CUST-1415"/>
    <s v="Existing"/>
    <x v="0"/>
    <s v="Sale"/>
  </r>
  <r>
    <s v="ORD-11044"/>
    <x v="361"/>
    <x v="0"/>
    <x v="0"/>
    <s v="Smart Home &amp; IoT"/>
    <x v="8"/>
    <x v="73"/>
    <n v="125.2"/>
    <n v="1"/>
    <s v="CUST-1665"/>
    <s v="New"/>
    <x v="1"/>
    <s v="Sale"/>
  </r>
  <r>
    <s v="ORD-11045"/>
    <x v="361"/>
    <x v="2"/>
    <x v="0"/>
    <s v="Laptops &amp; Computers"/>
    <x v="0"/>
    <x v="79"/>
    <n v="866.74"/>
    <n v="2"/>
    <s v="CUST-2144"/>
    <s v="New"/>
    <x v="1"/>
    <s v="Sale"/>
  </r>
  <r>
    <s v="ORD-11046"/>
    <x v="361"/>
    <x v="5"/>
    <x v="0"/>
    <s v="Smart Home &amp; IoT"/>
    <x v="8"/>
    <x v="89"/>
    <n v="250.39"/>
    <n v="2"/>
    <s v="CUST-2147"/>
    <s v="New"/>
    <x v="1"/>
    <s v="Sale"/>
  </r>
  <r>
    <s v="ORD-11047"/>
    <x v="361"/>
    <x v="2"/>
    <x v="1"/>
    <s v="Networking &amp; Security"/>
    <x v="5"/>
    <x v="74"/>
    <n v="86.67"/>
    <n v="1"/>
    <s v="CUST-1149"/>
    <s v="New"/>
    <x v="1"/>
    <s v="Sale"/>
  </r>
  <r>
    <s v="ORD-11048"/>
    <x v="362"/>
    <x v="0"/>
    <x v="0"/>
    <s v="Networking &amp; Security"/>
    <x v="7"/>
    <x v="90"/>
    <n v="847.48"/>
    <n v="4"/>
    <s v="CUST-1396"/>
    <s v="New"/>
    <x v="1"/>
    <s v="Sale"/>
  </r>
  <r>
    <s v="ORD-11049"/>
    <x v="362"/>
    <x v="3"/>
    <x v="0"/>
    <s v="Networking &amp; Security"/>
    <x v="10"/>
    <x v="69"/>
    <n v="105.93"/>
    <n v="1"/>
    <s v="CUST-1380"/>
    <s v="New"/>
    <x v="1"/>
    <s v="Sale"/>
  </r>
  <r>
    <s v="ORD-11050"/>
    <x v="362"/>
    <x v="5"/>
    <x v="2"/>
    <s v="Networking &amp; Security"/>
    <x v="7"/>
    <x v="91"/>
    <n v="635.61"/>
    <n v="3"/>
    <s v="CUST-2803"/>
    <s v="New"/>
    <x v="1"/>
    <s v="Sale"/>
  </r>
  <r>
    <s v="ORD-11051"/>
    <x v="363"/>
    <x v="5"/>
    <x v="1"/>
    <s v="Laptops &amp; Computers"/>
    <x v="0"/>
    <x v="79"/>
    <n v="866.74"/>
    <n v="2"/>
    <s v="CUST-1838"/>
    <s v="New"/>
    <x v="1"/>
    <s v="Sale"/>
  </r>
  <r>
    <s v="ORD-11052"/>
    <x v="363"/>
    <x v="5"/>
    <x v="0"/>
    <s v="Networking &amp; Security"/>
    <x v="10"/>
    <x v="81"/>
    <n v="211.87"/>
    <n v="2"/>
    <s v="CUST-1000"/>
    <s v="New"/>
    <x v="1"/>
    <s v="Sale"/>
  </r>
  <r>
    <s v="ORD-11053"/>
    <x v="363"/>
    <x v="3"/>
    <x v="2"/>
    <s v="Smart Home &amp; IoT"/>
    <x v="4"/>
    <x v="68"/>
    <n v="52.97"/>
    <n v="1"/>
    <s v="CUST-2696"/>
    <s v="New"/>
    <x v="1"/>
    <s v="Sale"/>
  </r>
  <r>
    <s v="ORD-11054"/>
    <x v="364"/>
    <x v="5"/>
    <x v="2"/>
    <s v="Smart Home &amp; IoT"/>
    <x v="8"/>
    <x v="73"/>
    <n v="125.2"/>
    <n v="1"/>
    <s v="CUST-1243"/>
    <s v="New"/>
    <x v="1"/>
    <s v="Sale"/>
  </r>
  <r>
    <s v="ORD-11055"/>
    <x v="364"/>
    <x v="5"/>
    <x v="2"/>
    <s v="Laptops &amp; Computers"/>
    <x v="9"/>
    <x v="92"/>
    <n v="-577.83000000000004"/>
    <n v="-1"/>
    <s v="CUST-2910"/>
    <s v="New"/>
    <x v="1"/>
    <s v="Return"/>
  </r>
  <r>
    <s v="ORD-11056"/>
    <x v="364"/>
    <x v="4"/>
    <x v="0"/>
    <s v="Networking &amp; Security"/>
    <x v="7"/>
    <x v="93"/>
    <n v="423.74"/>
    <n v="2"/>
    <s v="CUST-2421"/>
    <s v="Existing"/>
    <x v="0"/>
    <s v="Sale"/>
  </r>
  <r>
    <s v="ORD-11057"/>
    <x v="365"/>
    <x v="2"/>
    <x v="2"/>
    <s v="Laptops &amp; Computers"/>
    <x v="6"/>
    <x v="77"/>
    <n v="818.59"/>
    <n v="1"/>
    <s v="CUST-2274"/>
    <s v="New"/>
    <x v="1"/>
    <s v="Sale"/>
  </r>
  <r>
    <s v="ORD-11058"/>
    <x v="366"/>
    <x v="1"/>
    <x v="0"/>
    <s v="Laptops &amp; Computers"/>
    <x v="6"/>
    <x v="82"/>
    <n v="1637.17"/>
    <n v="2"/>
    <s v="CUST-1878"/>
    <s v="Existing"/>
    <x v="0"/>
    <s v="Sale"/>
  </r>
  <r>
    <s v="ORD-11059"/>
    <x v="366"/>
    <x v="2"/>
    <x v="2"/>
    <s v="Laptops &amp; Computers"/>
    <x v="0"/>
    <x v="83"/>
    <n v="433.37"/>
    <n v="1"/>
    <s v="CUST-2599"/>
    <s v="New"/>
    <x v="1"/>
    <s v="Sale"/>
  </r>
  <r>
    <s v="ORD-11060"/>
    <x v="367"/>
    <x v="1"/>
    <x v="2"/>
    <s v="Accessories &amp; Power"/>
    <x v="2"/>
    <x v="68"/>
    <n v="38.520000000000003"/>
    <n v="2"/>
    <s v="CUST-2322"/>
    <s v="New"/>
    <x v="1"/>
    <s v="Sale"/>
  </r>
  <r>
    <s v="ORD-11061"/>
    <x v="367"/>
    <x v="0"/>
    <x v="0"/>
    <s v="Laptops &amp; Computers"/>
    <x v="0"/>
    <x v="94"/>
    <n v="-433.37"/>
    <n v="-1"/>
    <s v="CUST-1759"/>
    <s v="New"/>
    <x v="1"/>
    <s v="Return"/>
  </r>
  <r>
    <s v="ORD-11062"/>
    <x v="367"/>
    <x v="5"/>
    <x v="1"/>
    <s v="Laptops &amp; Computers"/>
    <x v="6"/>
    <x v="77"/>
    <n v="818.59"/>
    <n v="1"/>
    <s v="CUST-1953"/>
    <s v="Existing"/>
    <x v="0"/>
    <s v="Sale"/>
  </r>
  <r>
    <s v="ORD-11063"/>
    <x v="367"/>
    <x v="4"/>
    <x v="0"/>
    <s v="Laptops &amp; Computers"/>
    <x v="6"/>
    <x v="95"/>
    <n v="-818.59"/>
    <n v="-1"/>
    <s v="CUST-2320"/>
    <s v="Existing"/>
    <x v="0"/>
    <s v="Return"/>
  </r>
  <r>
    <s v="ORD-11064"/>
    <x v="368"/>
    <x v="4"/>
    <x v="1"/>
    <s v="Laptops &amp; Computers"/>
    <x v="6"/>
    <x v="77"/>
    <n v="818.59"/>
    <n v="1"/>
    <s v="CUST-1976"/>
    <s v="New"/>
    <x v="1"/>
    <s v="Sale"/>
  </r>
  <r>
    <s v="ORD-11065"/>
    <x v="368"/>
    <x v="1"/>
    <x v="0"/>
    <s v="Smart Home &amp; IoT"/>
    <x v="1"/>
    <x v="72"/>
    <n v="67.41"/>
    <n v="1"/>
    <s v="CUST-2987"/>
    <s v="Existing"/>
    <x v="0"/>
    <s v="Sale"/>
  </r>
  <r>
    <s v="ORD-11066"/>
    <x v="368"/>
    <x v="5"/>
    <x v="0"/>
    <s v="Laptops &amp; Computers"/>
    <x v="6"/>
    <x v="82"/>
    <n v="1637.17"/>
    <n v="2"/>
    <s v="CUST-2523"/>
    <s v="New"/>
    <x v="1"/>
    <s v="Sale"/>
  </r>
  <r>
    <s v="ORD-11067"/>
    <x v="368"/>
    <x v="0"/>
    <x v="0"/>
    <s v="Laptops &amp; Computers"/>
    <x v="0"/>
    <x v="83"/>
    <n v="433.37"/>
    <n v="1"/>
    <s v="CUST-2138"/>
    <s v="New"/>
    <x v="1"/>
    <s v="Sale"/>
  </r>
  <r>
    <s v="ORD-11068"/>
    <x v="368"/>
    <x v="4"/>
    <x v="1"/>
    <s v="Smart Home &amp; IoT"/>
    <x v="1"/>
    <x v="72"/>
    <n v="67.41"/>
    <n v="1"/>
    <s v="CUST-2830"/>
    <s v="New"/>
    <x v="1"/>
    <s v="Sale"/>
  </r>
  <r>
    <s v="ORD-11069"/>
    <x v="369"/>
    <x v="4"/>
    <x v="0"/>
    <s v="Networking &amp; Security"/>
    <x v="7"/>
    <x v="93"/>
    <n v="423.74"/>
    <n v="2"/>
    <s v="CUST-1000"/>
    <s v="New"/>
    <x v="1"/>
    <s v="Sale"/>
  </r>
  <r>
    <s v="ORD-11070"/>
    <x v="369"/>
    <x v="5"/>
    <x v="0"/>
    <s v="Smart Home &amp; IoT"/>
    <x v="8"/>
    <x v="73"/>
    <n v="125.2"/>
    <n v="1"/>
    <s v="CUST-1552"/>
    <s v="Existing"/>
    <x v="0"/>
    <s v="Sale"/>
  </r>
  <r>
    <s v="ORD-11071"/>
    <x v="370"/>
    <x v="3"/>
    <x v="0"/>
    <s v="Smart Home &amp; IoT"/>
    <x v="8"/>
    <x v="85"/>
    <n v="375.59"/>
    <n v="3"/>
    <s v="CUST-2708"/>
    <s v="New"/>
    <x v="1"/>
    <s v="Sale"/>
  </r>
  <r>
    <s v="ORD-11072"/>
    <x v="370"/>
    <x v="2"/>
    <x v="2"/>
    <s v="Laptops &amp; Computers"/>
    <x v="0"/>
    <x v="96"/>
    <n v="2166.84"/>
    <n v="5"/>
    <s v="CUST-2623"/>
    <s v="New"/>
    <x v="1"/>
    <s v="Sale"/>
  </r>
  <r>
    <s v="ORD-11073"/>
    <x v="370"/>
    <x v="5"/>
    <x v="2"/>
    <s v="Smart Home &amp; IoT"/>
    <x v="8"/>
    <x v="73"/>
    <n v="125.2"/>
    <n v="1"/>
    <s v="CUST-1481"/>
    <s v="Existing"/>
    <x v="0"/>
    <s v="Sale"/>
  </r>
  <r>
    <s v="ORD-11074"/>
    <x v="370"/>
    <x v="0"/>
    <x v="0"/>
    <s v="Laptops &amp; Computers"/>
    <x v="9"/>
    <x v="70"/>
    <n v="577.83000000000004"/>
    <n v="1"/>
    <s v="CUST-2633"/>
    <s v="New"/>
    <x v="1"/>
    <s v="Sale"/>
  </r>
  <r>
    <s v="ORD-11075"/>
    <x v="371"/>
    <x v="1"/>
    <x v="0"/>
    <s v="Networking &amp; Security"/>
    <x v="7"/>
    <x v="86"/>
    <n v="211.87"/>
    <n v="1"/>
    <s v="CUST-1599"/>
    <s v="New"/>
    <x v="1"/>
    <s v="Sale"/>
  </r>
  <r>
    <s v="ORD-11076"/>
    <x v="371"/>
    <x v="2"/>
    <x v="0"/>
    <s v="Networking &amp; Security"/>
    <x v="5"/>
    <x v="88"/>
    <n v="173.35"/>
    <n v="2"/>
    <s v="CUST-1762"/>
    <s v="New"/>
    <x v="1"/>
    <s v="Sale"/>
  </r>
  <r>
    <s v="ORD-11077"/>
    <x v="371"/>
    <x v="2"/>
    <x v="0"/>
    <s v="Laptops &amp; Computers"/>
    <x v="0"/>
    <x v="83"/>
    <n v="433.37"/>
    <n v="1"/>
    <s v="CUST-2533"/>
    <s v="Existing"/>
    <x v="0"/>
    <s v="Sale"/>
  </r>
  <r>
    <s v="ORD-11078"/>
    <x v="372"/>
    <x v="1"/>
    <x v="0"/>
    <s v="Smart Home &amp; IoT"/>
    <x v="8"/>
    <x v="89"/>
    <n v="250.39"/>
    <n v="2"/>
    <s v="CUST-1334"/>
    <s v="Existing"/>
    <x v="0"/>
    <s v="Sale"/>
  </r>
  <r>
    <s v="ORD-11079"/>
    <x v="372"/>
    <x v="4"/>
    <x v="2"/>
    <s v="Accessories &amp; Power"/>
    <x v="3"/>
    <x v="73"/>
    <n v="125.2"/>
    <n v="2"/>
    <s v="CUST-1464"/>
    <s v="New"/>
    <x v="1"/>
    <s v="Sale"/>
  </r>
  <r>
    <s v="ORD-11080"/>
    <x v="372"/>
    <x v="0"/>
    <x v="0"/>
    <s v="Accessories &amp; Power"/>
    <x v="3"/>
    <x v="78"/>
    <n v="62.6"/>
    <n v="1"/>
    <s v="CUST-2164"/>
    <s v="New"/>
    <x v="1"/>
    <s v="Sale"/>
  </r>
  <r>
    <s v="ORD-11081"/>
    <x v="372"/>
    <x v="5"/>
    <x v="0"/>
    <s v="Smart Home &amp; IoT"/>
    <x v="4"/>
    <x v="69"/>
    <n v="105.93"/>
    <n v="2"/>
    <s v="CUST-1582"/>
    <s v="Existing"/>
    <x v="0"/>
    <s v="Sale"/>
  </r>
  <r>
    <s v="ORD-11082"/>
    <x v="372"/>
    <x v="2"/>
    <x v="0"/>
    <s v="Networking &amp; Security"/>
    <x v="7"/>
    <x v="93"/>
    <n v="423.74"/>
    <n v="2"/>
    <s v="CUST-1136"/>
    <s v="Existing"/>
    <x v="0"/>
    <s v="Sale"/>
  </r>
  <r>
    <s v="ORD-11083"/>
    <x v="372"/>
    <x v="2"/>
    <x v="1"/>
    <s v="Laptops &amp; Computers"/>
    <x v="6"/>
    <x v="77"/>
    <n v="818.59"/>
    <n v="1"/>
    <s v="CUST-2003"/>
    <s v="Existing"/>
    <x v="0"/>
    <s v="Sale"/>
  </r>
  <r>
    <s v="ORD-11084"/>
    <x v="373"/>
    <x v="5"/>
    <x v="1"/>
    <s v="Laptops &amp; Computers"/>
    <x v="0"/>
    <x v="97"/>
    <n v="1300.1099999999999"/>
    <n v="3"/>
    <s v="CUST-2982"/>
    <s v="New"/>
    <x v="1"/>
    <s v="Sale"/>
  </r>
  <r>
    <s v="ORD-11085"/>
    <x v="373"/>
    <x v="0"/>
    <x v="1"/>
    <s v="Networking &amp; Security"/>
    <x v="5"/>
    <x v="98"/>
    <n v="-173.35"/>
    <n v="-2"/>
    <s v="CUST-2634"/>
    <s v="New"/>
    <x v="1"/>
    <s v="Return"/>
  </r>
  <r>
    <s v="ORD-11086"/>
    <x v="373"/>
    <x v="0"/>
    <x v="0"/>
    <s v="Networking &amp; Security"/>
    <x v="5"/>
    <x v="74"/>
    <n v="86.67"/>
    <n v="1"/>
    <s v="CUST-2686"/>
    <s v="Existing"/>
    <x v="0"/>
    <s v="Sale"/>
  </r>
  <r>
    <s v="ORD-11087"/>
    <x v="374"/>
    <x v="5"/>
    <x v="0"/>
    <s v="Accessories &amp; Power"/>
    <x v="3"/>
    <x v="78"/>
    <n v="62.6"/>
    <n v="1"/>
    <s v="CUST-1949"/>
    <s v="New"/>
    <x v="1"/>
    <s v="Sale"/>
  </r>
  <r>
    <s v="ORD-11088"/>
    <x v="374"/>
    <x v="5"/>
    <x v="0"/>
    <s v="Networking &amp; Security"/>
    <x v="5"/>
    <x v="74"/>
    <n v="86.67"/>
    <n v="1"/>
    <s v="CUST-1686"/>
    <s v="New"/>
    <x v="1"/>
    <s v="Sale"/>
  </r>
  <r>
    <s v="ORD-11089"/>
    <x v="374"/>
    <x v="0"/>
    <x v="0"/>
    <s v="Networking &amp; Security"/>
    <x v="10"/>
    <x v="69"/>
    <n v="105.93"/>
    <n v="1"/>
    <s v="CUST-1166"/>
    <s v="Existing"/>
    <x v="0"/>
    <s v="Sale"/>
  </r>
  <r>
    <s v="ORD-11090"/>
    <x v="375"/>
    <x v="2"/>
    <x v="2"/>
    <s v="Networking &amp; Security"/>
    <x v="7"/>
    <x v="90"/>
    <n v="847.48"/>
    <n v="4"/>
    <s v="CUST-2366"/>
    <s v="New"/>
    <x v="1"/>
    <s v="Sale"/>
  </r>
  <r>
    <s v="ORD-11091"/>
    <x v="375"/>
    <x v="1"/>
    <x v="2"/>
    <s v="Accessories &amp; Power"/>
    <x v="2"/>
    <x v="71"/>
    <n v="19.260000000000002"/>
    <n v="1"/>
    <s v="CUST-2433"/>
    <s v="New"/>
    <x v="1"/>
    <s v="Sale"/>
  </r>
  <r>
    <s v="ORD-11092"/>
    <x v="375"/>
    <x v="2"/>
    <x v="1"/>
    <s v="Smart Home &amp; IoT"/>
    <x v="1"/>
    <x v="76"/>
    <n v="134.83000000000001"/>
    <n v="2"/>
    <s v="CUST-2792"/>
    <s v="New"/>
    <x v="1"/>
    <s v="Sale"/>
  </r>
  <r>
    <s v="ORD-11093"/>
    <x v="376"/>
    <x v="3"/>
    <x v="1"/>
    <s v="Smart Home &amp; IoT"/>
    <x v="8"/>
    <x v="73"/>
    <n v="125.2"/>
    <n v="1"/>
    <s v="CUST-1909"/>
    <s v="New"/>
    <x v="1"/>
    <s v="Sale"/>
  </r>
  <r>
    <s v="ORD-11094"/>
    <x v="376"/>
    <x v="0"/>
    <x v="0"/>
    <s v="Networking &amp; Security"/>
    <x v="5"/>
    <x v="74"/>
    <n v="86.67"/>
    <n v="1"/>
    <s v="CUST-2759"/>
    <s v="New"/>
    <x v="1"/>
    <s v="Sale"/>
  </r>
  <r>
    <s v="ORD-11095"/>
    <x v="377"/>
    <x v="0"/>
    <x v="2"/>
    <s v="Accessories &amp; Power"/>
    <x v="11"/>
    <x v="84"/>
    <n v="260.02"/>
    <n v="3"/>
    <s v="CUST-1879"/>
    <s v="New"/>
    <x v="1"/>
    <s v="Sale"/>
  </r>
  <r>
    <s v="ORD-11096"/>
    <x v="377"/>
    <x v="2"/>
    <x v="0"/>
    <s v="Laptops &amp; Computers"/>
    <x v="9"/>
    <x v="99"/>
    <n v="1733.48"/>
    <n v="3"/>
    <s v="CUST-1841"/>
    <s v="New"/>
    <x v="1"/>
    <s v="Sale"/>
  </r>
  <r>
    <s v="ORD-11097"/>
    <x v="378"/>
    <x v="5"/>
    <x v="0"/>
    <s v="Accessories &amp; Power"/>
    <x v="2"/>
    <x v="71"/>
    <n v="19.260000000000002"/>
    <n v="1"/>
    <s v="CUST-1064"/>
    <s v="New"/>
    <x v="1"/>
    <s v="Sale"/>
  </r>
  <r>
    <s v="ORD-11098"/>
    <x v="378"/>
    <x v="2"/>
    <x v="2"/>
    <s v="Networking &amp; Security"/>
    <x v="7"/>
    <x v="86"/>
    <n v="211.87"/>
    <n v="1"/>
    <s v="CUST-2604"/>
    <s v="New"/>
    <x v="1"/>
    <s v="Sale"/>
  </r>
  <r>
    <s v="ORD-11099"/>
    <x v="378"/>
    <x v="3"/>
    <x v="0"/>
    <s v="Networking &amp; Security"/>
    <x v="5"/>
    <x v="74"/>
    <n v="86.67"/>
    <n v="1"/>
    <s v="CUST-2090"/>
    <s v="Existing"/>
    <x v="0"/>
    <s v="Sale"/>
  </r>
  <r>
    <s v="ORD-11100"/>
    <x v="378"/>
    <x v="3"/>
    <x v="0"/>
    <s v="Networking &amp; Security"/>
    <x v="10"/>
    <x v="69"/>
    <n v="105.93"/>
    <n v="1"/>
    <s v="CUST-1432"/>
    <s v="New"/>
    <x v="1"/>
    <s v="Sale"/>
  </r>
  <r>
    <s v="ORD-11101"/>
    <x v="378"/>
    <x v="4"/>
    <x v="0"/>
    <s v="Smart Home &amp; IoT"/>
    <x v="4"/>
    <x v="68"/>
    <n v="52.97"/>
    <n v="1"/>
    <s v="CUST-2073"/>
    <s v="Existing"/>
    <x v="0"/>
    <s v="Sale"/>
  </r>
  <r>
    <s v="ORD-11102"/>
    <x v="379"/>
    <x v="5"/>
    <x v="2"/>
    <s v="Laptops &amp; Computers"/>
    <x v="0"/>
    <x v="83"/>
    <n v="433.37"/>
    <n v="1"/>
    <s v="CUST-2337"/>
    <s v="New"/>
    <x v="1"/>
    <s v="Sale"/>
  </r>
  <r>
    <s v="ORD-11103"/>
    <x v="379"/>
    <x v="1"/>
    <x v="2"/>
    <s v="Accessories &amp; Power"/>
    <x v="3"/>
    <x v="89"/>
    <n v="250.39"/>
    <n v="4"/>
    <s v="CUST-2332"/>
    <s v="New"/>
    <x v="1"/>
    <s v="Sale"/>
  </r>
  <r>
    <s v="ORD-11104"/>
    <x v="380"/>
    <x v="1"/>
    <x v="0"/>
    <s v="Networking &amp; Security"/>
    <x v="7"/>
    <x v="86"/>
    <n v="211.87"/>
    <n v="1"/>
    <s v="CUST-2626"/>
    <s v="New"/>
    <x v="1"/>
    <s v="Sale"/>
  </r>
  <r>
    <s v="ORD-11105"/>
    <x v="381"/>
    <x v="0"/>
    <x v="1"/>
    <s v="Networking &amp; Security"/>
    <x v="7"/>
    <x v="91"/>
    <n v="635.61"/>
    <n v="3"/>
    <s v="CUST-1114"/>
    <s v="New"/>
    <x v="1"/>
    <s v="Sale"/>
  </r>
  <r>
    <s v="ORD-11106"/>
    <x v="381"/>
    <x v="5"/>
    <x v="0"/>
    <s v="Laptops &amp; Computers"/>
    <x v="9"/>
    <x v="87"/>
    <n v="1155.6500000000001"/>
    <n v="2"/>
    <s v="CUST-2909"/>
    <s v="New"/>
    <x v="1"/>
    <s v="Sale"/>
  </r>
  <r>
    <s v="ORD-11107"/>
    <x v="382"/>
    <x v="0"/>
    <x v="0"/>
    <s v="Networking &amp; Security"/>
    <x v="5"/>
    <x v="74"/>
    <n v="86.67"/>
    <n v="1"/>
    <s v="CUST-1568"/>
    <s v="New"/>
    <x v="1"/>
    <s v="Sale"/>
  </r>
  <r>
    <s v="ORD-11108"/>
    <x v="382"/>
    <x v="4"/>
    <x v="2"/>
    <s v="Networking &amp; Security"/>
    <x v="10"/>
    <x v="75"/>
    <n v="317.8"/>
    <n v="3"/>
    <s v="CUST-2365"/>
    <s v="New"/>
    <x v="1"/>
    <s v="Sale"/>
  </r>
  <r>
    <s v="ORD-11109"/>
    <x v="382"/>
    <x v="5"/>
    <x v="2"/>
    <s v="Networking &amp; Security"/>
    <x v="10"/>
    <x v="69"/>
    <n v="105.93"/>
    <n v="1"/>
    <s v="CUST-2553"/>
    <s v="Existing"/>
    <x v="0"/>
    <s v="Sale"/>
  </r>
  <r>
    <s v="ORD-11110"/>
    <x v="382"/>
    <x v="5"/>
    <x v="1"/>
    <s v="Smart Home &amp; IoT"/>
    <x v="1"/>
    <x v="81"/>
    <n v="202.24"/>
    <n v="3"/>
    <s v="CUST-2807"/>
    <s v="New"/>
    <x v="1"/>
    <s v="Sale"/>
  </r>
  <r>
    <s v="ORD-11111"/>
    <x v="382"/>
    <x v="1"/>
    <x v="0"/>
    <s v="Networking &amp; Security"/>
    <x v="7"/>
    <x v="86"/>
    <n v="211.87"/>
    <n v="1"/>
    <s v="CUST-1641"/>
    <s v="Existing"/>
    <x v="0"/>
    <s v="Sale"/>
  </r>
  <r>
    <s v="ORD-11112"/>
    <x v="383"/>
    <x v="0"/>
    <x v="2"/>
    <s v="Accessories &amp; Power"/>
    <x v="3"/>
    <x v="78"/>
    <n v="62.6"/>
    <n v="1"/>
    <s v="CUST-1494"/>
    <s v="New"/>
    <x v="1"/>
    <s v="Sale"/>
  </r>
  <r>
    <s v="ORD-11113"/>
    <x v="384"/>
    <x v="0"/>
    <x v="2"/>
    <s v="Smart Home &amp; IoT"/>
    <x v="1"/>
    <x v="81"/>
    <n v="202.24"/>
    <n v="3"/>
    <s v="CUST-2292"/>
    <s v="Existing"/>
    <x v="0"/>
    <s v="Sale"/>
  </r>
  <r>
    <s v="ORD-11114"/>
    <x v="384"/>
    <x v="1"/>
    <x v="1"/>
    <s v="Accessories &amp; Power"/>
    <x v="3"/>
    <x v="78"/>
    <n v="62.6"/>
    <n v="1"/>
    <s v="CUST-1940"/>
    <s v="New"/>
    <x v="1"/>
    <s v="Sale"/>
  </r>
  <r>
    <s v="ORD-11115"/>
    <x v="384"/>
    <x v="0"/>
    <x v="0"/>
    <s v="Laptops &amp; Computers"/>
    <x v="0"/>
    <x v="97"/>
    <n v="1300.1099999999999"/>
    <n v="3"/>
    <s v="CUST-2103"/>
    <s v="Existing"/>
    <x v="0"/>
    <s v="Sale"/>
  </r>
  <r>
    <s v="ORD-11116"/>
    <x v="385"/>
    <x v="5"/>
    <x v="2"/>
    <s v="Networking &amp; Security"/>
    <x v="7"/>
    <x v="91"/>
    <n v="635.61"/>
    <n v="3"/>
    <s v="CUST-2479"/>
    <s v="New"/>
    <x v="1"/>
    <s v="Sale"/>
  </r>
  <r>
    <s v="ORD-11117"/>
    <x v="385"/>
    <x v="3"/>
    <x v="2"/>
    <s v="Networking &amp; Security"/>
    <x v="5"/>
    <x v="74"/>
    <n v="86.67"/>
    <n v="1"/>
    <s v="CUST-2322"/>
    <s v="Existing"/>
    <x v="0"/>
    <s v="Sale"/>
  </r>
  <r>
    <s v="ORD-11118"/>
    <x v="386"/>
    <x v="3"/>
    <x v="0"/>
    <s v="Smart Home &amp; IoT"/>
    <x v="1"/>
    <x v="72"/>
    <n v="67.41"/>
    <n v="1"/>
    <s v="CUST-1967"/>
    <s v="New"/>
    <x v="1"/>
    <s v="Sale"/>
  </r>
  <r>
    <s v="ORD-11119"/>
    <x v="387"/>
    <x v="2"/>
    <x v="0"/>
    <s v="Accessories &amp; Power"/>
    <x v="2"/>
    <x v="71"/>
    <n v="19.260000000000002"/>
    <n v="1"/>
    <s v="CUST-1821"/>
    <s v="Existing"/>
    <x v="0"/>
    <s v="Sale"/>
  </r>
  <r>
    <s v="ORD-11120"/>
    <x v="387"/>
    <x v="0"/>
    <x v="0"/>
    <s v="Laptops &amp; Computers"/>
    <x v="0"/>
    <x v="79"/>
    <n v="866.74"/>
    <n v="2"/>
    <s v="CUST-1201"/>
    <s v="Existing"/>
    <x v="0"/>
    <s v="Sale"/>
  </r>
  <r>
    <s v="ORD-11121"/>
    <x v="388"/>
    <x v="3"/>
    <x v="2"/>
    <s v="Laptops &amp; Computers"/>
    <x v="0"/>
    <x v="79"/>
    <n v="866.74"/>
    <n v="2"/>
    <s v="CUST-2526"/>
    <s v="New"/>
    <x v="1"/>
    <s v="Sale"/>
  </r>
  <r>
    <s v="ORD-11122"/>
    <x v="388"/>
    <x v="3"/>
    <x v="1"/>
    <s v="Accessories &amp; Power"/>
    <x v="11"/>
    <x v="74"/>
    <n v="86.67"/>
    <n v="1"/>
    <s v="CUST-2760"/>
    <s v="New"/>
    <x v="1"/>
    <s v="Sale"/>
  </r>
  <r>
    <s v="ORD-11123"/>
    <x v="388"/>
    <x v="0"/>
    <x v="2"/>
    <s v="Laptops &amp; Computers"/>
    <x v="0"/>
    <x v="83"/>
    <n v="433.37"/>
    <n v="1"/>
    <s v="CUST-2694"/>
    <s v="New"/>
    <x v="1"/>
    <s v="Sale"/>
  </r>
  <r>
    <s v="ORD-11124"/>
    <x v="388"/>
    <x v="2"/>
    <x v="2"/>
    <s v="Smart Home &amp; IoT"/>
    <x v="1"/>
    <x v="76"/>
    <n v="134.83000000000001"/>
    <n v="2"/>
    <s v="CUST-2739"/>
    <s v="Existing"/>
    <x v="0"/>
    <s v="Sale"/>
  </r>
  <r>
    <s v="ORD-11125"/>
    <x v="388"/>
    <x v="0"/>
    <x v="2"/>
    <s v="Networking &amp; Security"/>
    <x v="7"/>
    <x v="86"/>
    <n v="211.87"/>
    <n v="1"/>
    <s v="CUST-1648"/>
    <s v="New"/>
    <x v="1"/>
    <s v="Sale"/>
  </r>
  <r>
    <s v="ORD-11126"/>
    <x v="389"/>
    <x v="3"/>
    <x v="0"/>
    <s v="Accessories &amp; Power"/>
    <x v="2"/>
    <x v="68"/>
    <n v="38.520000000000003"/>
    <n v="2"/>
    <s v="CUST-2508"/>
    <s v="Existing"/>
    <x v="0"/>
    <s v="Sale"/>
  </r>
  <r>
    <s v="ORD-11127"/>
    <x v="389"/>
    <x v="4"/>
    <x v="0"/>
    <s v="Laptops &amp; Computers"/>
    <x v="6"/>
    <x v="82"/>
    <n v="1637.17"/>
    <n v="2"/>
    <s v="CUST-2608"/>
    <s v="New"/>
    <x v="1"/>
    <s v="Sale"/>
  </r>
  <r>
    <s v="ORD-11128"/>
    <x v="389"/>
    <x v="0"/>
    <x v="0"/>
    <s v="Laptops &amp; Computers"/>
    <x v="6"/>
    <x v="80"/>
    <n v="2455.7600000000002"/>
    <n v="3"/>
    <s v="CUST-1559"/>
    <s v="New"/>
    <x v="1"/>
    <s v="Sale"/>
  </r>
  <r>
    <s v="ORD-11129"/>
    <x v="389"/>
    <x v="3"/>
    <x v="0"/>
    <s v="Smart Home &amp; IoT"/>
    <x v="1"/>
    <x v="100"/>
    <n v="-67.41"/>
    <n v="-1"/>
    <s v="CUST-2041"/>
    <s v="Existing"/>
    <x v="0"/>
    <s v="Return"/>
  </r>
  <r>
    <s v="ORD-11130"/>
    <x v="390"/>
    <x v="5"/>
    <x v="0"/>
    <s v="Accessories &amp; Power"/>
    <x v="11"/>
    <x v="74"/>
    <n v="86.67"/>
    <n v="1"/>
    <s v="CUST-1477"/>
    <s v="New"/>
    <x v="1"/>
    <s v="Sale"/>
  </r>
  <r>
    <s v="ORD-11131"/>
    <x v="390"/>
    <x v="4"/>
    <x v="2"/>
    <s v="Networking &amp; Security"/>
    <x v="7"/>
    <x v="86"/>
    <n v="211.87"/>
    <n v="1"/>
    <s v="CUST-1487"/>
    <s v="New"/>
    <x v="1"/>
    <s v="Sale"/>
  </r>
  <r>
    <s v="ORD-11132"/>
    <x v="390"/>
    <x v="1"/>
    <x v="0"/>
    <s v="Networking &amp; Security"/>
    <x v="7"/>
    <x v="86"/>
    <n v="211.87"/>
    <n v="1"/>
    <s v="CUST-1982"/>
    <s v="New"/>
    <x v="1"/>
    <s v="Sale"/>
  </r>
  <r>
    <s v="ORD-11133"/>
    <x v="390"/>
    <x v="3"/>
    <x v="0"/>
    <s v="Smart Home &amp; IoT"/>
    <x v="1"/>
    <x v="101"/>
    <n v="269.64999999999998"/>
    <n v="4"/>
    <s v="CUST-1778"/>
    <s v="Existing"/>
    <x v="0"/>
    <s v="Sale"/>
  </r>
  <r>
    <s v="ORD-11134"/>
    <x v="391"/>
    <x v="0"/>
    <x v="0"/>
    <s v="Accessories &amp; Power"/>
    <x v="2"/>
    <x v="71"/>
    <n v="19.260000000000002"/>
    <n v="1"/>
    <s v="CUST-2469"/>
    <s v="Existing"/>
    <x v="0"/>
    <s v="Sale"/>
  </r>
  <r>
    <s v="ORD-11135"/>
    <x v="391"/>
    <x v="1"/>
    <x v="0"/>
    <s v="Accessories &amp; Power"/>
    <x v="3"/>
    <x v="73"/>
    <n v="125.2"/>
    <n v="2"/>
    <s v="CUST-1339"/>
    <s v="New"/>
    <x v="1"/>
    <s v="Sale"/>
  </r>
  <r>
    <s v="ORD-11136"/>
    <x v="391"/>
    <x v="0"/>
    <x v="1"/>
    <s v="Accessories &amp; Power"/>
    <x v="11"/>
    <x v="74"/>
    <n v="86.67"/>
    <n v="1"/>
    <s v="CUST-2554"/>
    <s v="New"/>
    <x v="1"/>
    <s v="Sale"/>
  </r>
  <r>
    <s v="ORD-11137"/>
    <x v="392"/>
    <x v="4"/>
    <x v="1"/>
    <s v="Laptops &amp; Computers"/>
    <x v="0"/>
    <x v="83"/>
    <n v="433.37"/>
    <n v="1"/>
    <s v="CUST-1611"/>
    <s v="Existing"/>
    <x v="0"/>
    <s v="Sale"/>
  </r>
  <r>
    <s v="ORD-11138"/>
    <x v="392"/>
    <x v="3"/>
    <x v="2"/>
    <s v="Laptops &amp; Computers"/>
    <x v="0"/>
    <x v="83"/>
    <n v="433.37"/>
    <n v="1"/>
    <s v="CUST-1115"/>
    <s v="New"/>
    <x v="1"/>
    <s v="Sale"/>
  </r>
  <r>
    <s v="ORD-11139"/>
    <x v="392"/>
    <x v="3"/>
    <x v="0"/>
    <s v="Smart Home &amp; IoT"/>
    <x v="1"/>
    <x v="76"/>
    <n v="134.83000000000001"/>
    <n v="2"/>
    <s v="CUST-2881"/>
    <s v="New"/>
    <x v="1"/>
    <s v="Sale"/>
  </r>
  <r>
    <s v="ORD-11140"/>
    <x v="392"/>
    <x v="4"/>
    <x v="2"/>
    <s v="Accessories &amp; Power"/>
    <x v="11"/>
    <x v="74"/>
    <n v="86.67"/>
    <n v="1"/>
    <s v="CUST-1073"/>
    <s v="New"/>
    <x v="1"/>
    <s v="Sale"/>
  </r>
  <r>
    <s v="ORD-11141"/>
    <x v="392"/>
    <x v="0"/>
    <x v="1"/>
    <s v="Laptops &amp; Computers"/>
    <x v="9"/>
    <x v="70"/>
    <n v="577.83000000000004"/>
    <n v="1"/>
    <s v="CUST-2815"/>
    <s v="New"/>
    <x v="1"/>
    <s v="Sale"/>
  </r>
  <r>
    <s v="ORD-11142"/>
    <x v="393"/>
    <x v="1"/>
    <x v="2"/>
    <s v="Laptops &amp; Computers"/>
    <x v="6"/>
    <x v="102"/>
    <n v="-2455.7600000000002"/>
    <n v="-3"/>
    <s v="CUST-2292"/>
    <s v="New"/>
    <x v="1"/>
    <s v="Return"/>
  </r>
  <r>
    <s v="ORD-11143"/>
    <x v="393"/>
    <x v="0"/>
    <x v="0"/>
    <s v="Accessories &amp; Power"/>
    <x v="11"/>
    <x v="74"/>
    <n v="86.67"/>
    <n v="1"/>
    <s v="CUST-2660"/>
    <s v="New"/>
    <x v="1"/>
    <s v="Sale"/>
  </r>
  <r>
    <s v="ORD-11144"/>
    <x v="393"/>
    <x v="0"/>
    <x v="2"/>
    <s v="Laptops &amp; Computers"/>
    <x v="0"/>
    <x v="83"/>
    <n v="433.37"/>
    <n v="1"/>
    <s v="CUST-1115"/>
    <s v="Existing"/>
    <x v="0"/>
    <s v="Sale"/>
  </r>
  <r>
    <s v="ORD-11145"/>
    <x v="393"/>
    <x v="0"/>
    <x v="1"/>
    <s v="Networking &amp; Security"/>
    <x v="5"/>
    <x v="74"/>
    <n v="86.67"/>
    <n v="1"/>
    <s v="CUST-2709"/>
    <s v="New"/>
    <x v="1"/>
    <s v="Sale"/>
  </r>
  <r>
    <s v="ORD-11146"/>
    <x v="394"/>
    <x v="1"/>
    <x v="2"/>
    <s v="Networking &amp; Security"/>
    <x v="7"/>
    <x v="86"/>
    <n v="211.87"/>
    <n v="1"/>
    <s v="CUST-2716"/>
    <s v="New"/>
    <x v="1"/>
    <s v="Sale"/>
  </r>
  <r>
    <s v="ORD-11147"/>
    <x v="394"/>
    <x v="0"/>
    <x v="2"/>
    <s v="Smart Home &amp; IoT"/>
    <x v="8"/>
    <x v="85"/>
    <n v="375.59"/>
    <n v="3"/>
    <s v="CUST-2761"/>
    <s v="Existing"/>
    <x v="0"/>
    <s v="Sale"/>
  </r>
  <r>
    <s v="ORD-11148"/>
    <x v="394"/>
    <x v="0"/>
    <x v="0"/>
    <s v="Smart Home &amp; IoT"/>
    <x v="8"/>
    <x v="73"/>
    <n v="125.2"/>
    <n v="1"/>
    <s v="CUST-2692"/>
    <s v="Existing"/>
    <x v="0"/>
    <s v="Sale"/>
  </r>
  <r>
    <s v="ORD-11149"/>
    <x v="394"/>
    <x v="0"/>
    <x v="2"/>
    <s v="Networking &amp; Security"/>
    <x v="7"/>
    <x v="86"/>
    <n v="211.87"/>
    <n v="1"/>
    <s v="CUST-2187"/>
    <s v="New"/>
    <x v="1"/>
    <s v="Sale"/>
  </r>
  <r>
    <s v="ORD-11150"/>
    <x v="394"/>
    <x v="0"/>
    <x v="0"/>
    <s v="Smart Home &amp; IoT"/>
    <x v="1"/>
    <x v="72"/>
    <n v="67.41"/>
    <n v="1"/>
    <s v="CUST-2606"/>
    <s v="New"/>
    <x v="1"/>
    <s v="Sale"/>
  </r>
  <r>
    <s v="ORD-11151"/>
    <x v="395"/>
    <x v="4"/>
    <x v="2"/>
    <s v="Smart Home &amp; IoT"/>
    <x v="8"/>
    <x v="89"/>
    <n v="250.39"/>
    <n v="2"/>
    <s v="CUST-2245"/>
    <s v="New"/>
    <x v="1"/>
    <s v="Sale"/>
  </r>
  <r>
    <s v="ORD-11152"/>
    <x v="395"/>
    <x v="2"/>
    <x v="0"/>
    <s v="Networking &amp; Security"/>
    <x v="10"/>
    <x v="69"/>
    <n v="105.93"/>
    <n v="1"/>
    <s v="CUST-1125"/>
    <s v="New"/>
    <x v="1"/>
    <s v="Sale"/>
  </r>
  <r>
    <s v="ORD-11153"/>
    <x v="396"/>
    <x v="4"/>
    <x v="0"/>
    <s v="Smart Home &amp; IoT"/>
    <x v="1"/>
    <x v="76"/>
    <n v="134.83000000000001"/>
    <n v="2"/>
    <s v="CUST-1656"/>
    <s v="New"/>
    <x v="1"/>
    <s v="Sale"/>
  </r>
  <r>
    <s v="ORD-11154"/>
    <x v="397"/>
    <x v="1"/>
    <x v="0"/>
    <s v="Laptops &amp; Computers"/>
    <x v="0"/>
    <x v="83"/>
    <n v="433.37"/>
    <n v="1"/>
    <s v="CUST-2199"/>
    <s v="Existing"/>
    <x v="0"/>
    <s v="Sale"/>
  </r>
  <r>
    <s v="ORD-11155"/>
    <x v="397"/>
    <x v="0"/>
    <x v="2"/>
    <s v="Laptops &amp; Computers"/>
    <x v="6"/>
    <x v="77"/>
    <n v="818.59"/>
    <n v="1"/>
    <s v="CUST-2996"/>
    <s v="New"/>
    <x v="1"/>
    <s v="Sale"/>
  </r>
  <r>
    <s v="ORD-11156"/>
    <x v="398"/>
    <x v="2"/>
    <x v="0"/>
    <s v="Laptops &amp; Computers"/>
    <x v="0"/>
    <x v="103"/>
    <n v="-866.74"/>
    <n v="-2"/>
    <s v="CUST-1663"/>
    <s v="New"/>
    <x v="1"/>
    <s v="Return"/>
  </r>
  <r>
    <s v="ORD-11157"/>
    <x v="398"/>
    <x v="1"/>
    <x v="2"/>
    <s v="Laptops &amp; Computers"/>
    <x v="9"/>
    <x v="70"/>
    <n v="577.83000000000004"/>
    <n v="1"/>
    <s v="CUST-2717"/>
    <s v="New"/>
    <x v="1"/>
    <s v="Sale"/>
  </r>
  <r>
    <s v="ORD-11158"/>
    <x v="399"/>
    <x v="0"/>
    <x v="2"/>
    <s v="Networking &amp; Security"/>
    <x v="5"/>
    <x v="84"/>
    <n v="260.02"/>
    <n v="3"/>
    <s v="CUST-2398"/>
    <s v="New"/>
    <x v="1"/>
    <s v="Sale"/>
  </r>
  <r>
    <s v="ORD-11159"/>
    <x v="399"/>
    <x v="0"/>
    <x v="0"/>
    <s v="Accessories &amp; Power"/>
    <x v="11"/>
    <x v="74"/>
    <n v="86.67"/>
    <n v="1"/>
    <s v="CUST-1990"/>
    <s v="New"/>
    <x v="1"/>
    <s v="Sale"/>
  </r>
  <r>
    <s v="ORD-11160"/>
    <x v="400"/>
    <x v="0"/>
    <x v="0"/>
    <s v="Smart Home &amp; IoT"/>
    <x v="1"/>
    <x v="76"/>
    <n v="134.83000000000001"/>
    <n v="2"/>
    <s v="CUST-2017"/>
    <s v="New"/>
    <x v="1"/>
    <s v="Sale"/>
  </r>
  <r>
    <s v="ORD-11161"/>
    <x v="400"/>
    <x v="0"/>
    <x v="0"/>
    <s v="Accessories &amp; Power"/>
    <x v="11"/>
    <x v="104"/>
    <n v="-86.67"/>
    <n v="-1"/>
    <s v="CUST-1858"/>
    <s v="Existing"/>
    <x v="0"/>
    <s v="Return"/>
  </r>
  <r>
    <s v="ORD-11162"/>
    <x v="401"/>
    <x v="1"/>
    <x v="1"/>
    <s v="Networking &amp; Security"/>
    <x v="5"/>
    <x v="88"/>
    <n v="173.35"/>
    <n v="2"/>
    <s v="CUST-2521"/>
    <s v="Existing"/>
    <x v="0"/>
    <s v="Sale"/>
  </r>
  <r>
    <s v="ORD-11163"/>
    <x v="401"/>
    <x v="2"/>
    <x v="2"/>
    <s v="Networking &amp; Security"/>
    <x v="5"/>
    <x v="74"/>
    <n v="86.67"/>
    <n v="1"/>
    <s v="CUST-1084"/>
    <s v="Existing"/>
    <x v="0"/>
    <s v="Sale"/>
  </r>
  <r>
    <s v="ORD-11164"/>
    <x v="401"/>
    <x v="0"/>
    <x v="0"/>
    <s v="Networking &amp; Security"/>
    <x v="7"/>
    <x v="86"/>
    <n v="211.87"/>
    <n v="1"/>
    <s v="CUST-2899"/>
    <s v="New"/>
    <x v="1"/>
    <s v="Sale"/>
  </r>
  <r>
    <s v="ORD-11165"/>
    <x v="402"/>
    <x v="0"/>
    <x v="0"/>
    <s v="Laptops &amp; Computers"/>
    <x v="9"/>
    <x v="70"/>
    <n v="577.83000000000004"/>
    <n v="1"/>
    <s v="CUST-2406"/>
    <s v="Existing"/>
    <x v="0"/>
    <s v="Sale"/>
  </r>
  <r>
    <s v="ORD-11166"/>
    <x v="403"/>
    <x v="3"/>
    <x v="2"/>
    <s v="Laptops &amp; Computers"/>
    <x v="9"/>
    <x v="70"/>
    <n v="577.83000000000004"/>
    <n v="1"/>
    <s v="CUST-1632"/>
    <s v="New"/>
    <x v="1"/>
    <s v="Sale"/>
  </r>
  <r>
    <s v="ORD-11167"/>
    <x v="403"/>
    <x v="0"/>
    <x v="1"/>
    <s v="Smart Home &amp; IoT"/>
    <x v="4"/>
    <x v="68"/>
    <n v="52.97"/>
    <n v="1"/>
    <s v="CUST-2664"/>
    <s v="New"/>
    <x v="1"/>
    <s v="Sale"/>
  </r>
  <r>
    <s v="ORD-11168"/>
    <x v="403"/>
    <x v="1"/>
    <x v="1"/>
    <s v="Accessories &amp; Power"/>
    <x v="2"/>
    <x v="71"/>
    <n v="19.260000000000002"/>
    <n v="1"/>
    <s v="CUST-2486"/>
    <s v="New"/>
    <x v="1"/>
    <s v="Sale"/>
  </r>
  <r>
    <s v="ORD-11169"/>
    <x v="403"/>
    <x v="3"/>
    <x v="2"/>
    <s v="Laptops &amp; Computers"/>
    <x v="9"/>
    <x v="70"/>
    <n v="577.83000000000004"/>
    <n v="1"/>
    <s v="CUST-1450"/>
    <s v="Existing"/>
    <x v="0"/>
    <s v="Sale"/>
  </r>
  <r>
    <s v="ORD-11170"/>
    <x v="404"/>
    <x v="0"/>
    <x v="0"/>
    <s v="Laptops &amp; Computers"/>
    <x v="0"/>
    <x v="79"/>
    <n v="866.74"/>
    <n v="2"/>
    <s v="CUST-1517"/>
    <s v="New"/>
    <x v="1"/>
    <s v="Sale"/>
  </r>
  <r>
    <s v="ORD-11171"/>
    <x v="405"/>
    <x v="0"/>
    <x v="0"/>
    <s v="Accessories &amp; Power"/>
    <x v="3"/>
    <x v="73"/>
    <n v="125.2"/>
    <n v="2"/>
    <s v="CUST-1845"/>
    <s v="Existing"/>
    <x v="0"/>
    <s v="Sale"/>
  </r>
  <r>
    <s v="ORD-11172"/>
    <x v="406"/>
    <x v="1"/>
    <x v="0"/>
    <s v="Laptops &amp; Computers"/>
    <x v="9"/>
    <x v="87"/>
    <n v="1155.6500000000001"/>
    <n v="2"/>
    <s v="CUST-1694"/>
    <s v="New"/>
    <x v="1"/>
    <s v="Sale"/>
  </r>
  <r>
    <s v="ORD-11173"/>
    <x v="406"/>
    <x v="1"/>
    <x v="0"/>
    <s v="Accessories &amp; Power"/>
    <x v="11"/>
    <x v="74"/>
    <n v="86.67"/>
    <n v="1"/>
    <s v="CUST-1549"/>
    <s v="Existing"/>
    <x v="0"/>
    <s v="Sale"/>
  </r>
  <r>
    <s v="ORD-11174"/>
    <x v="407"/>
    <x v="5"/>
    <x v="0"/>
    <s v="Smart Home &amp; IoT"/>
    <x v="4"/>
    <x v="68"/>
    <n v="52.97"/>
    <n v="1"/>
    <s v="CUST-1928"/>
    <s v="New"/>
    <x v="1"/>
    <s v="Sale"/>
  </r>
  <r>
    <s v="ORD-11175"/>
    <x v="407"/>
    <x v="3"/>
    <x v="0"/>
    <s v="Accessories &amp; Power"/>
    <x v="11"/>
    <x v="74"/>
    <n v="86.67"/>
    <n v="1"/>
    <s v="CUST-1115"/>
    <s v="Existing"/>
    <x v="0"/>
    <s v="Sale"/>
  </r>
  <r>
    <s v="ORD-11176"/>
    <x v="407"/>
    <x v="0"/>
    <x v="0"/>
    <s v="Networking &amp; Security"/>
    <x v="10"/>
    <x v="81"/>
    <n v="211.87"/>
    <n v="2"/>
    <s v="CUST-2637"/>
    <s v="Existing"/>
    <x v="0"/>
    <s v="Sale"/>
  </r>
  <r>
    <s v="ORD-11177"/>
    <x v="408"/>
    <x v="5"/>
    <x v="1"/>
    <s v="Smart Home &amp; IoT"/>
    <x v="4"/>
    <x v="68"/>
    <n v="52.97"/>
    <n v="1"/>
    <s v="CUST-2031"/>
    <s v="New"/>
    <x v="1"/>
    <s v="Sale"/>
  </r>
  <r>
    <s v="ORD-11178"/>
    <x v="409"/>
    <x v="5"/>
    <x v="2"/>
    <s v="Networking &amp; Security"/>
    <x v="5"/>
    <x v="74"/>
    <n v="86.67"/>
    <n v="1"/>
    <s v="CUST-2241"/>
    <s v="Existing"/>
    <x v="0"/>
    <s v="Sale"/>
  </r>
  <r>
    <s v="ORD-11179"/>
    <x v="409"/>
    <x v="0"/>
    <x v="1"/>
    <s v="Smart Home &amp; IoT"/>
    <x v="8"/>
    <x v="105"/>
    <n v="-250.39"/>
    <n v="-2"/>
    <s v="CUST-2742"/>
    <s v="New"/>
    <x v="1"/>
    <s v="Return"/>
  </r>
  <r>
    <s v="ORD-11180"/>
    <x v="409"/>
    <x v="5"/>
    <x v="2"/>
    <s v="Networking &amp; Security"/>
    <x v="5"/>
    <x v="104"/>
    <n v="-86.67"/>
    <n v="-1"/>
    <s v="CUST-2613"/>
    <s v="New"/>
    <x v="1"/>
    <s v="Return"/>
  </r>
  <r>
    <s v="ORD-11181"/>
    <x v="409"/>
    <x v="0"/>
    <x v="0"/>
    <s v="Laptops &amp; Computers"/>
    <x v="9"/>
    <x v="99"/>
    <n v="1733.48"/>
    <n v="3"/>
    <s v="CUST-2903"/>
    <s v="Existing"/>
    <x v="0"/>
    <s v="Sale"/>
  </r>
  <r>
    <s v="ORD-11182"/>
    <x v="409"/>
    <x v="1"/>
    <x v="2"/>
    <s v="Networking &amp; Security"/>
    <x v="7"/>
    <x v="91"/>
    <n v="635.61"/>
    <n v="3"/>
    <s v="CUST-1403"/>
    <s v="Existing"/>
    <x v="0"/>
    <s v="Sale"/>
  </r>
  <r>
    <s v="ORD-11183"/>
    <x v="409"/>
    <x v="0"/>
    <x v="0"/>
    <s v="Networking &amp; Security"/>
    <x v="5"/>
    <x v="74"/>
    <n v="86.67"/>
    <n v="1"/>
    <s v="CUST-2590"/>
    <s v="New"/>
    <x v="1"/>
    <s v="Sale"/>
  </r>
  <r>
    <s v="ORD-11184"/>
    <x v="410"/>
    <x v="1"/>
    <x v="2"/>
    <s v="Accessories &amp; Power"/>
    <x v="11"/>
    <x v="74"/>
    <n v="86.67"/>
    <n v="1"/>
    <s v="CUST-1303"/>
    <s v="New"/>
    <x v="1"/>
    <s v="Sale"/>
  </r>
  <r>
    <s v="ORD-11185"/>
    <x v="410"/>
    <x v="1"/>
    <x v="0"/>
    <s v="Smart Home &amp; IoT"/>
    <x v="1"/>
    <x v="72"/>
    <n v="67.41"/>
    <n v="1"/>
    <s v="CUST-2490"/>
    <s v="New"/>
    <x v="1"/>
    <s v="Sale"/>
  </r>
  <r>
    <s v="ORD-11186"/>
    <x v="410"/>
    <x v="3"/>
    <x v="1"/>
    <s v="Smart Home &amp; IoT"/>
    <x v="1"/>
    <x v="76"/>
    <n v="134.83000000000001"/>
    <n v="2"/>
    <s v="CUST-2975"/>
    <s v="New"/>
    <x v="1"/>
    <s v="Sale"/>
  </r>
  <r>
    <s v="ORD-11187"/>
    <x v="411"/>
    <x v="0"/>
    <x v="0"/>
    <s v="Laptops &amp; Computers"/>
    <x v="9"/>
    <x v="70"/>
    <n v="577.83000000000004"/>
    <n v="1"/>
    <s v="CUST-1739"/>
    <s v="New"/>
    <x v="1"/>
    <s v="Sale"/>
  </r>
  <r>
    <s v="ORD-11188"/>
    <x v="411"/>
    <x v="1"/>
    <x v="0"/>
    <s v="Smart Home &amp; IoT"/>
    <x v="1"/>
    <x v="76"/>
    <n v="134.83000000000001"/>
    <n v="2"/>
    <s v="CUST-1087"/>
    <s v="New"/>
    <x v="1"/>
    <s v="Sale"/>
  </r>
  <r>
    <s v="ORD-11189"/>
    <x v="411"/>
    <x v="1"/>
    <x v="1"/>
    <s v="Networking &amp; Security"/>
    <x v="7"/>
    <x v="86"/>
    <n v="211.87"/>
    <n v="1"/>
    <s v="CUST-2033"/>
    <s v="New"/>
    <x v="1"/>
    <s v="Sale"/>
  </r>
  <r>
    <s v="ORD-11190"/>
    <x v="411"/>
    <x v="2"/>
    <x v="0"/>
    <s v="Accessories &amp; Power"/>
    <x v="2"/>
    <x v="71"/>
    <n v="19.260000000000002"/>
    <n v="1"/>
    <s v="CUST-1307"/>
    <s v="Existing"/>
    <x v="0"/>
    <s v="Sale"/>
  </r>
  <r>
    <s v="ORD-11191"/>
    <x v="412"/>
    <x v="5"/>
    <x v="2"/>
    <s v="Accessories &amp; Power"/>
    <x v="3"/>
    <x v="78"/>
    <n v="62.6"/>
    <n v="1"/>
    <s v="CUST-1433"/>
    <s v="New"/>
    <x v="1"/>
    <s v="Sale"/>
  </r>
  <r>
    <s v="ORD-11192"/>
    <x v="412"/>
    <x v="2"/>
    <x v="2"/>
    <s v="Laptops &amp; Computers"/>
    <x v="9"/>
    <x v="87"/>
    <n v="1155.6500000000001"/>
    <n v="2"/>
    <s v="CUST-1801"/>
    <s v="New"/>
    <x v="1"/>
    <s v="Sale"/>
  </r>
  <r>
    <s v="ORD-11193"/>
    <x v="412"/>
    <x v="2"/>
    <x v="1"/>
    <s v="Accessories &amp; Power"/>
    <x v="11"/>
    <x v="74"/>
    <n v="86.67"/>
    <n v="1"/>
    <s v="CUST-1163"/>
    <s v="New"/>
    <x v="1"/>
    <s v="Sale"/>
  </r>
  <r>
    <s v="ORD-11194"/>
    <x v="413"/>
    <x v="3"/>
    <x v="1"/>
    <s v="Laptops &amp; Computers"/>
    <x v="9"/>
    <x v="87"/>
    <n v="1155.6500000000001"/>
    <n v="2"/>
    <s v="CUST-2262"/>
    <s v="Existing"/>
    <x v="0"/>
    <s v="Sale"/>
  </r>
  <r>
    <s v="ORD-11195"/>
    <x v="413"/>
    <x v="1"/>
    <x v="1"/>
    <s v="Networking &amp; Security"/>
    <x v="7"/>
    <x v="86"/>
    <n v="211.87"/>
    <n v="1"/>
    <s v="CUST-2340"/>
    <s v="New"/>
    <x v="1"/>
    <s v="Sale"/>
  </r>
  <r>
    <s v="ORD-11196"/>
    <x v="413"/>
    <x v="5"/>
    <x v="0"/>
    <s v="Networking &amp; Security"/>
    <x v="7"/>
    <x v="86"/>
    <n v="211.87"/>
    <n v="1"/>
    <s v="CUST-1995"/>
    <s v="New"/>
    <x v="1"/>
    <s v="Sale"/>
  </r>
  <r>
    <s v="ORD-11197"/>
    <x v="413"/>
    <x v="3"/>
    <x v="1"/>
    <s v="Laptops &amp; Computers"/>
    <x v="9"/>
    <x v="99"/>
    <n v="1733.48"/>
    <n v="3"/>
    <s v="CUST-1655"/>
    <s v="Existing"/>
    <x v="0"/>
    <s v="Sale"/>
  </r>
  <r>
    <s v="ORD-11198"/>
    <x v="413"/>
    <x v="4"/>
    <x v="2"/>
    <s v="Smart Home &amp; IoT"/>
    <x v="4"/>
    <x v="106"/>
    <n v="158.9"/>
    <n v="3"/>
    <s v="CUST-2358"/>
    <s v="New"/>
    <x v="1"/>
    <s v="Sale"/>
  </r>
  <r>
    <s v="ORD-11199"/>
    <x v="413"/>
    <x v="3"/>
    <x v="2"/>
    <s v="Laptops &amp; Computers"/>
    <x v="6"/>
    <x v="77"/>
    <n v="818.59"/>
    <n v="1"/>
    <s v="CUST-1017"/>
    <s v="Existing"/>
    <x v="0"/>
    <s v="Sale"/>
  </r>
  <r>
    <s v="ORD-11200"/>
    <x v="414"/>
    <x v="1"/>
    <x v="0"/>
    <s v="Laptops &amp; Computers"/>
    <x v="0"/>
    <x v="83"/>
    <n v="433.37"/>
    <n v="1"/>
    <s v="CUST-2094"/>
    <s v="New"/>
    <x v="1"/>
    <s v="Sale"/>
  </r>
  <r>
    <s v="ORD-11201"/>
    <x v="414"/>
    <x v="0"/>
    <x v="2"/>
    <s v="Smart Home &amp; IoT"/>
    <x v="8"/>
    <x v="89"/>
    <n v="250.39"/>
    <n v="2"/>
    <s v="CUST-2198"/>
    <s v="New"/>
    <x v="1"/>
    <s v="Sale"/>
  </r>
  <r>
    <s v="ORD-11202"/>
    <x v="415"/>
    <x v="1"/>
    <x v="1"/>
    <s v="Smart Home &amp; IoT"/>
    <x v="1"/>
    <x v="72"/>
    <n v="67.41"/>
    <n v="1"/>
    <s v="CUST-2877"/>
    <s v="New"/>
    <x v="1"/>
    <s v="Sale"/>
  </r>
  <r>
    <s v="ORD-11203"/>
    <x v="415"/>
    <x v="2"/>
    <x v="1"/>
    <s v="Accessories &amp; Power"/>
    <x v="2"/>
    <x v="71"/>
    <n v="19.260000000000002"/>
    <n v="1"/>
    <s v="CUST-2823"/>
    <s v="New"/>
    <x v="1"/>
    <s v="Sale"/>
  </r>
  <r>
    <s v="ORD-11204"/>
    <x v="415"/>
    <x v="1"/>
    <x v="0"/>
    <s v="Smart Home &amp; IoT"/>
    <x v="4"/>
    <x v="106"/>
    <n v="158.9"/>
    <n v="3"/>
    <s v="CUST-1810"/>
    <s v="Existing"/>
    <x v="0"/>
    <s v="Sale"/>
  </r>
  <r>
    <s v="ORD-11205"/>
    <x v="415"/>
    <x v="1"/>
    <x v="0"/>
    <s v="Smart Home &amp; IoT"/>
    <x v="1"/>
    <x v="72"/>
    <n v="67.41"/>
    <n v="1"/>
    <s v="CUST-1338"/>
    <s v="New"/>
    <x v="1"/>
    <s v="Sale"/>
  </r>
  <r>
    <s v="ORD-11206"/>
    <x v="415"/>
    <x v="3"/>
    <x v="0"/>
    <s v="Networking &amp; Security"/>
    <x v="5"/>
    <x v="74"/>
    <n v="86.67"/>
    <n v="1"/>
    <s v="CUST-2959"/>
    <s v="Existing"/>
    <x v="0"/>
    <s v="Sale"/>
  </r>
  <r>
    <s v="ORD-11207"/>
    <x v="415"/>
    <x v="1"/>
    <x v="1"/>
    <s v="Laptops &amp; Computers"/>
    <x v="0"/>
    <x v="83"/>
    <n v="433.37"/>
    <n v="1"/>
    <s v="CUST-1247"/>
    <s v="Existing"/>
    <x v="0"/>
    <s v="Sale"/>
  </r>
  <r>
    <s v="ORD-11208"/>
    <x v="416"/>
    <x v="3"/>
    <x v="2"/>
    <s v="Laptops &amp; Computers"/>
    <x v="9"/>
    <x v="87"/>
    <n v="1155.6500000000001"/>
    <n v="2"/>
    <s v="CUST-2216"/>
    <s v="Existing"/>
    <x v="0"/>
    <s v="Sale"/>
  </r>
  <r>
    <s v="ORD-11209"/>
    <x v="416"/>
    <x v="1"/>
    <x v="0"/>
    <s v="Networking &amp; Security"/>
    <x v="10"/>
    <x v="81"/>
    <n v="211.87"/>
    <n v="2"/>
    <s v="CUST-2442"/>
    <s v="New"/>
    <x v="1"/>
    <s v="Sale"/>
  </r>
  <r>
    <s v="ORD-11210"/>
    <x v="416"/>
    <x v="1"/>
    <x v="0"/>
    <s v="Smart Home &amp; IoT"/>
    <x v="4"/>
    <x v="68"/>
    <n v="52.97"/>
    <n v="1"/>
    <s v="CUST-2348"/>
    <s v="Existing"/>
    <x v="0"/>
    <s v="Sale"/>
  </r>
  <r>
    <s v="ORD-11211"/>
    <x v="417"/>
    <x v="1"/>
    <x v="0"/>
    <s v="Networking &amp; Security"/>
    <x v="5"/>
    <x v="74"/>
    <n v="86.67"/>
    <n v="1"/>
    <s v="CUST-1305"/>
    <s v="New"/>
    <x v="1"/>
    <s v="Sale"/>
  </r>
  <r>
    <s v="ORD-11212"/>
    <x v="417"/>
    <x v="2"/>
    <x v="0"/>
    <s v="Smart Home &amp; IoT"/>
    <x v="4"/>
    <x v="68"/>
    <n v="52.97"/>
    <n v="1"/>
    <s v="CUST-2803"/>
    <s v="New"/>
    <x v="1"/>
    <s v="Sale"/>
  </r>
  <r>
    <s v="ORD-11213"/>
    <x v="418"/>
    <x v="0"/>
    <x v="1"/>
    <s v="Networking &amp; Security"/>
    <x v="10"/>
    <x v="81"/>
    <n v="211.87"/>
    <n v="2"/>
    <s v="CUST-1203"/>
    <s v="New"/>
    <x v="1"/>
    <s v="Sale"/>
  </r>
  <r>
    <s v="ORD-11214"/>
    <x v="418"/>
    <x v="0"/>
    <x v="2"/>
    <s v="Laptops &amp; Computers"/>
    <x v="0"/>
    <x v="83"/>
    <n v="433.37"/>
    <n v="1"/>
    <s v="CUST-1852"/>
    <s v="Existing"/>
    <x v="0"/>
    <s v="Sale"/>
  </r>
  <r>
    <s v="ORD-11215"/>
    <x v="418"/>
    <x v="4"/>
    <x v="0"/>
    <s v="Laptops &amp; Computers"/>
    <x v="6"/>
    <x v="80"/>
    <n v="2455.7600000000002"/>
    <n v="3"/>
    <s v="CUST-2146"/>
    <s v="New"/>
    <x v="1"/>
    <s v="Sale"/>
  </r>
  <r>
    <s v="ORD-11216"/>
    <x v="419"/>
    <x v="0"/>
    <x v="2"/>
    <s v="Accessories &amp; Power"/>
    <x v="11"/>
    <x v="74"/>
    <n v="86.67"/>
    <n v="1"/>
    <s v="CUST-2593"/>
    <s v="New"/>
    <x v="1"/>
    <s v="Sale"/>
  </r>
  <r>
    <s v="ORD-11217"/>
    <x v="419"/>
    <x v="5"/>
    <x v="0"/>
    <s v="Smart Home &amp; IoT"/>
    <x v="8"/>
    <x v="107"/>
    <n v="625.98"/>
    <n v="5"/>
    <s v="CUST-2874"/>
    <s v="Existing"/>
    <x v="0"/>
    <s v="Sale"/>
  </r>
  <r>
    <s v="ORD-11218"/>
    <x v="420"/>
    <x v="5"/>
    <x v="1"/>
    <s v="Accessories &amp; Power"/>
    <x v="2"/>
    <x v="71"/>
    <n v="19.260000000000002"/>
    <n v="1"/>
    <s v="CUST-1446"/>
    <s v="New"/>
    <x v="1"/>
    <s v="Sale"/>
  </r>
  <r>
    <s v="ORD-11219"/>
    <x v="421"/>
    <x v="1"/>
    <x v="0"/>
    <s v="Laptops &amp; Computers"/>
    <x v="0"/>
    <x v="79"/>
    <n v="866.74"/>
    <n v="2"/>
    <s v="CUST-1712"/>
    <s v="New"/>
    <x v="1"/>
    <s v="Sale"/>
  </r>
  <r>
    <s v="ORD-11220"/>
    <x v="421"/>
    <x v="5"/>
    <x v="0"/>
    <s v="Accessories &amp; Power"/>
    <x v="3"/>
    <x v="78"/>
    <n v="62.6"/>
    <n v="1"/>
    <s v="CUST-2514"/>
    <s v="New"/>
    <x v="1"/>
    <s v="Sale"/>
  </r>
  <r>
    <s v="ORD-11221"/>
    <x v="422"/>
    <x v="0"/>
    <x v="0"/>
    <s v="Laptops &amp; Computers"/>
    <x v="0"/>
    <x v="83"/>
    <n v="433.37"/>
    <n v="1"/>
    <s v="CUST-1432"/>
    <s v="New"/>
    <x v="1"/>
    <s v="Sale"/>
  </r>
  <r>
    <s v="ORD-11222"/>
    <x v="422"/>
    <x v="5"/>
    <x v="2"/>
    <s v="Laptops &amp; Computers"/>
    <x v="0"/>
    <x v="97"/>
    <n v="1300.1099999999999"/>
    <n v="3"/>
    <s v="CUST-2647"/>
    <s v="New"/>
    <x v="1"/>
    <s v="Sale"/>
  </r>
  <r>
    <s v="ORD-11223"/>
    <x v="422"/>
    <x v="1"/>
    <x v="2"/>
    <s v="Accessories &amp; Power"/>
    <x v="3"/>
    <x v="67"/>
    <n v="187.79"/>
    <n v="3"/>
    <s v="CUST-2151"/>
    <s v="Existing"/>
    <x v="0"/>
    <s v="Sale"/>
  </r>
  <r>
    <s v="ORD-11224"/>
    <x v="423"/>
    <x v="2"/>
    <x v="2"/>
    <s v="Laptops &amp; Computers"/>
    <x v="6"/>
    <x v="95"/>
    <n v="-818.59"/>
    <n v="-1"/>
    <s v="CUST-2571"/>
    <s v="Existing"/>
    <x v="0"/>
    <s v="Return"/>
  </r>
  <r>
    <s v="ORD-11225"/>
    <x v="423"/>
    <x v="0"/>
    <x v="0"/>
    <s v="Smart Home &amp; IoT"/>
    <x v="1"/>
    <x v="76"/>
    <n v="134.83000000000001"/>
    <n v="2"/>
    <s v="CUST-2769"/>
    <s v="New"/>
    <x v="1"/>
    <s v="Sale"/>
  </r>
  <r>
    <s v="ORD-11226"/>
    <x v="423"/>
    <x v="5"/>
    <x v="0"/>
    <s v="Laptops &amp; Computers"/>
    <x v="9"/>
    <x v="70"/>
    <n v="577.83000000000004"/>
    <n v="1"/>
    <s v="CUST-1821"/>
    <s v="Existing"/>
    <x v="0"/>
    <s v="Sale"/>
  </r>
  <r>
    <s v="ORD-11227"/>
    <x v="423"/>
    <x v="0"/>
    <x v="0"/>
    <s v="Smart Home &amp; IoT"/>
    <x v="1"/>
    <x v="108"/>
    <n v="-202.24"/>
    <n v="-3"/>
    <s v="CUST-2070"/>
    <s v="New"/>
    <x v="1"/>
    <s v="Return"/>
  </r>
  <r>
    <s v="ORD-11228"/>
    <x v="424"/>
    <x v="0"/>
    <x v="2"/>
    <s v="Accessories &amp; Power"/>
    <x v="11"/>
    <x v="74"/>
    <n v="86.67"/>
    <n v="1"/>
    <s v="CUST-1504"/>
    <s v="New"/>
    <x v="1"/>
    <s v="Sale"/>
  </r>
  <r>
    <s v="ORD-11229"/>
    <x v="424"/>
    <x v="0"/>
    <x v="0"/>
    <s v="Networking &amp; Security"/>
    <x v="7"/>
    <x v="86"/>
    <n v="211.87"/>
    <n v="1"/>
    <s v="CUST-1114"/>
    <s v="New"/>
    <x v="1"/>
    <s v="Sale"/>
  </r>
  <r>
    <s v="ORD-11230"/>
    <x v="424"/>
    <x v="0"/>
    <x v="2"/>
    <s v="Smart Home &amp; IoT"/>
    <x v="8"/>
    <x v="73"/>
    <n v="125.2"/>
    <n v="1"/>
    <s v="CUST-2439"/>
    <s v="New"/>
    <x v="1"/>
    <s v="Sale"/>
  </r>
  <r>
    <s v="ORD-11231"/>
    <x v="424"/>
    <x v="3"/>
    <x v="1"/>
    <s v="Laptops &amp; Computers"/>
    <x v="6"/>
    <x v="77"/>
    <n v="818.59"/>
    <n v="1"/>
    <s v="CUST-2790"/>
    <s v="Existing"/>
    <x v="0"/>
    <s v="Sale"/>
  </r>
  <r>
    <s v="ORD-11232"/>
    <x v="424"/>
    <x v="0"/>
    <x v="1"/>
    <s v="Smart Home &amp; IoT"/>
    <x v="4"/>
    <x v="106"/>
    <n v="158.9"/>
    <n v="3"/>
    <s v="CUST-1994"/>
    <s v="New"/>
    <x v="1"/>
    <s v="Sale"/>
  </r>
  <r>
    <s v="ORD-11233"/>
    <x v="425"/>
    <x v="4"/>
    <x v="0"/>
    <s v="Networking &amp; Security"/>
    <x v="5"/>
    <x v="74"/>
    <n v="86.67"/>
    <n v="1"/>
    <s v="CUST-1222"/>
    <s v="New"/>
    <x v="1"/>
    <s v="Sale"/>
  </r>
  <r>
    <s v="ORD-11234"/>
    <x v="426"/>
    <x v="4"/>
    <x v="0"/>
    <s v="Laptops &amp; Computers"/>
    <x v="0"/>
    <x v="83"/>
    <n v="433.37"/>
    <n v="1"/>
    <s v="CUST-1635"/>
    <s v="New"/>
    <x v="1"/>
    <s v="Sale"/>
  </r>
  <r>
    <s v="ORD-11235"/>
    <x v="426"/>
    <x v="5"/>
    <x v="0"/>
    <s v="Networking &amp; Security"/>
    <x v="5"/>
    <x v="74"/>
    <n v="86.67"/>
    <n v="1"/>
    <s v="CUST-2972"/>
    <s v="New"/>
    <x v="1"/>
    <s v="Sale"/>
  </r>
  <r>
    <s v="ORD-11236"/>
    <x v="426"/>
    <x v="0"/>
    <x v="2"/>
    <s v="Laptops &amp; Computers"/>
    <x v="6"/>
    <x v="82"/>
    <n v="1637.17"/>
    <n v="2"/>
    <s v="CUST-2526"/>
    <s v="Existing"/>
    <x v="0"/>
    <s v="Sale"/>
  </r>
  <r>
    <s v="ORD-11237"/>
    <x v="426"/>
    <x v="1"/>
    <x v="1"/>
    <s v="Accessories &amp; Power"/>
    <x v="2"/>
    <x v="71"/>
    <n v="19.260000000000002"/>
    <n v="1"/>
    <s v="CUST-1671"/>
    <s v="New"/>
    <x v="1"/>
    <s v="Sale"/>
  </r>
  <r>
    <s v="ORD-11238"/>
    <x v="427"/>
    <x v="2"/>
    <x v="0"/>
    <s v="Networking &amp; Security"/>
    <x v="10"/>
    <x v="69"/>
    <n v="105.93"/>
    <n v="1"/>
    <s v="CUST-1957"/>
    <s v="New"/>
    <x v="1"/>
    <s v="Sale"/>
  </r>
  <r>
    <s v="ORD-11239"/>
    <x v="427"/>
    <x v="1"/>
    <x v="0"/>
    <s v="Laptops &amp; Computers"/>
    <x v="9"/>
    <x v="99"/>
    <n v="1733.48"/>
    <n v="3"/>
    <s v="CUST-1932"/>
    <s v="Existing"/>
    <x v="0"/>
    <s v="Sale"/>
  </r>
  <r>
    <s v="ORD-11240"/>
    <x v="427"/>
    <x v="0"/>
    <x v="1"/>
    <s v="Networking &amp; Security"/>
    <x v="10"/>
    <x v="69"/>
    <n v="105.93"/>
    <n v="1"/>
    <s v="CUST-1095"/>
    <s v="New"/>
    <x v="1"/>
    <s v="Sale"/>
  </r>
  <r>
    <s v="ORD-11241"/>
    <x v="427"/>
    <x v="5"/>
    <x v="1"/>
    <s v="Networking &amp; Security"/>
    <x v="10"/>
    <x v="81"/>
    <n v="211.87"/>
    <n v="2"/>
    <s v="CUST-1106"/>
    <s v="New"/>
    <x v="1"/>
    <s v="Sale"/>
  </r>
  <r>
    <s v="ORD-11242"/>
    <x v="428"/>
    <x v="3"/>
    <x v="0"/>
    <s v="Smart Home &amp; IoT"/>
    <x v="4"/>
    <x v="109"/>
    <n v="-105.93"/>
    <n v="-2"/>
    <s v="CUST-1631"/>
    <s v="New"/>
    <x v="1"/>
    <s v="Return"/>
  </r>
  <r>
    <s v="ORD-11243"/>
    <x v="428"/>
    <x v="2"/>
    <x v="2"/>
    <s v="Accessories &amp; Power"/>
    <x v="11"/>
    <x v="74"/>
    <n v="86.67"/>
    <n v="1"/>
    <s v="CUST-2636"/>
    <s v="Existing"/>
    <x v="0"/>
    <s v="Sale"/>
  </r>
  <r>
    <s v="ORD-11244"/>
    <x v="429"/>
    <x v="0"/>
    <x v="0"/>
    <s v="Networking &amp; Security"/>
    <x v="7"/>
    <x v="91"/>
    <n v="635.61"/>
    <n v="3"/>
    <s v="CUST-2638"/>
    <s v="New"/>
    <x v="1"/>
    <s v="Sale"/>
  </r>
  <r>
    <s v="ORD-11245"/>
    <x v="429"/>
    <x v="2"/>
    <x v="0"/>
    <s v="Accessories &amp; Power"/>
    <x v="2"/>
    <x v="68"/>
    <n v="38.520000000000003"/>
    <n v="2"/>
    <s v="CUST-2701"/>
    <s v="New"/>
    <x v="1"/>
    <s v="Sale"/>
  </r>
  <r>
    <s v="ORD-11246"/>
    <x v="430"/>
    <x v="0"/>
    <x v="1"/>
    <s v="Smart Home &amp; IoT"/>
    <x v="4"/>
    <x v="68"/>
    <n v="52.97"/>
    <n v="1"/>
    <s v="CUST-2949"/>
    <s v="Existing"/>
    <x v="0"/>
    <s v="Sale"/>
  </r>
  <r>
    <s v="ORD-11247"/>
    <x v="430"/>
    <x v="0"/>
    <x v="1"/>
    <s v="Laptops &amp; Computers"/>
    <x v="6"/>
    <x v="77"/>
    <n v="818.59"/>
    <n v="1"/>
    <s v="CUST-1697"/>
    <s v="Existing"/>
    <x v="0"/>
    <s v="Sale"/>
  </r>
  <r>
    <s v="ORD-11248"/>
    <x v="430"/>
    <x v="3"/>
    <x v="2"/>
    <s v="Smart Home &amp; IoT"/>
    <x v="4"/>
    <x v="69"/>
    <n v="105.93"/>
    <n v="2"/>
    <s v="CUST-1031"/>
    <s v="New"/>
    <x v="1"/>
    <s v="Sale"/>
  </r>
  <r>
    <s v="ORD-11249"/>
    <x v="430"/>
    <x v="0"/>
    <x v="0"/>
    <s v="Networking &amp; Security"/>
    <x v="5"/>
    <x v="74"/>
    <n v="86.67"/>
    <n v="1"/>
    <s v="CUST-2516"/>
    <s v="New"/>
    <x v="1"/>
    <s v="Sale"/>
  </r>
  <r>
    <s v="ORD-11250"/>
    <x v="430"/>
    <x v="0"/>
    <x v="1"/>
    <s v="Smart Home &amp; IoT"/>
    <x v="1"/>
    <x v="81"/>
    <n v="202.24"/>
    <n v="3"/>
    <s v="CUST-1065"/>
    <s v="New"/>
    <x v="1"/>
    <s v="Sale"/>
  </r>
  <r>
    <s v="ORD-11251"/>
    <x v="430"/>
    <x v="0"/>
    <x v="0"/>
    <s v="Accessories &amp; Power"/>
    <x v="3"/>
    <x v="78"/>
    <n v="62.6"/>
    <n v="1"/>
    <s v="CUST-2202"/>
    <s v="New"/>
    <x v="1"/>
    <s v="Sale"/>
  </r>
  <r>
    <s v="ORD-11252"/>
    <x v="431"/>
    <x v="3"/>
    <x v="0"/>
    <s v="Networking &amp; Security"/>
    <x v="7"/>
    <x v="86"/>
    <n v="211.87"/>
    <n v="1"/>
    <s v="CUST-1778"/>
    <s v="Existing"/>
    <x v="0"/>
    <s v="Sale"/>
  </r>
  <r>
    <s v="ORD-11253"/>
    <x v="431"/>
    <x v="2"/>
    <x v="2"/>
    <s v="Accessories &amp; Power"/>
    <x v="11"/>
    <x v="74"/>
    <n v="86.67"/>
    <n v="1"/>
    <s v="CUST-2466"/>
    <s v="New"/>
    <x v="1"/>
    <s v="Sale"/>
  </r>
  <r>
    <s v="ORD-11254"/>
    <x v="431"/>
    <x v="5"/>
    <x v="0"/>
    <s v="Accessories &amp; Power"/>
    <x v="2"/>
    <x v="71"/>
    <n v="19.260000000000002"/>
    <n v="1"/>
    <s v="CUST-1915"/>
    <s v="New"/>
    <x v="1"/>
    <s v="Sale"/>
  </r>
  <r>
    <s v="ORD-11255"/>
    <x v="432"/>
    <x v="2"/>
    <x v="2"/>
    <s v="Networking &amp; Security"/>
    <x v="5"/>
    <x v="74"/>
    <n v="86.67"/>
    <n v="1"/>
    <s v="CUST-1548"/>
    <s v="New"/>
    <x v="1"/>
    <s v="Sale"/>
  </r>
  <r>
    <s v="ORD-11256"/>
    <x v="432"/>
    <x v="0"/>
    <x v="2"/>
    <s v="Smart Home &amp; IoT"/>
    <x v="4"/>
    <x v="106"/>
    <n v="158.9"/>
    <n v="3"/>
    <s v="CUST-1200"/>
    <s v="New"/>
    <x v="1"/>
    <s v="Sale"/>
  </r>
  <r>
    <s v="ORD-11257"/>
    <x v="432"/>
    <x v="1"/>
    <x v="0"/>
    <s v="Networking &amp; Security"/>
    <x v="5"/>
    <x v="88"/>
    <n v="173.35"/>
    <n v="2"/>
    <s v="CUST-2893"/>
    <s v="New"/>
    <x v="1"/>
    <s v="Sale"/>
  </r>
  <r>
    <s v="ORD-11258"/>
    <x v="432"/>
    <x v="1"/>
    <x v="0"/>
    <s v="Accessories &amp; Power"/>
    <x v="3"/>
    <x v="73"/>
    <n v="125.2"/>
    <n v="2"/>
    <s v="CUST-1048"/>
    <s v="New"/>
    <x v="1"/>
    <s v="Sale"/>
  </r>
  <r>
    <s v="ORD-11259"/>
    <x v="433"/>
    <x v="0"/>
    <x v="0"/>
    <s v="Smart Home &amp; IoT"/>
    <x v="1"/>
    <x v="76"/>
    <n v="134.83000000000001"/>
    <n v="2"/>
    <s v="CUST-1786"/>
    <s v="New"/>
    <x v="1"/>
    <s v="Sale"/>
  </r>
  <r>
    <s v="ORD-11260"/>
    <x v="433"/>
    <x v="1"/>
    <x v="0"/>
    <s v="Laptops &amp; Computers"/>
    <x v="6"/>
    <x v="82"/>
    <n v="1637.17"/>
    <n v="2"/>
    <s v="CUST-1950"/>
    <s v="Existing"/>
    <x v="0"/>
    <s v="Sale"/>
  </r>
  <r>
    <s v="ORD-11261"/>
    <x v="433"/>
    <x v="4"/>
    <x v="2"/>
    <s v="Networking &amp; Security"/>
    <x v="10"/>
    <x v="69"/>
    <n v="105.93"/>
    <n v="1"/>
    <s v="CUST-2703"/>
    <s v="New"/>
    <x v="1"/>
    <s v="Sale"/>
  </r>
  <r>
    <s v="ORD-11262"/>
    <x v="433"/>
    <x v="0"/>
    <x v="1"/>
    <s v="Smart Home &amp; IoT"/>
    <x v="4"/>
    <x v="106"/>
    <n v="158.9"/>
    <n v="3"/>
    <s v="CUST-1262"/>
    <s v="New"/>
    <x v="1"/>
    <s v="Sale"/>
  </r>
  <r>
    <s v="ORD-11263"/>
    <x v="434"/>
    <x v="0"/>
    <x v="0"/>
    <s v="Laptops &amp; Computers"/>
    <x v="6"/>
    <x v="77"/>
    <n v="818.59"/>
    <n v="1"/>
    <s v="CUST-2156"/>
    <s v="Existing"/>
    <x v="0"/>
    <s v="Sale"/>
  </r>
  <r>
    <s v="ORD-11264"/>
    <x v="434"/>
    <x v="0"/>
    <x v="0"/>
    <s v="Laptops &amp; Computers"/>
    <x v="9"/>
    <x v="99"/>
    <n v="1733.48"/>
    <n v="3"/>
    <s v="CUST-2833"/>
    <s v="New"/>
    <x v="1"/>
    <s v="Sale"/>
  </r>
  <r>
    <s v="ORD-11265"/>
    <x v="435"/>
    <x v="0"/>
    <x v="2"/>
    <s v="Networking &amp; Security"/>
    <x v="10"/>
    <x v="81"/>
    <n v="211.87"/>
    <n v="2"/>
    <s v="CUST-1343"/>
    <s v="New"/>
    <x v="1"/>
    <s v="Sale"/>
  </r>
  <r>
    <s v="ORD-11266"/>
    <x v="435"/>
    <x v="4"/>
    <x v="1"/>
    <s v="Networking &amp; Security"/>
    <x v="7"/>
    <x v="86"/>
    <n v="211.87"/>
    <n v="1"/>
    <s v="CUST-2199"/>
    <s v="New"/>
    <x v="1"/>
    <s v="Sale"/>
  </r>
  <r>
    <s v="ORD-11267"/>
    <x v="435"/>
    <x v="1"/>
    <x v="0"/>
    <s v="Networking &amp; Security"/>
    <x v="10"/>
    <x v="69"/>
    <n v="105.93"/>
    <n v="1"/>
    <s v="CUST-2414"/>
    <s v="Existing"/>
    <x v="0"/>
    <s v="Sale"/>
  </r>
  <r>
    <s v="ORD-11268"/>
    <x v="435"/>
    <x v="1"/>
    <x v="0"/>
    <s v="Laptops &amp; Computers"/>
    <x v="6"/>
    <x v="95"/>
    <n v="-818.59"/>
    <n v="-1"/>
    <s v="CUST-1010"/>
    <s v="New"/>
    <x v="1"/>
    <s v="Return"/>
  </r>
  <r>
    <s v="ORD-11269"/>
    <x v="436"/>
    <x v="2"/>
    <x v="2"/>
    <s v="Laptops &amp; Computers"/>
    <x v="6"/>
    <x v="77"/>
    <n v="818.59"/>
    <n v="1"/>
    <s v="CUST-1200"/>
    <s v="Existing"/>
    <x v="0"/>
    <s v="Sale"/>
  </r>
  <r>
    <s v="ORD-11270"/>
    <x v="436"/>
    <x v="0"/>
    <x v="0"/>
    <s v="Smart Home &amp; IoT"/>
    <x v="1"/>
    <x v="72"/>
    <n v="67.41"/>
    <n v="1"/>
    <s v="CUST-1944"/>
    <s v="New"/>
    <x v="1"/>
    <s v="Sale"/>
  </r>
  <r>
    <s v="ORD-11271"/>
    <x v="437"/>
    <x v="1"/>
    <x v="0"/>
    <s v="Networking &amp; Security"/>
    <x v="7"/>
    <x v="86"/>
    <n v="211.87"/>
    <n v="1"/>
    <s v="CUST-1925"/>
    <s v="New"/>
    <x v="1"/>
    <s v="Sale"/>
  </r>
  <r>
    <s v="ORD-11272"/>
    <x v="437"/>
    <x v="1"/>
    <x v="2"/>
    <s v="Laptops &amp; Computers"/>
    <x v="0"/>
    <x v="83"/>
    <n v="433.37"/>
    <n v="1"/>
    <s v="CUST-2832"/>
    <s v="New"/>
    <x v="1"/>
    <s v="Sale"/>
  </r>
  <r>
    <s v="ORD-11273"/>
    <x v="437"/>
    <x v="5"/>
    <x v="2"/>
    <s v="Networking &amp; Security"/>
    <x v="10"/>
    <x v="75"/>
    <n v="317.8"/>
    <n v="3"/>
    <s v="CUST-1002"/>
    <s v="New"/>
    <x v="1"/>
    <s v="Sale"/>
  </r>
  <r>
    <s v="ORD-11274"/>
    <x v="438"/>
    <x v="4"/>
    <x v="2"/>
    <s v="Smart Home &amp; IoT"/>
    <x v="4"/>
    <x v="109"/>
    <n v="-105.93"/>
    <n v="-2"/>
    <s v="CUST-2237"/>
    <s v="New"/>
    <x v="1"/>
    <s v="Return"/>
  </r>
  <r>
    <s v="ORD-11275"/>
    <x v="438"/>
    <x v="2"/>
    <x v="2"/>
    <s v="Laptops &amp; Computers"/>
    <x v="9"/>
    <x v="110"/>
    <n v="-1733.48"/>
    <n v="-3"/>
    <s v="CUST-1807"/>
    <s v="New"/>
    <x v="1"/>
    <s v="Return"/>
  </r>
  <r>
    <s v="ORD-11276"/>
    <x v="439"/>
    <x v="1"/>
    <x v="2"/>
    <s v="Laptops &amp; Computers"/>
    <x v="0"/>
    <x v="79"/>
    <n v="866.74"/>
    <n v="2"/>
    <s v="CUST-2330"/>
    <s v="Existing"/>
    <x v="0"/>
    <s v="Sale"/>
  </r>
  <r>
    <s v="ORD-11277"/>
    <x v="439"/>
    <x v="3"/>
    <x v="0"/>
    <s v="Laptops &amp; Computers"/>
    <x v="9"/>
    <x v="70"/>
    <n v="577.83000000000004"/>
    <n v="1"/>
    <s v="CUST-2567"/>
    <s v="New"/>
    <x v="1"/>
    <s v="Sale"/>
  </r>
  <r>
    <s v="ORD-11278"/>
    <x v="440"/>
    <x v="0"/>
    <x v="0"/>
    <s v="Accessories &amp; Power"/>
    <x v="11"/>
    <x v="74"/>
    <n v="86.67"/>
    <n v="1"/>
    <s v="CUST-1559"/>
    <s v="New"/>
    <x v="1"/>
    <s v="Sale"/>
  </r>
  <r>
    <s v="ORD-11279"/>
    <x v="441"/>
    <x v="0"/>
    <x v="0"/>
    <s v="Accessories &amp; Power"/>
    <x v="2"/>
    <x v="68"/>
    <n v="38.520000000000003"/>
    <n v="2"/>
    <s v="CUST-2350"/>
    <s v="New"/>
    <x v="1"/>
    <s v="Sale"/>
  </r>
  <r>
    <s v="ORD-11280"/>
    <x v="441"/>
    <x v="0"/>
    <x v="0"/>
    <s v="Accessories &amp; Power"/>
    <x v="11"/>
    <x v="111"/>
    <n v="346.7"/>
    <n v="4"/>
    <s v="CUST-2787"/>
    <s v="Existing"/>
    <x v="0"/>
    <s v="Sale"/>
  </r>
  <r>
    <s v="ORD-11281"/>
    <x v="442"/>
    <x v="1"/>
    <x v="2"/>
    <s v="Smart Home &amp; IoT"/>
    <x v="4"/>
    <x v="68"/>
    <n v="52.97"/>
    <n v="1"/>
    <s v="CUST-1198"/>
    <s v="New"/>
    <x v="1"/>
    <s v="Sale"/>
  </r>
  <r>
    <s v="ORD-11282"/>
    <x v="443"/>
    <x v="5"/>
    <x v="1"/>
    <s v="Smart Home &amp; IoT"/>
    <x v="4"/>
    <x v="112"/>
    <n v="-158.9"/>
    <n v="-3"/>
    <s v="CUST-2939"/>
    <s v="Existing"/>
    <x v="0"/>
    <s v="Return"/>
  </r>
  <r>
    <s v="ORD-11283"/>
    <x v="443"/>
    <x v="5"/>
    <x v="1"/>
    <s v="Networking &amp; Security"/>
    <x v="5"/>
    <x v="84"/>
    <n v="260.02"/>
    <n v="3"/>
    <s v="CUST-2624"/>
    <s v="New"/>
    <x v="1"/>
    <s v="Sale"/>
  </r>
  <r>
    <s v="ORD-11284"/>
    <x v="443"/>
    <x v="4"/>
    <x v="2"/>
    <s v="Smart Home &amp; IoT"/>
    <x v="4"/>
    <x v="69"/>
    <n v="105.93"/>
    <n v="2"/>
    <s v="CUST-1108"/>
    <s v="New"/>
    <x v="1"/>
    <s v="Sale"/>
  </r>
  <r>
    <s v="ORD-11285"/>
    <x v="443"/>
    <x v="5"/>
    <x v="0"/>
    <s v="Laptops &amp; Computers"/>
    <x v="9"/>
    <x v="99"/>
    <n v="1733.48"/>
    <n v="3"/>
    <s v="CUST-2314"/>
    <s v="Existing"/>
    <x v="0"/>
    <s v="Sale"/>
  </r>
  <r>
    <s v="ORD-11286"/>
    <x v="444"/>
    <x v="5"/>
    <x v="0"/>
    <s v="Smart Home &amp; IoT"/>
    <x v="4"/>
    <x v="68"/>
    <n v="52.97"/>
    <n v="1"/>
    <s v="CUST-1107"/>
    <s v="Existing"/>
    <x v="0"/>
    <s v="Sale"/>
  </r>
  <r>
    <s v="ORD-11287"/>
    <x v="445"/>
    <x v="0"/>
    <x v="1"/>
    <s v="Accessories &amp; Power"/>
    <x v="2"/>
    <x v="109"/>
    <n v="-77.040000000000006"/>
    <n v="-4"/>
    <s v="CUST-2431"/>
    <s v="New"/>
    <x v="1"/>
    <s v="Return"/>
  </r>
  <r>
    <s v="ORD-11288"/>
    <x v="445"/>
    <x v="0"/>
    <x v="2"/>
    <s v="Networking &amp; Security"/>
    <x v="5"/>
    <x v="88"/>
    <n v="173.35"/>
    <n v="2"/>
    <s v="CUST-1551"/>
    <s v="New"/>
    <x v="1"/>
    <s v="Sale"/>
  </r>
  <r>
    <s v="ORD-11289"/>
    <x v="445"/>
    <x v="5"/>
    <x v="2"/>
    <s v="Networking &amp; Security"/>
    <x v="10"/>
    <x v="69"/>
    <n v="105.93"/>
    <n v="1"/>
    <s v="CUST-1972"/>
    <s v="New"/>
    <x v="1"/>
    <s v="Sale"/>
  </r>
  <r>
    <s v="ORD-11290"/>
    <x v="446"/>
    <x v="1"/>
    <x v="2"/>
    <s v="Laptops &amp; Computers"/>
    <x v="0"/>
    <x v="113"/>
    <n v="-1300.1099999999999"/>
    <n v="-3"/>
    <s v="CUST-1051"/>
    <s v="New"/>
    <x v="1"/>
    <s v="Return"/>
  </r>
  <r>
    <s v="ORD-11291"/>
    <x v="446"/>
    <x v="3"/>
    <x v="2"/>
    <s v="Smart Home &amp; IoT"/>
    <x v="4"/>
    <x v="68"/>
    <n v="52.97"/>
    <n v="1"/>
    <s v="CUST-1111"/>
    <s v="Existing"/>
    <x v="0"/>
    <s v="Sale"/>
  </r>
  <r>
    <s v="ORD-11292"/>
    <x v="446"/>
    <x v="0"/>
    <x v="1"/>
    <s v="Smart Home &amp; IoT"/>
    <x v="4"/>
    <x v="68"/>
    <n v="52.97"/>
    <n v="1"/>
    <s v="CUST-1294"/>
    <s v="New"/>
    <x v="1"/>
    <s v="Sale"/>
  </r>
  <r>
    <s v="ORD-11293"/>
    <x v="447"/>
    <x v="0"/>
    <x v="0"/>
    <s v="Accessories &amp; Power"/>
    <x v="11"/>
    <x v="74"/>
    <n v="86.67"/>
    <n v="1"/>
    <s v="CUST-2603"/>
    <s v="New"/>
    <x v="1"/>
    <s v="Sale"/>
  </r>
  <r>
    <s v="ORD-11294"/>
    <x v="447"/>
    <x v="1"/>
    <x v="2"/>
    <s v="Networking &amp; Security"/>
    <x v="10"/>
    <x v="69"/>
    <n v="105.93"/>
    <n v="1"/>
    <s v="CUST-2212"/>
    <s v="New"/>
    <x v="1"/>
    <s v="Sale"/>
  </r>
  <r>
    <s v="ORD-11295"/>
    <x v="447"/>
    <x v="0"/>
    <x v="1"/>
    <s v="Accessories &amp; Power"/>
    <x v="3"/>
    <x v="78"/>
    <n v="62.6"/>
    <n v="1"/>
    <s v="CUST-2867"/>
    <s v="Existing"/>
    <x v="0"/>
    <s v="Sale"/>
  </r>
  <r>
    <s v="ORD-11296"/>
    <x v="448"/>
    <x v="0"/>
    <x v="0"/>
    <s v="Smart Home &amp; IoT"/>
    <x v="8"/>
    <x v="89"/>
    <n v="250.39"/>
    <n v="2"/>
    <s v="CUST-2744"/>
    <s v="New"/>
    <x v="1"/>
    <s v="Sale"/>
  </r>
  <r>
    <s v="ORD-11297"/>
    <x v="449"/>
    <x v="2"/>
    <x v="2"/>
    <s v="Accessories &amp; Power"/>
    <x v="3"/>
    <x v="78"/>
    <n v="62.6"/>
    <n v="1"/>
    <s v="CUST-1064"/>
    <s v="Existing"/>
    <x v="0"/>
    <s v="Sale"/>
  </r>
  <r>
    <s v="ORD-11298"/>
    <x v="449"/>
    <x v="0"/>
    <x v="0"/>
    <s v="Networking &amp; Security"/>
    <x v="5"/>
    <x v="74"/>
    <n v="86.67"/>
    <n v="1"/>
    <s v="CUST-1573"/>
    <s v="New"/>
    <x v="1"/>
    <s v="Sale"/>
  </r>
  <r>
    <s v="ORD-11299"/>
    <x v="449"/>
    <x v="5"/>
    <x v="1"/>
    <s v="Networking &amp; Security"/>
    <x v="5"/>
    <x v="74"/>
    <n v="86.67"/>
    <n v="1"/>
    <s v="CUST-1464"/>
    <s v="New"/>
    <x v="1"/>
    <s v="Sale"/>
  </r>
  <r>
    <s v="ORD-11300"/>
    <x v="449"/>
    <x v="0"/>
    <x v="0"/>
    <s v="Smart Home &amp; IoT"/>
    <x v="1"/>
    <x v="72"/>
    <n v="67.41"/>
    <n v="1"/>
    <s v="CUST-1257"/>
    <s v="Existing"/>
    <x v="0"/>
    <s v="Sale"/>
  </r>
  <r>
    <s v="ORD-11301"/>
    <x v="449"/>
    <x v="0"/>
    <x v="2"/>
    <s v="Smart Home &amp; IoT"/>
    <x v="4"/>
    <x v="69"/>
    <n v="105.93"/>
    <n v="2"/>
    <s v="CUST-2669"/>
    <s v="Existing"/>
    <x v="0"/>
    <s v="Sale"/>
  </r>
  <r>
    <s v="ORD-11302"/>
    <x v="450"/>
    <x v="1"/>
    <x v="0"/>
    <s v="Accessories &amp; Power"/>
    <x v="11"/>
    <x v="88"/>
    <n v="173.35"/>
    <n v="2"/>
    <s v="CUST-2003"/>
    <s v="Existing"/>
    <x v="0"/>
    <s v="Sale"/>
  </r>
  <r>
    <s v="ORD-11303"/>
    <x v="450"/>
    <x v="3"/>
    <x v="2"/>
    <s v="Laptops &amp; Computers"/>
    <x v="6"/>
    <x v="80"/>
    <n v="2455.7600000000002"/>
    <n v="3"/>
    <s v="CUST-1633"/>
    <s v="Existing"/>
    <x v="0"/>
    <s v="Sale"/>
  </r>
  <r>
    <s v="ORD-11304"/>
    <x v="450"/>
    <x v="1"/>
    <x v="0"/>
    <s v="Laptops &amp; Computers"/>
    <x v="6"/>
    <x v="82"/>
    <n v="1637.17"/>
    <n v="2"/>
    <s v="CUST-2354"/>
    <s v="New"/>
    <x v="1"/>
    <s v="Sale"/>
  </r>
  <r>
    <s v="ORD-11305"/>
    <x v="450"/>
    <x v="2"/>
    <x v="0"/>
    <s v="Accessories &amp; Power"/>
    <x v="11"/>
    <x v="74"/>
    <n v="86.67"/>
    <n v="1"/>
    <s v="CUST-2524"/>
    <s v="New"/>
    <x v="1"/>
    <s v="Sale"/>
  </r>
  <r>
    <s v="ORD-11306"/>
    <x v="450"/>
    <x v="0"/>
    <x v="0"/>
    <s v="Networking &amp; Security"/>
    <x v="7"/>
    <x v="91"/>
    <n v="635.61"/>
    <n v="3"/>
    <s v="CUST-2706"/>
    <s v="New"/>
    <x v="1"/>
    <s v="Sale"/>
  </r>
  <r>
    <s v="ORD-11307"/>
    <x v="451"/>
    <x v="2"/>
    <x v="1"/>
    <s v="Smart Home &amp; IoT"/>
    <x v="1"/>
    <x v="76"/>
    <n v="134.83000000000001"/>
    <n v="2"/>
    <s v="CUST-1209"/>
    <s v="New"/>
    <x v="1"/>
    <s v="Sale"/>
  </r>
  <r>
    <s v="ORD-11308"/>
    <x v="451"/>
    <x v="0"/>
    <x v="0"/>
    <s v="Networking &amp; Security"/>
    <x v="10"/>
    <x v="69"/>
    <n v="105.93"/>
    <n v="1"/>
    <s v="CUST-2831"/>
    <s v="New"/>
    <x v="1"/>
    <s v="Sale"/>
  </r>
  <r>
    <s v="ORD-11309"/>
    <x v="452"/>
    <x v="2"/>
    <x v="0"/>
    <s v="Laptops &amp; Computers"/>
    <x v="0"/>
    <x v="79"/>
    <n v="866.74"/>
    <n v="2"/>
    <s v="CUST-1088"/>
    <s v="New"/>
    <x v="1"/>
    <s v="Sale"/>
  </r>
  <r>
    <s v="ORD-11310"/>
    <x v="453"/>
    <x v="5"/>
    <x v="2"/>
    <s v="Accessories &amp; Power"/>
    <x v="2"/>
    <x v="114"/>
    <n v="-57.78"/>
    <n v="-3"/>
    <s v="CUST-2702"/>
    <s v="New"/>
    <x v="1"/>
    <s v="Return"/>
  </r>
  <r>
    <s v="ORD-11311"/>
    <x v="453"/>
    <x v="4"/>
    <x v="2"/>
    <s v="Smart Home &amp; IoT"/>
    <x v="8"/>
    <x v="89"/>
    <n v="250.39"/>
    <n v="2"/>
    <s v="CUST-1027"/>
    <s v="Existing"/>
    <x v="0"/>
    <s v="Sale"/>
  </r>
  <r>
    <s v="ORD-11312"/>
    <x v="453"/>
    <x v="1"/>
    <x v="1"/>
    <s v="Networking &amp; Security"/>
    <x v="5"/>
    <x v="74"/>
    <n v="86.67"/>
    <n v="1"/>
    <s v="CUST-1237"/>
    <s v="Existing"/>
    <x v="0"/>
    <s v="Sale"/>
  </r>
  <r>
    <s v="ORD-11313"/>
    <x v="453"/>
    <x v="0"/>
    <x v="0"/>
    <s v="Networking &amp; Security"/>
    <x v="5"/>
    <x v="88"/>
    <n v="173.35"/>
    <n v="2"/>
    <s v="CUST-1335"/>
    <s v="New"/>
    <x v="1"/>
    <s v="Sale"/>
  </r>
  <r>
    <s v="ORD-11314"/>
    <x v="454"/>
    <x v="0"/>
    <x v="2"/>
    <s v="Accessories &amp; Power"/>
    <x v="3"/>
    <x v="78"/>
    <n v="62.6"/>
    <n v="1"/>
    <s v="CUST-1062"/>
    <s v="New"/>
    <x v="1"/>
    <s v="Sale"/>
  </r>
  <r>
    <s v="ORD-11315"/>
    <x v="455"/>
    <x v="3"/>
    <x v="0"/>
    <s v="Laptops &amp; Computers"/>
    <x v="0"/>
    <x v="83"/>
    <n v="433.37"/>
    <n v="1"/>
    <s v="CUST-2983"/>
    <s v="New"/>
    <x v="1"/>
    <s v="Sale"/>
  </r>
  <r>
    <s v="ORD-11316"/>
    <x v="455"/>
    <x v="5"/>
    <x v="0"/>
    <s v="Accessories &amp; Power"/>
    <x v="11"/>
    <x v="104"/>
    <n v="-86.67"/>
    <n v="-1"/>
    <s v="CUST-2790"/>
    <s v="Existing"/>
    <x v="0"/>
    <s v="Return"/>
  </r>
  <r>
    <s v="ORD-11317"/>
    <x v="455"/>
    <x v="2"/>
    <x v="2"/>
    <s v="Laptops &amp; Computers"/>
    <x v="9"/>
    <x v="70"/>
    <n v="577.83000000000004"/>
    <n v="1"/>
    <s v="CUST-2931"/>
    <s v="Existing"/>
    <x v="0"/>
    <s v="Sale"/>
  </r>
  <r>
    <s v="ORD-11318"/>
    <x v="456"/>
    <x v="0"/>
    <x v="2"/>
    <s v="Smart Home &amp; IoT"/>
    <x v="8"/>
    <x v="73"/>
    <n v="125.2"/>
    <n v="1"/>
    <s v="CUST-2576"/>
    <s v="Existing"/>
    <x v="0"/>
    <s v="Sale"/>
  </r>
  <r>
    <s v="ORD-11319"/>
    <x v="456"/>
    <x v="1"/>
    <x v="2"/>
    <s v="Accessories &amp; Power"/>
    <x v="3"/>
    <x v="78"/>
    <n v="62.6"/>
    <n v="1"/>
    <s v="CUST-1499"/>
    <s v="New"/>
    <x v="1"/>
    <s v="Sale"/>
  </r>
  <r>
    <s v="ORD-11320"/>
    <x v="456"/>
    <x v="0"/>
    <x v="0"/>
    <s v="Smart Home &amp; IoT"/>
    <x v="1"/>
    <x v="115"/>
    <n v="-134.83000000000001"/>
    <n v="-2"/>
    <s v="CUST-2564"/>
    <s v="New"/>
    <x v="1"/>
    <s v="Return"/>
  </r>
  <r>
    <s v="ORD-11321"/>
    <x v="457"/>
    <x v="4"/>
    <x v="0"/>
    <s v="Networking &amp; Security"/>
    <x v="7"/>
    <x v="93"/>
    <n v="423.74"/>
    <n v="2"/>
    <s v="CUST-1790"/>
    <s v="New"/>
    <x v="1"/>
    <s v="Sale"/>
  </r>
  <r>
    <s v="ORD-11322"/>
    <x v="457"/>
    <x v="2"/>
    <x v="0"/>
    <s v="Smart Home &amp; IoT"/>
    <x v="1"/>
    <x v="111"/>
    <n v="337.06"/>
    <n v="5"/>
    <s v="CUST-2492"/>
    <s v="Existing"/>
    <x v="0"/>
    <s v="Sale"/>
  </r>
  <r>
    <s v="ORD-11323"/>
    <x v="457"/>
    <x v="4"/>
    <x v="1"/>
    <s v="Networking &amp; Security"/>
    <x v="7"/>
    <x v="86"/>
    <n v="211.87"/>
    <n v="1"/>
    <s v="CUST-1591"/>
    <s v="New"/>
    <x v="1"/>
    <s v="Sale"/>
  </r>
  <r>
    <s v="ORD-11324"/>
    <x v="457"/>
    <x v="0"/>
    <x v="0"/>
    <s v="Laptops &amp; Computers"/>
    <x v="0"/>
    <x v="83"/>
    <n v="433.37"/>
    <n v="1"/>
    <s v="CUST-2074"/>
    <s v="New"/>
    <x v="1"/>
    <s v="Sale"/>
  </r>
  <r>
    <s v="ORD-11325"/>
    <x v="457"/>
    <x v="5"/>
    <x v="0"/>
    <s v="Accessories &amp; Power"/>
    <x v="11"/>
    <x v="84"/>
    <n v="260.02"/>
    <n v="3"/>
    <s v="CUST-2135"/>
    <s v="Existing"/>
    <x v="0"/>
    <s v="Sale"/>
  </r>
  <r>
    <s v="ORD-11326"/>
    <x v="457"/>
    <x v="2"/>
    <x v="0"/>
    <s v="Accessories &amp; Power"/>
    <x v="2"/>
    <x v="71"/>
    <n v="19.260000000000002"/>
    <n v="1"/>
    <s v="CUST-2896"/>
    <s v="New"/>
    <x v="1"/>
    <s v="Sale"/>
  </r>
  <r>
    <s v="ORD-11327"/>
    <x v="458"/>
    <x v="1"/>
    <x v="2"/>
    <s v="Smart Home &amp; IoT"/>
    <x v="8"/>
    <x v="89"/>
    <n v="250.39"/>
    <n v="2"/>
    <s v="CUST-1300"/>
    <s v="Existing"/>
    <x v="0"/>
    <s v="Sale"/>
  </r>
  <r>
    <s v="ORD-11328"/>
    <x v="459"/>
    <x v="3"/>
    <x v="0"/>
    <s v="Networking &amp; Security"/>
    <x v="7"/>
    <x v="93"/>
    <n v="423.74"/>
    <n v="2"/>
    <s v="CUST-2113"/>
    <s v="Existing"/>
    <x v="0"/>
    <s v="Sale"/>
  </r>
  <r>
    <s v="ORD-11329"/>
    <x v="460"/>
    <x v="4"/>
    <x v="1"/>
    <s v="Laptops &amp; Computers"/>
    <x v="0"/>
    <x v="83"/>
    <n v="433.37"/>
    <n v="1"/>
    <s v="CUST-1228"/>
    <s v="New"/>
    <x v="1"/>
    <s v="Sale"/>
  </r>
  <r>
    <s v="ORD-11330"/>
    <x v="460"/>
    <x v="3"/>
    <x v="0"/>
    <s v="Laptops &amp; Computers"/>
    <x v="0"/>
    <x v="97"/>
    <n v="1300.1099999999999"/>
    <n v="3"/>
    <s v="CUST-1149"/>
    <s v="Existing"/>
    <x v="0"/>
    <s v="Sale"/>
  </r>
  <r>
    <s v="ORD-11331"/>
    <x v="460"/>
    <x v="2"/>
    <x v="1"/>
    <s v="Smart Home &amp; IoT"/>
    <x v="4"/>
    <x v="109"/>
    <n v="-105.93"/>
    <n v="-2"/>
    <s v="CUST-2778"/>
    <s v="Existing"/>
    <x v="0"/>
    <s v="Return"/>
  </r>
  <r>
    <s v="ORD-11332"/>
    <x v="460"/>
    <x v="0"/>
    <x v="0"/>
    <s v="Accessories &amp; Power"/>
    <x v="2"/>
    <x v="71"/>
    <n v="19.260000000000002"/>
    <n v="1"/>
    <s v="CUST-2161"/>
    <s v="New"/>
    <x v="1"/>
    <s v="Sale"/>
  </r>
  <r>
    <s v="ORD-11333"/>
    <x v="461"/>
    <x v="0"/>
    <x v="2"/>
    <s v="Networking &amp; Security"/>
    <x v="7"/>
    <x v="86"/>
    <n v="211.87"/>
    <n v="1"/>
    <s v="CUST-2158"/>
    <s v="Existing"/>
    <x v="0"/>
    <s v="Sale"/>
  </r>
  <r>
    <s v="ORD-11334"/>
    <x v="461"/>
    <x v="4"/>
    <x v="1"/>
    <s v="Accessories &amp; Power"/>
    <x v="11"/>
    <x v="74"/>
    <n v="86.67"/>
    <n v="1"/>
    <s v="CUST-2480"/>
    <s v="New"/>
    <x v="1"/>
    <s v="Sale"/>
  </r>
  <r>
    <s v="ORD-11335"/>
    <x v="462"/>
    <x v="0"/>
    <x v="0"/>
    <s v="Laptops &amp; Computers"/>
    <x v="0"/>
    <x v="83"/>
    <n v="433.37"/>
    <n v="1"/>
    <s v="CUST-2624"/>
    <s v="New"/>
    <x v="1"/>
    <s v="Sale"/>
  </r>
  <r>
    <s v="ORD-11336"/>
    <x v="462"/>
    <x v="2"/>
    <x v="1"/>
    <s v="Networking &amp; Security"/>
    <x v="5"/>
    <x v="74"/>
    <n v="86.67"/>
    <n v="1"/>
    <s v="CUST-2517"/>
    <s v="New"/>
    <x v="1"/>
    <s v="Sale"/>
  </r>
  <r>
    <s v="ORD-11337"/>
    <x v="462"/>
    <x v="2"/>
    <x v="0"/>
    <s v="Laptops &amp; Computers"/>
    <x v="0"/>
    <x v="83"/>
    <n v="433.37"/>
    <n v="1"/>
    <s v="CUST-1526"/>
    <s v="Existing"/>
    <x v="0"/>
    <s v="Sale"/>
  </r>
  <r>
    <s v="ORD-11338"/>
    <x v="462"/>
    <x v="5"/>
    <x v="1"/>
    <s v="Networking &amp; Security"/>
    <x v="7"/>
    <x v="86"/>
    <n v="211.87"/>
    <n v="1"/>
    <s v="CUST-1332"/>
    <s v="New"/>
    <x v="1"/>
    <s v="Sale"/>
  </r>
  <r>
    <s v="ORD-11339"/>
    <x v="463"/>
    <x v="4"/>
    <x v="2"/>
    <s v="Laptops &amp; Computers"/>
    <x v="9"/>
    <x v="99"/>
    <n v="1733.48"/>
    <n v="3"/>
    <s v="CUST-2385"/>
    <s v="New"/>
    <x v="1"/>
    <s v="Sale"/>
  </r>
  <r>
    <s v="ORD-11340"/>
    <x v="463"/>
    <x v="1"/>
    <x v="0"/>
    <s v="Accessories &amp; Power"/>
    <x v="3"/>
    <x v="78"/>
    <n v="62.6"/>
    <n v="1"/>
    <s v="CUST-1173"/>
    <s v="New"/>
    <x v="1"/>
    <s v="Sale"/>
  </r>
  <r>
    <s v="ORD-11341"/>
    <x v="464"/>
    <x v="1"/>
    <x v="0"/>
    <s v="Laptops &amp; Computers"/>
    <x v="0"/>
    <x v="83"/>
    <n v="433.37"/>
    <n v="1"/>
    <s v="CUST-2625"/>
    <s v="New"/>
    <x v="1"/>
    <s v="Sale"/>
  </r>
  <r>
    <s v="ORD-11342"/>
    <x v="464"/>
    <x v="0"/>
    <x v="0"/>
    <s v="Accessories &amp; Power"/>
    <x v="11"/>
    <x v="104"/>
    <n v="-86.67"/>
    <n v="-1"/>
    <s v="CUST-2236"/>
    <s v="New"/>
    <x v="1"/>
    <s v="Return"/>
  </r>
  <r>
    <s v="ORD-11343"/>
    <x v="464"/>
    <x v="1"/>
    <x v="0"/>
    <s v="Networking &amp; Security"/>
    <x v="7"/>
    <x v="86"/>
    <n v="211.87"/>
    <n v="1"/>
    <s v="CUST-2366"/>
    <s v="New"/>
    <x v="1"/>
    <s v="Sale"/>
  </r>
  <r>
    <s v="ORD-11344"/>
    <x v="464"/>
    <x v="0"/>
    <x v="0"/>
    <s v="Accessories &amp; Power"/>
    <x v="11"/>
    <x v="74"/>
    <n v="86.67"/>
    <n v="1"/>
    <s v="CUST-1060"/>
    <s v="Existing"/>
    <x v="0"/>
    <s v="Sale"/>
  </r>
  <r>
    <s v="ORD-11345"/>
    <x v="465"/>
    <x v="1"/>
    <x v="0"/>
    <s v="Smart Home &amp; IoT"/>
    <x v="1"/>
    <x v="72"/>
    <n v="67.41"/>
    <n v="1"/>
    <s v="CUST-2899"/>
    <s v="New"/>
    <x v="1"/>
    <s v="Sale"/>
  </r>
  <r>
    <s v="ORD-11346"/>
    <x v="465"/>
    <x v="3"/>
    <x v="0"/>
    <s v="Accessories &amp; Power"/>
    <x v="2"/>
    <x v="71"/>
    <n v="19.260000000000002"/>
    <n v="1"/>
    <s v="CUST-2755"/>
    <s v="New"/>
    <x v="1"/>
    <s v="Sale"/>
  </r>
  <r>
    <s v="ORD-11347"/>
    <x v="466"/>
    <x v="4"/>
    <x v="2"/>
    <s v="Laptops &amp; Computers"/>
    <x v="6"/>
    <x v="82"/>
    <n v="1637.17"/>
    <n v="2"/>
    <s v="CUST-2084"/>
    <s v="New"/>
    <x v="1"/>
    <s v="Sale"/>
  </r>
  <r>
    <s v="ORD-11348"/>
    <x v="466"/>
    <x v="0"/>
    <x v="0"/>
    <s v="Smart Home &amp; IoT"/>
    <x v="8"/>
    <x v="107"/>
    <n v="625.98"/>
    <n v="5"/>
    <s v="CUST-1818"/>
    <s v="New"/>
    <x v="1"/>
    <s v="Sale"/>
  </r>
  <r>
    <s v="ORD-11349"/>
    <x v="466"/>
    <x v="1"/>
    <x v="0"/>
    <s v="Accessories &amp; Power"/>
    <x v="11"/>
    <x v="74"/>
    <n v="86.67"/>
    <n v="1"/>
    <s v="CUST-2701"/>
    <s v="Existing"/>
    <x v="0"/>
    <s v="Sale"/>
  </r>
  <r>
    <s v="ORD-11350"/>
    <x v="467"/>
    <x v="4"/>
    <x v="2"/>
    <s v="Laptops &amp; Computers"/>
    <x v="6"/>
    <x v="77"/>
    <n v="818.59"/>
    <n v="1"/>
    <s v="CUST-1523"/>
    <s v="New"/>
    <x v="1"/>
    <s v="Sale"/>
  </r>
  <r>
    <s v="ORD-11351"/>
    <x v="467"/>
    <x v="0"/>
    <x v="0"/>
    <s v="Laptops &amp; Computers"/>
    <x v="9"/>
    <x v="87"/>
    <n v="1155.6500000000001"/>
    <n v="2"/>
    <s v="CUST-1215"/>
    <s v="New"/>
    <x v="1"/>
    <s v="Sale"/>
  </r>
  <r>
    <s v="ORD-11352"/>
    <x v="468"/>
    <x v="0"/>
    <x v="0"/>
    <s v="Networking &amp; Security"/>
    <x v="5"/>
    <x v="88"/>
    <n v="173.35"/>
    <n v="2"/>
    <s v="CUST-2612"/>
    <s v="New"/>
    <x v="1"/>
    <s v="Sale"/>
  </r>
  <r>
    <s v="ORD-11353"/>
    <x v="468"/>
    <x v="0"/>
    <x v="0"/>
    <s v="Accessories &amp; Power"/>
    <x v="3"/>
    <x v="78"/>
    <n v="62.6"/>
    <n v="1"/>
    <s v="CUST-2767"/>
    <s v="Existing"/>
    <x v="0"/>
    <s v="Sale"/>
  </r>
  <r>
    <s v="ORD-11354"/>
    <x v="469"/>
    <x v="5"/>
    <x v="1"/>
    <s v="Networking &amp; Security"/>
    <x v="7"/>
    <x v="91"/>
    <n v="635.61"/>
    <n v="3"/>
    <s v="CUST-1623"/>
    <s v="New"/>
    <x v="1"/>
    <s v="Sale"/>
  </r>
  <r>
    <s v="ORD-11355"/>
    <x v="469"/>
    <x v="0"/>
    <x v="1"/>
    <s v="Networking &amp; Security"/>
    <x v="10"/>
    <x v="109"/>
    <n v="-105.93"/>
    <n v="-1"/>
    <s v="CUST-1577"/>
    <s v="Existing"/>
    <x v="0"/>
    <s v="Return"/>
  </r>
  <r>
    <s v="ORD-11356"/>
    <x v="469"/>
    <x v="4"/>
    <x v="0"/>
    <s v="Laptops &amp; Computers"/>
    <x v="0"/>
    <x v="83"/>
    <n v="433.37"/>
    <n v="1"/>
    <s v="CUST-1693"/>
    <s v="New"/>
    <x v="1"/>
    <s v="Sale"/>
  </r>
  <r>
    <s v="ORD-11357"/>
    <x v="469"/>
    <x v="1"/>
    <x v="2"/>
    <s v="Laptops &amp; Computers"/>
    <x v="0"/>
    <x v="79"/>
    <n v="866.74"/>
    <n v="2"/>
    <s v="CUST-1422"/>
    <s v="New"/>
    <x v="1"/>
    <s v="Sale"/>
  </r>
  <r>
    <s v="ORD-11358"/>
    <x v="470"/>
    <x v="5"/>
    <x v="2"/>
    <s v="Accessories &amp; Power"/>
    <x v="2"/>
    <x v="69"/>
    <n v="77.040000000000006"/>
    <n v="4"/>
    <s v="CUST-1715"/>
    <s v="Existing"/>
    <x v="0"/>
    <s v="Sale"/>
  </r>
  <r>
    <s v="ORD-11359"/>
    <x v="470"/>
    <x v="0"/>
    <x v="2"/>
    <s v="Laptops &amp; Computers"/>
    <x v="9"/>
    <x v="87"/>
    <n v="1155.6500000000001"/>
    <n v="2"/>
    <s v="CUST-2446"/>
    <s v="New"/>
    <x v="1"/>
    <s v="Sale"/>
  </r>
  <r>
    <s v="ORD-11360"/>
    <x v="470"/>
    <x v="1"/>
    <x v="2"/>
    <s v="Smart Home &amp; IoT"/>
    <x v="4"/>
    <x v="68"/>
    <n v="52.97"/>
    <n v="1"/>
    <s v="CUST-2394"/>
    <s v="New"/>
    <x v="1"/>
    <s v="Sale"/>
  </r>
  <r>
    <s v="ORD-11361"/>
    <x v="470"/>
    <x v="2"/>
    <x v="2"/>
    <s v="Accessories &amp; Power"/>
    <x v="3"/>
    <x v="78"/>
    <n v="62.6"/>
    <n v="1"/>
    <s v="CUST-2229"/>
    <s v="New"/>
    <x v="1"/>
    <s v="Sale"/>
  </r>
  <r>
    <s v="ORD-11362"/>
    <x v="471"/>
    <x v="2"/>
    <x v="0"/>
    <s v="Laptops &amp; Computers"/>
    <x v="9"/>
    <x v="70"/>
    <n v="577.83000000000004"/>
    <n v="1"/>
    <s v="CUST-2309"/>
    <s v="New"/>
    <x v="1"/>
    <s v="Sale"/>
  </r>
  <r>
    <s v="ORD-11363"/>
    <x v="471"/>
    <x v="2"/>
    <x v="0"/>
    <s v="Smart Home &amp; IoT"/>
    <x v="1"/>
    <x v="100"/>
    <n v="-67.41"/>
    <n v="-1"/>
    <s v="CUST-2128"/>
    <s v="New"/>
    <x v="1"/>
    <s v="Return"/>
  </r>
  <r>
    <s v="ORD-11364"/>
    <x v="472"/>
    <x v="5"/>
    <x v="0"/>
    <s v="Laptops &amp; Computers"/>
    <x v="6"/>
    <x v="82"/>
    <n v="1637.17"/>
    <n v="2"/>
    <s v="CUST-1753"/>
    <s v="New"/>
    <x v="1"/>
    <s v="Sale"/>
  </r>
  <r>
    <s v="ORD-11365"/>
    <x v="472"/>
    <x v="4"/>
    <x v="1"/>
    <s v="Smart Home &amp; IoT"/>
    <x v="8"/>
    <x v="89"/>
    <n v="250.39"/>
    <n v="2"/>
    <s v="CUST-1746"/>
    <s v="Existing"/>
    <x v="0"/>
    <s v="Sale"/>
  </r>
  <r>
    <s v="ORD-11366"/>
    <x v="472"/>
    <x v="3"/>
    <x v="2"/>
    <s v="Laptops &amp; Computers"/>
    <x v="9"/>
    <x v="87"/>
    <n v="1155.6500000000001"/>
    <n v="2"/>
    <s v="CUST-1687"/>
    <s v="New"/>
    <x v="1"/>
    <s v="Sale"/>
  </r>
  <r>
    <s v="ORD-11367"/>
    <x v="473"/>
    <x v="2"/>
    <x v="1"/>
    <s v="Smart Home &amp; IoT"/>
    <x v="1"/>
    <x v="111"/>
    <n v="337.06"/>
    <n v="5"/>
    <s v="CUST-1722"/>
    <s v="Existing"/>
    <x v="0"/>
    <s v="Sale"/>
  </r>
  <r>
    <s v="ORD-11368"/>
    <x v="474"/>
    <x v="0"/>
    <x v="1"/>
    <s v="Networking &amp; Security"/>
    <x v="7"/>
    <x v="86"/>
    <n v="211.87"/>
    <n v="1"/>
    <s v="CUST-2566"/>
    <s v="New"/>
    <x v="1"/>
    <s v="Sale"/>
  </r>
  <r>
    <s v="ORD-11369"/>
    <x v="474"/>
    <x v="0"/>
    <x v="0"/>
    <s v="Networking &amp; Security"/>
    <x v="5"/>
    <x v="84"/>
    <n v="260.02"/>
    <n v="3"/>
    <s v="CUST-1746"/>
    <s v="Existing"/>
    <x v="0"/>
    <s v="Sale"/>
  </r>
  <r>
    <s v="ORD-11370"/>
    <x v="474"/>
    <x v="0"/>
    <x v="2"/>
    <s v="Smart Home &amp; IoT"/>
    <x v="4"/>
    <x v="69"/>
    <n v="105.93"/>
    <n v="2"/>
    <s v="CUST-1241"/>
    <s v="New"/>
    <x v="1"/>
    <s v="Sale"/>
  </r>
  <r>
    <s v="ORD-11371"/>
    <x v="474"/>
    <x v="2"/>
    <x v="2"/>
    <s v="Laptops &amp; Computers"/>
    <x v="9"/>
    <x v="70"/>
    <n v="577.83000000000004"/>
    <n v="1"/>
    <s v="CUST-2514"/>
    <s v="New"/>
    <x v="1"/>
    <s v="Sale"/>
  </r>
  <r>
    <s v="ORD-11372"/>
    <x v="474"/>
    <x v="1"/>
    <x v="1"/>
    <s v="Smart Home &amp; IoT"/>
    <x v="4"/>
    <x v="69"/>
    <n v="105.93"/>
    <n v="2"/>
    <s v="CUST-1664"/>
    <s v="New"/>
    <x v="1"/>
    <s v="Sale"/>
  </r>
  <r>
    <s v="ORD-11373"/>
    <x v="475"/>
    <x v="1"/>
    <x v="1"/>
    <s v="Networking &amp; Security"/>
    <x v="7"/>
    <x v="86"/>
    <n v="211.87"/>
    <n v="1"/>
    <s v="CUST-1707"/>
    <s v="Existing"/>
    <x v="0"/>
    <s v="Sale"/>
  </r>
  <r>
    <s v="ORD-11374"/>
    <x v="475"/>
    <x v="3"/>
    <x v="2"/>
    <s v="Smart Home &amp; IoT"/>
    <x v="4"/>
    <x v="69"/>
    <n v="105.93"/>
    <n v="2"/>
    <s v="CUST-2521"/>
    <s v="New"/>
    <x v="1"/>
    <s v="Sale"/>
  </r>
  <r>
    <s v="ORD-11375"/>
    <x v="475"/>
    <x v="3"/>
    <x v="0"/>
    <s v="Laptops &amp; Computers"/>
    <x v="0"/>
    <x v="83"/>
    <n v="433.37"/>
    <n v="1"/>
    <s v="CUST-1434"/>
    <s v="New"/>
    <x v="1"/>
    <s v="Sale"/>
  </r>
  <r>
    <s v="ORD-11376"/>
    <x v="475"/>
    <x v="4"/>
    <x v="2"/>
    <s v="Smart Home &amp; IoT"/>
    <x v="4"/>
    <x v="116"/>
    <n v="-52.97"/>
    <n v="-1"/>
    <s v="CUST-1780"/>
    <s v="New"/>
    <x v="1"/>
    <s v="Return"/>
  </r>
  <r>
    <s v="ORD-11377"/>
    <x v="476"/>
    <x v="1"/>
    <x v="0"/>
    <s v="Laptops &amp; Computers"/>
    <x v="0"/>
    <x v="79"/>
    <n v="866.74"/>
    <n v="2"/>
    <s v="CUST-1483"/>
    <s v="New"/>
    <x v="1"/>
    <s v="Sale"/>
  </r>
  <r>
    <s v="ORD-11378"/>
    <x v="476"/>
    <x v="2"/>
    <x v="2"/>
    <s v="Networking &amp; Security"/>
    <x v="10"/>
    <x v="81"/>
    <n v="211.87"/>
    <n v="2"/>
    <s v="CUST-2470"/>
    <s v="Existing"/>
    <x v="0"/>
    <s v="Sale"/>
  </r>
  <r>
    <s v="ORD-11379"/>
    <x v="477"/>
    <x v="0"/>
    <x v="1"/>
    <s v="Laptops &amp; Computers"/>
    <x v="9"/>
    <x v="70"/>
    <n v="577.83000000000004"/>
    <n v="1"/>
    <s v="CUST-1383"/>
    <s v="Existing"/>
    <x v="0"/>
    <s v="Sale"/>
  </r>
  <r>
    <s v="ORD-11380"/>
    <x v="477"/>
    <x v="0"/>
    <x v="0"/>
    <s v="Smart Home &amp; IoT"/>
    <x v="1"/>
    <x v="72"/>
    <n v="67.41"/>
    <n v="1"/>
    <s v="CUST-2533"/>
    <s v="New"/>
    <x v="1"/>
    <s v="Sale"/>
  </r>
  <r>
    <s v="ORD-11381"/>
    <x v="477"/>
    <x v="0"/>
    <x v="2"/>
    <s v="Laptops &amp; Computers"/>
    <x v="6"/>
    <x v="77"/>
    <n v="818.59"/>
    <n v="1"/>
    <s v="CUST-1169"/>
    <s v="Existing"/>
    <x v="0"/>
    <s v="Sale"/>
  </r>
  <r>
    <s v="ORD-11382"/>
    <x v="477"/>
    <x v="1"/>
    <x v="0"/>
    <s v="Accessories &amp; Power"/>
    <x v="3"/>
    <x v="78"/>
    <n v="62.6"/>
    <n v="1"/>
    <s v="CUST-2020"/>
    <s v="Existing"/>
    <x v="0"/>
    <s v="Sale"/>
  </r>
  <r>
    <s v="ORD-11383"/>
    <x v="477"/>
    <x v="1"/>
    <x v="0"/>
    <s v="Accessories &amp; Power"/>
    <x v="2"/>
    <x v="117"/>
    <n v="57.78"/>
    <n v="3"/>
    <s v="CUST-1949"/>
    <s v="New"/>
    <x v="1"/>
    <s v="Sale"/>
  </r>
  <r>
    <s v="ORD-11384"/>
    <x v="477"/>
    <x v="3"/>
    <x v="0"/>
    <s v="Laptops &amp; Computers"/>
    <x v="9"/>
    <x v="99"/>
    <n v="1733.48"/>
    <n v="3"/>
    <s v="CUST-1868"/>
    <s v="Existing"/>
    <x v="0"/>
    <s v="Sale"/>
  </r>
  <r>
    <s v="ORD-11385"/>
    <x v="478"/>
    <x v="0"/>
    <x v="2"/>
    <s v="Smart Home &amp; IoT"/>
    <x v="1"/>
    <x v="72"/>
    <n v="67.41"/>
    <n v="1"/>
    <s v="CUST-1322"/>
    <s v="Existing"/>
    <x v="0"/>
    <s v="Sale"/>
  </r>
  <r>
    <s v="ORD-11386"/>
    <x v="478"/>
    <x v="2"/>
    <x v="1"/>
    <s v="Laptops &amp; Computers"/>
    <x v="6"/>
    <x v="118"/>
    <n v="-1637.17"/>
    <n v="-2"/>
    <s v="CUST-1847"/>
    <s v="Existing"/>
    <x v="0"/>
    <s v="Return"/>
  </r>
  <r>
    <s v="ORD-11387"/>
    <x v="478"/>
    <x v="5"/>
    <x v="1"/>
    <s v="Networking &amp; Security"/>
    <x v="5"/>
    <x v="74"/>
    <n v="86.67"/>
    <n v="1"/>
    <s v="CUST-2497"/>
    <s v="New"/>
    <x v="1"/>
    <s v="Sale"/>
  </r>
  <r>
    <s v="ORD-11388"/>
    <x v="478"/>
    <x v="0"/>
    <x v="0"/>
    <s v="Smart Home &amp; IoT"/>
    <x v="1"/>
    <x v="76"/>
    <n v="134.83000000000001"/>
    <n v="2"/>
    <s v="CUST-2255"/>
    <s v="New"/>
    <x v="1"/>
    <s v="Sale"/>
  </r>
  <r>
    <s v="ORD-11389"/>
    <x v="478"/>
    <x v="1"/>
    <x v="1"/>
    <s v="Smart Home &amp; IoT"/>
    <x v="1"/>
    <x v="72"/>
    <n v="67.41"/>
    <n v="1"/>
    <s v="CUST-1695"/>
    <s v="New"/>
    <x v="1"/>
    <s v="Sale"/>
  </r>
  <r>
    <s v="ORD-11390"/>
    <x v="479"/>
    <x v="0"/>
    <x v="2"/>
    <s v="Smart Home &amp; IoT"/>
    <x v="1"/>
    <x v="72"/>
    <n v="67.41"/>
    <n v="1"/>
    <s v="CUST-1358"/>
    <s v="New"/>
    <x v="1"/>
    <s v="Sale"/>
  </r>
  <r>
    <s v="ORD-11391"/>
    <x v="479"/>
    <x v="5"/>
    <x v="0"/>
    <s v="Laptops &amp; Computers"/>
    <x v="6"/>
    <x v="82"/>
    <n v="1637.17"/>
    <n v="2"/>
    <s v="CUST-2298"/>
    <s v="New"/>
    <x v="1"/>
    <s v="Sale"/>
  </r>
  <r>
    <s v="ORD-11392"/>
    <x v="479"/>
    <x v="1"/>
    <x v="0"/>
    <s v="Networking &amp; Security"/>
    <x v="5"/>
    <x v="74"/>
    <n v="86.67"/>
    <n v="1"/>
    <s v="CUST-2965"/>
    <s v="New"/>
    <x v="1"/>
    <s v="Sale"/>
  </r>
  <r>
    <s v="ORD-11393"/>
    <x v="479"/>
    <x v="0"/>
    <x v="0"/>
    <s v="Laptops &amp; Computers"/>
    <x v="6"/>
    <x v="82"/>
    <n v="1637.17"/>
    <n v="2"/>
    <s v="CUST-2934"/>
    <s v="New"/>
    <x v="1"/>
    <s v="Sale"/>
  </r>
  <r>
    <s v="ORD-11394"/>
    <x v="480"/>
    <x v="0"/>
    <x v="1"/>
    <s v="Smart Home &amp; IoT"/>
    <x v="8"/>
    <x v="89"/>
    <n v="250.39"/>
    <n v="2"/>
    <s v="CUST-1031"/>
    <s v="New"/>
    <x v="1"/>
    <s v="Sale"/>
  </r>
  <r>
    <s v="ORD-11395"/>
    <x v="481"/>
    <x v="5"/>
    <x v="2"/>
    <s v="Networking &amp; Security"/>
    <x v="5"/>
    <x v="74"/>
    <n v="86.67"/>
    <n v="1"/>
    <s v="CUST-1176"/>
    <s v="New"/>
    <x v="1"/>
    <s v="Sale"/>
  </r>
  <r>
    <s v="ORD-11396"/>
    <x v="481"/>
    <x v="4"/>
    <x v="2"/>
    <s v="Smart Home &amp; IoT"/>
    <x v="4"/>
    <x v="68"/>
    <n v="52.97"/>
    <n v="1"/>
    <s v="CUST-1916"/>
    <s v="New"/>
    <x v="1"/>
    <s v="Sale"/>
  </r>
  <r>
    <s v="ORD-11397"/>
    <x v="481"/>
    <x v="1"/>
    <x v="0"/>
    <s v="Laptops &amp; Computers"/>
    <x v="9"/>
    <x v="99"/>
    <n v="1733.48"/>
    <n v="3"/>
    <s v="CUST-1064"/>
    <s v="New"/>
    <x v="1"/>
    <s v="Sale"/>
  </r>
  <r>
    <s v="ORD-11398"/>
    <x v="481"/>
    <x v="2"/>
    <x v="2"/>
    <s v="Networking &amp; Security"/>
    <x v="7"/>
    <x v="93"/>
    <n v="423.74"/>
    <n v="2"/>
    <s v="CUST-2733"/>
    <s v="New"/>
    <x v="1"/>
    <s v="Sale"/>
  </r>
  <r>
    <s v="ORD-11399"/>
    <x v="482"/>
    <x v="2"/>
    <x v="0"/>
    <s v="Networking &amp; Security"/>
    <x v="7"/>
    <x v="86"/>
    <n v="211.87"/>
    <n v="1"/>
    <s v="CUST-1026"/>
    <s v="New"/>
    <x v="1"/>
    <s v="Sale"/>
  </r>
  <r>
    <s v="ORD-11400"/>
    <x v="483"/>
    <x v="4"/>
    <x v="0"/>
    <s v="Laptops &amp; Computers"/>
    <x v="9"/>
    <x v="70"/>
    <n v="577.83000000000004"/>
    <n v="1"/>
    <s v="CUST-2686"/>
    <s v="Existing"/>
    <x v="0"/>
    <s v="Sale"/>
  </r>
  <r>
    <s v="ORD-11401"/>
    <x v="484"/>
    <x v="3"/>
    <x v="2"/>
    <s v="Networking &amp; Security"/>
    <x v="7"/>
    <x v="93"/>
    <n v="423.74"/>
    <n v="2"/>
    <s v="CUST-2838"/>
    <s v="New"/>
    <x v="1"/>
    <s v="Sale"/>
  </r>
  <r>
    <s v="ORD-11402"/>
    <x v="484"/>
    <x v="5"/>
    <x v="0"/>
    <s v="Accessories &amp; Power"/>
    <x v="11"/>
    <x v="74"/>
    <n v="86.67"/>
    <n v="1"/>
    <s v="CUST-2502"/>
    <s v="New"/>
    <x v="1"/>
    <s v="Sale"/>
  </r>
  <r>
    <s v="ORD-11403"/>
    <x v="485"/>
    <x v="2"/>
    <x v="1"/>
    <s v="Accessories &amp; Power"/>
    <x v="2"/>
    <x v="119"/>
    <n v="-19.260000000000002"/>
    <n v="-1"/>
    <s v="CUST-1267"/>
    <s v="Existing"/>
    <x v="0"/>
    <s v="Return"/>
  </r>
  <r>
    <s v="ORD-11404"/>
    <x v="485"/>
    <x v="3"/>
    <x v="0"/>
    <s v="Networking &amp; Security"/>
    <x v="10"/>
    <x v="69"/>
    <n v="105.93"/>
    <n v="1"/>
    <s v="CUST-1596"/>
    <s v="New"/>
    <x v="1"/>
    <s v="Sale"/>
  </r>
  <r>
    <s v="ORD-11405"/>
    <x v="485"/>
    <x v="1"/>
    <x v="2"/>
    <s v="Networking &amp; Security"/>
    <x v="10"/>
    <x v="75"/>
    <n v="317.8"/>
    <n v="3"/>
    <s v="CUST-2011"/>
    <s v="New"/>
    <x v="1"/>
    <s v="Sale"/>
  </r>
  <r>
    <s v="ORD-11406"/>
    <x v="485"/>
    <x v="1"/>
    <x v="0"/>
    <s v="Laptops &amp; Computers"/>
    <x v="0"/>
    <x v="79"/>
    <n v="866.74"/>
    <n v="2"/>
    <s v="CUST-1065"/>
    <s v="New"/>
    <x v="1"/>
    <s v="Sale"/>
  </r>
  <r>
    <s v="ORD-11407"/>
    <x v="486"/>
    <x v="0"/>
    <x v="2"/>
    <s v="Accessories &amp; Power"/>
    <x v="3"/>
    <x v="120"/>
    <n v="312.99"/>
    <n v="5"/>
    <s v="CUST-1132"/>
    <s v="New"/>
    <x v="1"/>
    <s v="Sale"/>
  </r>
  <r>
    <s v="ORD-11408"/>
    <x v="486"/>
    <x v="3"/>
    <x v="0"/>
    <s v="Laptops &amp; Computers"/>
    <x v="9"/>
    <x v="121"/>
    <n v="-1155.6500000000001"/>
    <n v="-2"/>
    <s v="CUST-2928"/>
    <s v="New"/>
    <x v="1"/>
    <s v="Return"/>
  </r>
  <r>
    <s v="ORD-11409"/>
    <x v="487"/>
    <x v="3"/>
    <x v="0"/>
    <s v="Accessories &amp; Power"/>
    <x v="3"/>
    <x v="67"/>
    <n v="187.79"/>
    <n v="3"/>
    <s v="CUST-1915"/>
    <s v="New"/>
    <x v="1"/>
    <s v="Sale"/>
  </r>
  <r>
    <s v="ORD-11410"/>
    <x v="487"/>
    <x v="0"/>
    <x v="1"/>
    <s v="Networking &amp; Security"/>
    <x v="7"/>
    <x v="86"/>
    <n v="211.87"/>
    <n v="1"/>
    <s v="CUST-2389"/>
    <s v="New"/>
    <x v="1"/>
    <s v="Sale"/>
  </r>
  <r>
    <s v="ORD-11411"/>
    <x v="488"/>
    <x v="5"/>
    <x v="0"/>
    <s v="Networking &amp; Security"/>
    <x v="7"/>
    <x v="93"/>
    <n v="423.74"/>
    <n v="2"/>
    <s v="CUST-1081"/>
    <s v="New"/>
    <x v="1"/>
    <s v="Sale"/>
  </r>
  <r>
    <s v="ORD-11412"/>
    <x v="488"/>
    <x v="1"/>
    <x v="1"/>
    <s v="Accessories &amp; Power"/>
    <x v="3"/>
    <x v="78"/>
    <n v="62.6"/>
    <n v="1"/>
    <s v="CUST-2916"/>
    <s v="New"/>
    <x v="1"/>
    <s v="Sale"/>
  </r>
  <r>
    <s v="ORD-11413"/>
    <x v="488"/>
    <x v="0"/>
    <x v="1"/>
    <s v="Laptops &amp; Computers"/>
    <x v="0"/>
    <x v="79"/>
    <n v="866.74"/>
    <n v="2"/>
    <s v="CUST-2854"/>
    <s v="Existing"/>
    <x v="0"/>
    <s v="Sale"/>
  </r>
  <r>
    <s v="ORD-11414"/>
    <x v="489"/>
    <x v="4"/>
    <x v="0"/>
    <s v="Smart Home &amp; IoT"/>
    <x v="4"/>
    <x v="68"/>
    <n v="52.97"/>
    <n v="1"/>
    <s v="CUST-1981"/>
    <s v="Existing"/>
    <x v="0"/>
    <s v="Sale"/>
  </r>
  <r>
    <s v="ORD-11415"/>
    <x v="489"/>
    <x v="0"/>
    <x v="0"/>
    <s v="Networking &amp; Security"/>
    <x v="5"/>
    <x v="74"/>
    <n v="86.67"/>
    <n v="1"/>
    <s v="CUST-2351"/>
    <s v="New"/>
    <x v="1"/>
    <s v="Sale"/>
  </r>
  <r>
    <s v="ORD-11416"/>
    <x v="489"/>
    <x v="0"/>
    <x v="2"/>
    <s v="Laptops &amp; Computers"/>
    <x v="9"/>
    <x v="99"/>
    <n v="1733.48"/>
    <n v="3"/>
    <s v="CUST-2121"/>
    <s v="New"/>
    <x v="1"/>
    <s v="Sale"/>
  </r>
  <r>
    <s v="ORD-11417"/>
    <x v="490"/>
    <x v="5"/>
    <x v="1"/>
    <s v="Networking &amp; Security"/>
    <x v="7"/>
    <x v="91"/>
    <n v="635.61"/>
    <n v="3"/>
    <s v="CUST-1584"/>
    <s v="Existing"/>
    <x v="0"/>
    <s v="Sale"/>
  </r>
  <r>
    <s v="ORD-11418"/>
    <x v="490"/>
    <x v="2"/>
    <x v="1"/>
    <s v="Smart Home &amp; IoT"/>
    <x v="8"/>
    <x v="73"/>
    <n v="125.2"/>
    <n v="1"/>
    <s v="CUST-1326"/>
    <s v="New"/>
    <x v="1"/>
    <s v="Sale"/>
  </r>
  <r>
    <s v="ORD-11419"/>
    <x v="490"/>
    <x v="0"/>
    <x v="2"/>
    <s v="Smart Home &amp; IoT"/>
    <x v="1"/>
    <x v="76"/>
    <n v="134.83000000000001"/>
    <n v="2"/>
    <s v="CUST-1541"/>
    <s v="New"/>
    <x v="1"/>
    <s v="Sale"/>
  </r>
  <r>
    <s v="ORD-11420"/>
    <x v="490"/>
    <x v="2"/>
    <x v="2"/>
    <s v="Laptops &amp; Computers"/>
    <x v="6"/>
    <x v="77"/>
    <n v="818.59"/>
    <n v="1"/>
    <s v="CUST-2148"/>
    <s v="New"/>
    <x v="1"/>
    <s v="Sale"/>
  </r>
  <r>
    <s v="ORD-11421"/>
    <x v="490"/>
    <x v="5"/>
    <x v="0"/>
    <s v="Accessories &amp; Power"/>
    <x v="3"/>
    <x v="78"/>
    <n v="62.6"/>
    <n v="1"/>
    <s v="CUST-1209"/>
    <s v="New"/>
    <x v="1"/>
    <s v="Sale"/>
  </r>
  <r>
    <s v="ORD-11422"/>
    <x v="490"/>
    <x v="0"/>
    <x v="1"/>
    <s v="Laptops &amp; Computers"/>
    <x v="0"/>
    <x v="79"/>
    <n v="866.74"/>
    <n v="2"/>
    <s v="CUST-2807"/>
    <s v="Existing"/>
    <x v="0"/>
    <s v="Sale"/>
  </r>
  <r>
    <s v="ORD-11423"/>
    <x v="490"/>
    <x v="0"/>
    <x v="1"/>
    <s v="Laptops &amp; Computers"/>
    <x v="6"/>
    <x v="77"/>
    <n v="818.59"/>
    <n v="1"/>
    <s v="CUST-2748"/>
    <s v="New"/>
    <x v="1"/>
    <s v="Sale"/>
  </r>
  <r>
    <s v="ORD-11424"/>
    <x v="491"/>
    <x v="5"/>
    <x v="0"/>
    <s v="Laptops &amp; Computers"/>
    <x v="6"/>
    <x v="80"/>
    <n v="2455.7600000000002"/>
    <n v="3"/>
    <s v="CUST-1132"/>
    <s v="New"/>
    <x v="1"/>
    <s v="Sale"/>
  </r>
  <r>
    <s v="ORD-11425"/>
    <x v="491"/>
    <x v="0"/>
    <x v="0"/>
    <s v="Laptops &amp; Computers"/>
    <x v="9"/>
    <x v="70"/>
    <n v="577.83000000000004"/>
    <n v="1"/>
    <s v="CUST-2526"/>
    <s v="New"/>
    <x v="1"/>
    <s v="Sale"/>
  </r>
  <r>
    <s v="ORD-11426"/>
    <x v="491"/>
    <x v="4"/>
    <x v="0"/>
    <s v="Laptops &amp; Computers"/>
    <x v="0"/>
    <x v="79"/>
    <n v="866.74"/>
    <n v="2"/>
    <s v="CUST-1156"/>
    <s v="Existing"/>
    <x v="0"/>
    <s v="Sale"/>
  </r>
  <r>
    <s v="ORD-11427"/>
    <x v="492"/>
    <x v="3"/>
    <x v="0"/>
    <s v="Accessories &amp; Power"/>
    <x v="11"/>
    <x v="88"/>
    <n v="173.35"/>
    <n v="2"/>
    <s v="CUST-2582"/>
    <s v="New"/>
    <x v="1"/>
    <s v="Sale"/>
  </r>
  <r>
    <s v="ORD-11428"/>
    <x v="492"/>
    <x v="4"/>
    <x v="1"/>
    <s v="Networking &amp; Security"/>
    <x v="10"/>
    <x v="69"/>
    <n v="105.93"/>
    <n v="1"/>
    <s v="CUST-2892"/>
    <s v="New"/>
    <x v="1"/>
    <s v="Sale"/>
  </r>
  <r>
    <s v="ORD-11429"/>
    <x v="492"/>
    <x v="0"/>
    <x v="0"/>
    <s v="Laptops &amp; Computers"/>
    <x v="9"/>
    <x v="70"/>
    <n v="577.83000000000004"/>
    <n v="1"/>
    <s v="CUST-1874"/>
    <s v="New"/>
    <x v="1"/>
    <s v="Sale"/>
  </r>
  <r>
    <s v="ORD-11430"/>
    <x v="492"/>
    <x v="4"/>
    <x v="0"/>
    <s v="Laptops &amp; Computers"/>
    <x v="6"/>
    <x v="82"/>
    <n v="1637.17"/>
    <n v="2"/>
    <s v="CUST-1381"/>
    <s v="Existing"/>
    <x v="0"/>
    <s v="Sale"/>
  </r>
  <r>
    <s v="ORD-11431"/>
    <x v="493"/>
    <x v="1"/>
    <x v="0"/>
    <s v="Smart Home &amp; IoT"/>
    <x v="1"/>
    <x v="76"/>
    <n v="134.83000000000001"/>
    <n v="2"/>
    <s v="CUST-2045"/>
    <s v="New"/>
    <x v="1"/>
    <s v="Sale"/>
  </r>
  <r>
    <s v="ORD-11432"/>
    <x v="493"/>
    <x v="1"/>
    <x v="1"/>
    <s v="Accessories &amp; Power"/>
    <x v="2"/>
    <x v="71"/>
    <n v="19.260000000000002"/>
    <n v="1"/>
    <s v="CUST-1973"/>
    <s v="New"/>
    <x v="1"/>
    <s v="Sale"/>
  </r>
  <r>
    <s v="ORD-11433"/>
    <x v="494"/>
    <x v="0"/>
    <x v="2"/>
    <s v="Laptops &amp; Computers"/>
    <x v="9"/>
    <x v="70"/>
    <n v="577.83000000000004"/>
    <n v="1"/>
    <s v="CUST-2976"/>
    <s v="Existing"/>
    <x v="0"/>
    <s v="Sale"/>
  </r>
  <r>
    <s v="ORD-11434"/>
    <x v="494"/>
    <x v="0"/>
    <x v="0"/>
    <s v="Laptops &amp; Computers"/>
    <x v="0"/>
    <x v="83"/>
    <n v="433.37"/>
    <n v="1"/>
    <s v="CUST-1594"/>
    <s v="New"/>
    <x v="1"/>
    <s v="Sale"/>
  </r>
  <r>
    <s v="ORD-11435"/>
    <x v="494"/>
    <x v="2"/>
    <x v="0"/>
    <s v="Laptops &amp; Computers"/>
    <x v="6"/>
    <x v="77"/>
    <n v="818.59"/>
    <n v="1"/>
    <s v="CUST-2442"/>
    <s v="New"/>
    <x v="1"/>
    <s v="Sale"/>
  </r>
  <r>
    <s v="ORD-11436"/>
    <x v="495"/>
    <x v="1"/>
    <x v="1"/>
    <s v="Laptops &amp; Computers"/>
    <x v="6"/>
    <x v="77"/>
    <n v="818.59"/>
    <n v="1"/>
    <s v="CUST-1471"/>
    <s v="Existing"/>
    <x v="0"/>
    <s v="Sale"/>
  </r>
  <r>
    <s v="ORD-11437"/>
    <x v="496"/>
    <x v="0"/>
    <x v="1"/>
    <s v="Laptops &amp; Computers"/>
    <x v="6"/>
    <x v="77"/>
    <n v="818.59"/>
    <n v="1"/>
    <s v="CUST-1233"/>
    <s v="New"/>
    <x v="1"/>
    <s v="Sale"/>
  </r>
  <r>
    <s v="ORD-11438"/>
    <x v="496"/>
    <x v="5"/>
    <x v="0"/>
    <s v="Networking &amp; Security"/>
    <x v="7"/>
    <x v="93"/>
    <n v="423.74"/>
    <n v="2"/>
    <s v="CUST-1571"/>
    <s v="Existing"/>
    <x v="0"/>
    <s v="Sale"/>
  </r>
  <r>
    <s v="ORD-11439"/>
    <x v="496"/>
    <x v="0"/>
    <x v="0"/>
    <s v="Laptops &amp; Computers"/>
    <x v="0"/>
    <x v="79"/>
    <n v="866.74"/>
    <n v="2"/>
    <s v="CUST-2477"/>
    <s v="New"/>
    <x v="1"/>
    <s v="Sale"/>
  </r>
  <r>
    <s v="ORD-11440"/>
    <x v="497"/>
    <x v="5"/>
    <x v="0"/>
    <s v="Networking &amp; Security"/>
    <x v="7"/>
    <x v="91"/>
    <n v="635.61"/>
    <n v="3"/>
    <s v="CUST-2723"/>
    <s v="Existing"/>
    <x v="0"/>
    <s v="Sale"/>
  </r>
  <r>
    <s v="ORD-11441"/>
    <x v="497"/>
    <x v="1"/>
    <x v="0"/>
    <s v="Laptops &amp; Computers"/>
    <x v="6"/>
    <x v="82"/>
    <n v="1637.17"/>
    <n v="2"/>
    <s v="CUST-2593"/>
    <s v="New"/>
    <x v="1"/>
    <s v="Sale"/>
  </r>
  <r>
    <s v="ORD-11442"/>
    <x v="497"/>
    <x v="3"/>
    <x v="2"/>
    <s v="Accessories &amp; Power"/>
    <x v="2"/>
    <x v="117"/>
    <n v="57.78"/>
    <n v="3"/>
    <s v="CUST-1770"/>
    <s v="New"/>
    <x v="1"/>
    <s v="Sale"/>
  </r>
  <r>
    <s v="ORD-11443"/>
    <x v="497"/>
    <x v="3"/>
    <x v="1"/>
    <s v="Accessories &amp; Power"/>
    <x v="3"/>
    <x v="78"/>
    <n v="62.6"/>
    <n v="1"/>
    <s v="CUST-2185"/>
    <s v="New"/>
    <x v="1"/>
    <s v="Sale"/>
  </r>
  <r>
    <s v="ORD-11444"/>
    <x v="498"/>
    <x v="1"/>
    <x v="0"/>
    <s v="Smart Home &amp; IoT"/>
    <x v="1"/>
    <x v="76"/>
    <n v="134.83000000000001"/>
    <n v="2"/>
    <s v="CUST-1300"/>
    <s v="New"/>
    <x v="1"/>
    <s v="Sale"/>
  </r>
  <r>
    <s v="ORD-11445"/>
    <x v="498"/>
    <x v="1"/>
    <x v="1"/>
    <s v="Networking &amp; Security"/>
    <x v="10"/>
    <x v="122"/>
    <n v="423.74"/>
    <n v="4"/>
    <s v="CUST-1305"/>
    <s v="New"/>
    <x v="1"/>
    <s v="Sale"/>
  </r>
  <r>
    <s v="ORD-11446"/>
    <x v="499"/>
    <x v="1"/>
    <x v="0"/>
    <s v="Networking &amp; Security"/>
    <x v="7"/>
    <x v="93"/>
    <n v="423.74"/>
    <n v="2"/>
    <s v="CUST-1001"/>
    <s v="New"/>
    <x v="1"/>
    <s v="Sale"/>
  </r>
  <r>
    <s v="ORD-11447"/>
    <x v="499"/>
    <x v="3"/>
    <x v="2"/>
    <s v="Networking &amp; Security"/>
    <x v="10"/>
    <x v="69"/>
    <n v="105.93"/>
    <n v="1"/>
    <s v="CUST-1270"/>
    <s v="New"/>
    <x v="1"/>
    <s v="Sale"/>
  </r>
  <r>
    <s v="ORD-11448"/>
    <x v="500"/>
    <x v="1"/>
    <x v="2"/>
    <s v="Smart Home &amp; IoT"/>
    <x v="4"/>
    <x v="69"/>
    <n v="105.93"/>
    <n v="2"/>
    <s v="CUST-1420"/>
    <s v="New"/>
    <x v="1"/>
    <s v="Sale"/>
  </r>
  <r>
    <s v="ORD-11449"/>
    <x v="500"/>
    <x v="0"/>
    <x v="0"/>
    <s v="Networking &amp; Security"/>
    <x v="10"/>
    <x v="75"/>
    <n v="317.8"/>
    <n v="3"/>
    <s v="CUST-2166"/>
    <s v="Existing"/>
    <x v="0"/>
    <s v="Sale"/>
  </r>
  <r>
    <s v="ORD-11450"/>
    <x v="501"/>
    <x v="0"/>
    <x v="0"/>
    <s v="Accessories &amp; Power"/>
    <x v="3"/>
    <x v="73"/>
    <n v="125.2"/>
    <n v="2"/>
    <s v="CUST-1699"/>
    <s v="New"/>
    <x v="1"/>
    <s v="Sale"/>
  </r>
  <r>
    <s v="ORD-11451"/>
    <x v="501"/>
    <x v="1"/>
    <x v="2"/>
    <s v="Accessories &amp; Power"/>
    <x v="11"/>
    <x v="74"/>
    <n v="86.67"/>
    <n v="1"/>
    <s v="CUST-1863"/>
    <s v="New"/>
    <x v="1"/>
    <s v="Sale"/>
  </r>
  <r>
    <s v="ORD-11452"/>
    <x v="501"/>
    <x v="1"/>
    <x v="0"/>
    <s v="Networking &amp; Security"/>
    <x v="5"/>
    <x v="88"/>
    <n v="173.35"/>
    <n v="2"/>
    <s v="CUST-2876"/>
    <s v="New"/>
    <x v="1"/>
    <s v="Sale"/>
  </r>
  <r>
    <s v="ORD-11453"/>
    <x v="502"/>
    <x v="3"/>
    <x v="0"/>
    <s v="Smart Home &amp; IoT"/>
    <x v="1"/>
    <x v="111"/>
    <n v="337.06"/>
    <n v="5"/>
    <s v="CUST-1959"/>
    <s v="New"/>
    <x v="1"/>
    <s v="Sale"/>
  </r>
  <r>
    <s v="ORD-11454"/>
    <x v="502"/>
    <x v="0"/>
    <x v="2"/>
    <s v="Laptops &amp; Computers"/>
    <x v="6"/>
    <x v="77"/>
    <n v="818.59"/>
    <n v="1"/>
    <s v="CUST-1993"/>
    <s v="New"/>
    <x v="1"/>
    <s v="Sale"/>
  </r>
  <r>
    <s v="ORD-11455"/>
    <x v="502"/>
    <x v="1"/>
    <x v="1"/>
    <s v="Laptops &amp; Computers"/>
    <x v="6"/>
    <x v="82"/>
    <n v="1637.17"/>
    <n v="2"/>
    <s v="CUST-2759"/>
    <s v="New"/>
    <x v="1"/>
    <s v="Sale"/>
  </r>
  <r>
    <s v="ORD-11456"/>
    <x v="502"/>
    <x v="3"/>
    <x v="0"/>
    <s v="Networking &amp; Security"/>
    <x v="10"/>
    <x v="109"/>
    <n v="-105.93"/>
    <n v="-1"/>
    <s v="CUST-2009"/>
    <s v="New"/>
    <x v="1"/>
    <s v="Return"/>
  </r>
  <r>
    <s v="ORD-11457"/>
    <x v="502"/>
    <x v="3"/>
    <x v="1"/>
    <s v="Laptops &amp; Computers"/>
    <x v="6"/>
    <x v="118"/>
    <n v="-1637.17"/>
    <n v="-2"/>
    <s v="CUST-1878"/>
    <s v="New"/>
    <x v="1"/>
    <s v="Return"/>
  </r>
  <r>
    <s v="ORD-11458"/>
    <x v="502"/>
    <x v="1"/>
    <x v="0"/>
    <s v="Accessories &amp; Power"/>
    <x v="2"/>
    <x v="68"/>
    <n v="38.520000000000003"/>
    <n v="2"/>
    <s v="CUST-1691"/>
    <s v="New"/>
    <x v="1"/>
    <s v="Sale"/>
  </r>
  <r>
    <s v="ORD-11459"/>
    <x v="503"/>
    <x v="1"/>
    <x v="2"/>
    <s v="Laptops &amp; Computers"/>
    <x v="9"/>
    <x v="70"/>
    <n v="577.83000000000004"/>
    <n v="1"/>
    <s v="CUST-2558"/>
    <s v="New"/>
    <x v="1"/>
    <s v="Sale"/>
  </r>
  <r>
    <s v="ORD-11460"/>
    <x v="503"/>
    <x v="1"/>
    <x v="2"/>
    <s v="Networking &amp; Security"/>
    <x v="5"/>
    <x v="74"/>
    <n v="86.67"/>
    <n v="1"/>
    <s v="CUST-1866"/>
    <s v="New"/>
    <x v="1"/>
    <s v="Sale"/>
  </r>
  <r>
    <s v="ORD-11461"/>
    <x v="503"/>
    <x v="4"/>
    <x v="1"/>
    <s v="Smart Home &amp; IoT"/>
    <x v="8"/>
    <x v="89"/>
    <n v="250.39"/>
    <n v="2"/>
    <s v="CUST-2060"/>
    <s v="New"/>
    <x v="1"/>
    <s v="Sale"/>
  </r>
  <r>
    <s v="ORD-11462"/>
    <x v="504"/>
    <x v="0"/>
    <x v="0"/>
    <s v="Smart Home &amp; IoT"/>
    <x v="4"/>
    <x v="68"/>
    <n v="52.97"/>
    <n v="1"/>
    <s v="CUST-1106"/>
    <s v="New"/>
    <x v="1"/>
    <s v="Sale"/>
  </r>
  <r>
    <s v="ORD-11463"/>
    <x v="504"/>
    <x v="4"/>
    <x v="2"/>
    <s v="Networking &amp; Security"/>
    <x v="5"/>
    <x v="74"/>
    <n v="86.67"/>
    <n v="1"/>
    <s v="CUST-2320"/>
    <s v="New"/>
    <x v="1"/>
    <s v="Sale"/>
  </r>
  <r>
    <s v="ORD-11464"/>
    <x v="505"/>
    <x v="2"/>
    <x v="2"/>
    <s v="Accessories &amp; Power"/>
    <x v="11"/>
    <x v="98"/>
    <n v="-173.35"/>
    <n v="-2"/>
    <s v="CUST-2764"/>
    <s v="New"/>
    <x v="1"/>
    <s v="Return"/>
  </r>
  <r>
    <s v="ORD-11465"/>
    <x v="505"/>
    <x v="5"/>
    <x v="0"/>
    <s v="Smart Home &amp; IoT"/>
    <x v="4"/>
    <x v="68"/>
    <n v="52.97"/>
    <n v="1"/>
    <s v="CUST-2848"/>
    <s v="Existing"/>
    <x v="0"/>
    <s v="Sale"/>
  </r>
  <r>
    <s v="ORD-11466"/>
    <x v="506"/>
    <x v="0"/>
    <x v="0"/>
    <s v="Networking &amp; Security"/>
    <x v="5"/>
    <x v="74"/>
    <n v="86.67"/>
    <n v="1"/>
    <s v="CUST-2120"/>
    <s v="New"/>
    <x v="1"/>
    <s v="Sale"/>
  </r>
  <r>
    <s v="ORD-11467"/>
    <x v="506"/>
    <x v="1"/>
    <x v="0"/>
    <s v="Laptops &amp; Computers"/>
    <x v="9"/>
    <x v="99"/>
    <n v="1733.48"/>
    <n v="3"/>
    <s v="CUST-1280"/>
    <s v="New"/>
    <x v="1"/>
    <s v="Sale"/>
  </r>
  <r>
    <s v="ORD-11468"/>
    <x v="506"/>
    <x v="1"/>
    <x v="0"/>
    <s v="Networking &amp; Security"/>
    <x v="5"/>
    <x v="74"/>
    <n v="86.67"/>
    <n v="1"/>
    <s v="CUST-2133"/>
    <s v="New"/>
    <x v="1"/>
    <s v="Sale"/>
  </r>
  <r>
    <s v="ORD-11469"/>
    <x v="506"/>
    <x v="0"/>
    <x v="1"/>
    <s v="Accessories &amp; Power"/>
    <x v="2"/>
    <x v="71"/>
    <n v="19.260000000000002"/>
    <n v="1"/>
    <s v="CUST-1548"/>
    <s v="New"/>
    <x v="1"/>
    <s v="Sale"/>
  </r>
  <r>
    <s v="ORD-11470"/>
    <x v="507"/>
    <x v="2"/>
    <x v="0"/>
    <s v="Smart Home &amp; IoT"/>
    <x v="4"/>
    <x v="69"/>
    <n v="105.93"/>
    <n v="2"/>
    <s v="CUST-1551"/>
    <s v="New"/>
    <x v="1"/>
    <s v="Sale"/>
  </r>
  <r>
    <s v="ORD-11471"/>
    <x v="507"/>
    <x v="4"/>
    <x v="0"/>
    <s v="Accessories &amp; Power"/>
    <x v="3"/>
    <x v="73"/>
    <n v="125.2"/>
    <n v="2"/>
    <s v="CUST-2620"/>
    <s v="New"/>
    <x v="1"/>
    <s v="Sale"/>
  </r>
  <r>
    <s v="ORD-11472"/>
    <x v="508"/>
    <x v="5"/>
    <x v="2"/>
    <s v="Networking &amp; Security"/>
    <x v="5"/>
    <x v="84"/>
    <n v="260.02"/>
    <n v="3"/>
    <s v="CUST-2837"/>
    <s v="New"/>
    <x v="1"/>
    <s v="Sale"/>
  </r>
  <r>
    <s v="ORD-11473"/>
    <x v="508"/>
    <x v="2"/>
    <x v="0"/>
    <s v="Laptops &amp; Computers"/>
    <x v="9"/>
    <x v="99"/>
    <n v="1733.48"/>
    <n v="3"/>
    <s v="CUST-1187"/>
    <s v="New"/>
    <x v="1"/>
    <s v="Sale"/>
  </r>
  <r>
    <s v="ORD-11474"/>
    <x v="508"/>
    <x v="0"/>
    <x v="2"/>
    <s v="Laptops &amp; Computers"/>
    <x v="0"/>
    <x v="79"/>
    <n v="866.74"/>
    <n v="2"/>
    <s v="CUST-1751"/>
    <s v="New"/>
    <x v="1"/>
    <s v="Sale"/>
  </r>
  <r>
    <s v="ORD-11475"/>
    <x v="509"/>
    <x v="1"/>
    <x v="0"/>
    <s v="Networking &amp; Security"/>
    <x v="10"/>
    <x v="69"/>
    <n v="105.93"/>
    <n v="1"/>
    <s v="CUST-1869"/>
    <s v="Existing"/>
    <x v="0"/>
    <s v="Sale"/>
  </r>
  <r>
    <s v="ORD-11476"/>
    <x v="509"/>
    <x v="0"/>
    <x v="1"/>
    <s v="Smart Home &amp; IoT"/>
    <x v="4"/>
    <x v="68"/>
    <n v="52.97"/>
    <n v="1"/>
    <s v="CUST-2511"/>
    <s v="New"/>
    <x v="1"/>
    <s v="Sale"/>
  </r>
  <r>
    <s v="ORD-11477"/>
    <x v="509"/>
    <x v="5"/>
    <x v="1"/>
    <s v="Accessories &amp; Power"/>
    <x v="11"/>
    <x v="74"/>
    <n v="86.67"/>
    <n v="1"/>
    <s v="CUST-2377"/>
    <s v="New"/>
    <x v="1"/>
    <s v="Sale"/>
  </r>
  <r>
    <s v="ORD-11478"/>
    <x v="510"/>
    <x v="4"/>
    <x v="1"/>
    <s v="Laptops &amp; Computers"/>
    <x v="9"/>
    <x v="70"/>
    <n v="577.83000000000004"/>
    <n v="1"/>
    <s v="CUST-1018"/>
    <s v="Existing"/>
    <x v="0"/>
    <s v="Sale"/>
  </r>
  <r>
    <s v="ORD-11479"/>
    <x v="510"/>
    <x v="2"/>
    <x v="0"/>
    <s v="Networking &amp; Security"/>
    <x v="10"/>
    <x v="81"/>
    <n v="211.87"/>
    <n v="2"/>
    <s v="CUST-1858"/>
    <s v="New"/>
    <x v="1"/>
    <s v="Sale"/>
  </r>
  <r>
    <s v="ORD-11480"/>
    <x v="510"/>
    <x v="0"/>
    <x v="2"/>
    <s v="Networking &amp; Security"/>
    <x v="7"/>
    <x v="93"/>
    <n v="423.74"/>
    <n v="2"/>
    <s v="CUST-2416"/>
    <s v="New"/>
    <x v="1"/>
    <s v="Sale"/>
  </r>
  <r>
    <s v="ORD-11481"/>
    <x v="510"/>
    <x v="1"/>
    <x v="0"/>
    <s v="Networking &amp; Security"/>
    <x v="5"/>
    <x v="74"/>
    <n v="86.67"/>
    <n v="1"/>
    <s v="CUST-2860"/>
    <s v="New"/>
    <x v="1"/>
    <s v="Sale"/>
  </r>
  <r>
    <s v="ORD-11482"/>
    <x v="510"/>
    <x v="5"/>
    <x v="0"/>
    <s v="Laptops &amp; Computers"/>
    <x v="6"/>
    <x v="82"/>
    <n v="1637.17"/>
    <n v="2"/>
    <s v="CUST-2284"/>
    <s v="Existing"/>
    <x v="0"/>
    <s v="Sale"/>
  </r>
  <r>
    <s v="ORD-11483"/>
    <x v="510"/>
    <x v="1"/>
    <x v="0"/>
    <s v="Laptops &amp; Computers"/>
    <x v="9"/>
    <x v="70"/>
    <n v="577.83000000000004"/>
    <n v="1"/>
    <s v="CUST-1984"/>
    <s v="New"/>
    <x v="1"/>
    <s v="Sale"/>
  </r>
  <r>
    <s v="ORD-11484"/>
    <x v="511"/>
    <x v="3"/>
    <x v="2"/>
    <s v="Laptops &amp; Computers"/>
    <x v="6"/>
    <x v="77"/>
    <n v="818.59"/>
    <n v="1"/>
    <s v="CUST-1409"/>
    <s v="New"/>
    <x v="1"/>
    <s v="Sale"/>
  </r>
  <r>
    <s v="ORD-11485"/>
    <x v="512"/>
    <x v="3"/>
    <x v="0"/>
    <s v="Laptops &amp; Computers"/>
    <x v="0"/>
    <x v="79"/>
    <n v="866.74"/>
    <n v="2"/>
    <s v="CUST-2426"/>
    <s v="New"/>
    <x v="1"/>
    <s v="Sale"/>
  </r>
  <r>
    <s v="ORD-11486"/>
    <x v="513"/>
    <x v="5"/>
    <x v="2"/>
    <s v="Laptops &amp; Computers"/>
    <x v="6"/>
    <x v="77"/>
    <n v="818.59"/>
    <n v="1"/>
    <s v="CUST-2693"/>
    <s v="New"/>
    <x v="1"/>
    <s v="Sale"/>
  </r>
  <r>
    <s v="ORD-11487"/>
    <x v="513"/>
    <x v="1"/>
    <x v="0"/>
    <s v="Laptops &amp; Computers"/>
    <x v="9"/>
    <x v="70"/>
    <n v="577.83000000000004"/>
    <n v="1"/>
    <s v="CUST-1483"/>
    <s v="New"/>
    <x v="1"/>
    <s v="Sale"/>
  </r>
  <r>
    <s v="ORD-11488"/>
    <x v="513"/>
    <x v="0"/>
    <x v="0"/>
    <s v="Smart Home &amp; IoT"/>
    <x v="1"/>
    <x v="72"/>
    <n v="67.41"/>
    <n v="1"/>
    <s v="CUST-2327"/>
    <s v="New"/>
    <x v="1"/>
    <s v="Sale"/>
  </r>
  <r>
    <s v="ORD-11489"/>
    <x v="514"/>
    <x v="0"/>
    <x v="2"/>
    <s v="Networking &amp; Security"/>
    <x v="5"/>
    <x v="104"/>
    <n v="-86.67"/>
    <n v="-1"/>
    <s v="CUST-1623"/>
    <s v="New"/>
    <x v="1"/>
    <s v="Return"/>
  </r>
  <r>
    <s v="ORD-11490"/>
    <x v="514"/>
    <x v="1"/>
    <x v="0"/>
    <s v="Accessories &amp; Power"/>
    <x v="2"/>
    <x v="68"/>
    <n v="38.520000000000003"/>
    <n v="2"/>
    <s v="CUST-1655"/>
    <s v="New"/>
    <x v="1"/>
    <s v="Sale"/>
  </r>
  <r>
    <s v="ORD-11491"/>
    <x v="514"/>
    <x v="1"/>
    <x v="2"/>
    <s v="Laptops &amp; Computers"/>
    <x v="9"/>
    <x v="99"/>
    <n v="1733.48"/>
    <n v="3"/>
    <s v="CUST-1767"/>
    <s v="New"/>
    <x v="1"/>
    <s v="Sale"/>
  </r>
  <r>
    <s v="ORD-11492"/>
    <x v="514"/>
    <x v="2"/>
    <x v="0"/>
    <s v="Networking &amp; Security"/>
    <x v="5"/>
    <x v="74"/>
    <n v="86.67"/>
    <n v="1"/>
    <s v="CUST-2990"/>
    <s v="New"/>
    <x v="1"/>
    <s v="Sale"/>
  </r>
  <r>
    <s v="ORD-11493"/>
    <x v="515"/>
    <x v="2"/>
    <x v="1"/>
    <s v="Networking &amp; Security"/>
    <x v="5"/>
    <x v="74"/>
    <n v="86.67"/>
    <n v="1"/>
    <s v="CUST-1017"/>
    <s v="New"/>
    <x v="1"/>
    <s v="Sale"/>
  </r>
  <r>
    <s v="ORD-11494"/>
    <x v="515"/>
    <x v="0"/>
    <x v="2"/>
    <s v="Laptops &amp; Computers"/>
    <x v="0"/>
    <x v="79"/>
    <n v="866.74"/>
    <n v="2"/>
    <s v="CUST-1183"/>
    <s v="New"/>
    <x v="1"/>
    <s v="Sale"/>
  </r>
  <r>
    <s v="ORD-11495"/>
    <x v="515"/>
    <x v="1"/>
    <x v="0"/>
    <s v="Accessories &amp; Power"/>
    <x v="3"/>
    <x v="67"/>
    <n v="187.79"/>
    <n v="3"/>
    <s v="CUST-1404"/>
    <s v="New"/>
    <x v="1"/>
    <s v="Sale"/>
  </r>
  <r>
    <s v="ORD-11496"/>
    <x v="515"/>
    <x v="0"/>
    <x v="0"/>
    <s v="Laptops &amp; Computers"/>
    <x v="6"/>
    <x v="77"/>
    <n v="818.59"/>
    <n v="1"/>
    <s v="CUST-1798"/>
    <s v="New"/>
    <x v="1"/>
    <s v="Sale"/>
  </r>
  <r>
    <s v="ORD-11497"/>
    <x v="516"/>
    <x v="0"/>
    <x v="2"/>
    <s v="Accessories &amp; Power"/>
    <x v="3"/>
    <x v="78"/>
    <n v="62.6"/>
    <n v="1"/>
    <s v="CUST-2920"/>
    <s v="Existing"/>
    <x v="0"/>
    <s v="Sale"/>
  </r>
  <r>
    <s v="ORD-11498"/>
    <x v="516"/>
    <x v="3"/>
    <x v="1"/>
    <s v="Accessories &amp; Power"/>
    <x v="3"/>
    <x v="73"/>
    <n v="125.2"/>
    <n v="2"/>
    <s v="CUST-2154"/>
    <s v="New"/>
    <x v="1"/>
    <s v="Sale"/>
  </r>
  <r>
    <s v="ORD-11499"/>
    <x v="516"/>
    <x v="0"/>
    <x v="0"/>
    <s v="Networking &amp; Security"/>
    <x v="7"/>
    <x v="93"/>
    <n v="423.74"/>
    <n v="2"/>
    <s v="CUST-1478"/>
    <s v="New"/>
    <x v="1"/>
    <s v="Sale"/>
  </r>
  <r>
    <s v="ORD-11500"/>
    <x v="516"/>
    <x v="1"/>
    <x v="0"/>
    <s v="Networking &amp; Security"/>
    <x v="5"/>
    <x v="74"/>
    <n v="86.67"/>
    <n v="1"/>
    <s v="CUST-2816"/>
    <s v="New"/>
    <x v="1"/>
    <s v="Sale"/>
  </r>
  <r>
    <s v="ORD-11501"/>
    <x v="517"/>
    <x v="0"/>
    <x v="1"/>
    <s v="Smart Home &amp; IoT"/>
    <x v="1"/>
    <x v="76"/>
    <n v="134.83000000000001"/>
    <n v="2"/>
    <s v="CUST-2780"/>
    <s v="Existing"/>
    <x v="0"/>
    <s v="Sale"/>
  </r>
  <r>
    <s v="ORD-11502"/>
    <x v="517"/>
    <x v="3"/>
    <x v="2"/>
    <s v="Networking &amp; Security"/>
    <x v="7"/>
    <x v="86"/>
    <n v="211.87"/>
    <n v="1"/>
    <s v="CUST-1007"/>
    <s v="New"/>
    <x v="1"/>
    <s v="Sale"/>
  </r>
  <r>
    <s v="ORD-11503"/>
    <x v="517"/>
    <x v="5"/>
    <x v="0"/>
    <s v="Smart Home &amp; IoT"/>
    <x v="1"/>
    <x v="72"/>
    <n v="67.41"/>
    <n v="1"/>
    <s v="CUST-1704"/>
    <s v="New"/>
    <x v="1"/>
    <s v="Sale"/>
  </r>
  <r>
    <s v="ORD-11504"/>
    <x v="518"/>
    <x v="0"/>
    <x v="0"/>
    <s v="Laptops &amp; Computers"/>
    <x v="0"/>
    <x v="83"/>
    <n v="433.37"/>
    <n v="1"/>
    <s v="CUST-2341"/>
    <s v="Existing"/>
    <x v="0"/>
    <s v="Sale"/>
  </r>
  <r>
    <s v="ORD-11505"/>
    <x v="518"/>
    <x v="5"/>
    <x v="0"/>
    <s v="Laptops &amp; Computers"/>
    <x v="0"/>
    <x v="97"/>
    <n v="1300.1099999999999"/>
    <n v="3"/>
    <s v="CUST-2414"/>
    <s v="New"/>
    <x v="1"/>
    <s v="Sale"/>
  </r>
  <r>
    <s v="ORD-11506"/>
    <x v="518"/>
    <x v="2"/>
    <x v="2"/>
    <s v="Networking &amp; Security"/>
    <x v="7"/>
    <x v="123"/>
    <n v="-211.87"/>
    <n v="-1"/>
    <s v="CUST-2542"/>
    <s v="Existing"/>
    <x v="0"/>
    <s v="Return"/>
  </r>
  <r>
    <s v="ORD-11507"/>
    <x v="518"/>
    <x v="4"/>
    <x v="0"/>
    <s v="Networking &amp; Security"/>
    <x v="7"/>
    <x v="123"/>
    <n v="-211.87"/>
    <n v="-1"/>
    <s v="CUST-2159"/>
    <s v="Existing"/>
    <x v="0"/>
    <s v="Return"/>
  </r>
  <r>
    <s v="ORD-11508"/>
    <x v="519"/>
    <x v="0"/>
    <x v="1"/>
    <s v="Accessories &amp; Power"/>
    <x v="11"/>
    <x v="74"/>
    <n v="86.67"/>
    <n v="1"/>
    <s v="CUST-1530"/>
    <s v="New"/>
    <x v="1"/>
    <s v="Sale"/>
  </r>
  <r>
    <s v="ORD-11509"/>
    <x v="519"/>
    <x v="3"/>
    <x v="0"/>
    <s v="Laptops &amp; Computers"/>
    <x v="6"/>
    <x v="80"/>
    <n v="2455.7600000000002"/>
    <n v="3"/>
    <s v="CUST-1912"/>
    <s v="New"/>
    <x v="1"/>
    <s v="Sale"/>
  </r>
  <r>
    <s v="ORD-11510"/>
    <x v="519"/>
    <x v="4"/>
    <x v="0"/>
    <s v="Accessories &amp; Power"/>
    <x v="2"/>
    <x v="71"/>
    <n v="19.260000000000002"/>
    <n v="1"/>
    <s v="CUST-2674"/>
    <s v="New"/>
    <x v="1"/>
    <s v="Sale"/>
  </r>
  <r>
    <s v="ORD-11511"/>
    <x v="519"/>
    <x v="4"/>
    <x v="2"/>
    <s v="Laptops &amp; Computers"/>
    <x v="9"/>
    <x v="70"/>
    <n v="577.83000000000004"/>
    <n v="1"/>
    <s v="CUST-2390"/>
    <s v="New"/>
    <x v="1"/>
    <s v="Sale"/>
  </r>
  <r>
    <s v="ORD-11512"/>
    <x v="519"/>
    <x v="5"/>
    <x v="1"/>
    <s v="Networking &amp; Security"/>
    <x v="10"/>
    <x v="69"/>
    <n v="105.93"/>
    <n v="1"/>
    <s v="CUST-2512"/>
    <s v="New"/>
    <x v="1"/>
    <s v="Sale"/>
  </r>
  <r>
    <s v="ORD-11513"/>
    <x v="520"/>
    <x v="5"/>
    <x v="1"/>
    <s v="Networking &amp; Security"/>
    <x v="7"/>
    <x v="93"/>
    <n v="423.74"/>
    <n v="2"/>
    <s v="CUST-1688"/>
    <s v="New"/>
    <x v="1"/>
    <s v="Sale"/>
  </r>
  <r>
    <s v="ORD-11514"/>
    <x v="520"/>
    <x v="1"/>
    <x v="0"/>
    <s v="Networking &amp; Security"/>
    <x v="7"/>
    <x v="86"/>
    <n v="211.87"/>
    <n v="1"/>
    <s v="CUST-2034"/>
    <s v="New"/>
    <x v="1"/>
    <s v="Sale"/>
  </r>
  <r>
    <s v="ORD-11515"/>
    <x v="521"/>
    <x v="2"/>
    <x v="2"/>
    <s v="Laptops &amp; Computers"/>
    <x v="9"/>
    <x v="70"/>
    <n v="577.83000000000004"/>
    <n v="1"/>
    <s v="CUST-1552"/>
    <s v="New"/>
    <x v="1"/>
    <s v="Sale"/>
  </r>
  <r>
    <s v="ORD-11516"/>
    <x v="521"/>
    <x v="5"/>
    <x v="2"/>
    <s v="Networking &amp; Security"/>
    <x v="10"/>
    <x v="69"/>
    <n v="105.93"/>
    <n v="1"/>
    <s v="CUST-1445"/>
    <s v="Existing"/>
    <x v="0"/>
    <s v="Sale"/>
  </r>
  <r>
    <s v="ORD-11517"/>
    <x v="521"/>
    <x v="2"/>
    <x v="0"/>
    <s v="Accessories &amp; Power"/>
    <x v="3"/>
    <x v="67"/>
    <n v="187.79"/>
    <n v="3"/>
    <s v="CUST-2137"/>
    <s v="Existing"/>
    <x v="0"/>
    <s v="Sale"/>
  </r>
  <r>
    <s v="ORD-11518"/>
    <x v="522"/>
    <x v="1"/>
    <x v="0"/>
    <s v="Networking &amp; Security"/>
    <x v="7"/>
    <x v="86"/>
    <n v="211.87"/>
    <n v="1"/>
    <s v="CUST-2715"/>
    <s v="New"/>
    <x v="1"/>
    <s v="Sale"/>
  </r>
  <r>
    <s v="ORD-11519"/>
    <x v="522"/>
    <x v="2"/>
    <x v="0"/>
    <s v="Networking &amp; Security"/>
    <x v="7"/>
    <x v="93"/>
    <n v="423.74"/>
    <n v="2"/>
    <s v="CUST-1705"/>
    <s v="New"/>
    <x v="1"/>
    <s v="Sale"/>
  </r>
  <r>
    <s v="ORD-11520"/>
    <x v="522"/>
    <x v="3"/>
    <x v="0"/>
    <s v="Accessories &amp; Power"/>
    <x v="11"/>
    <x v="84"/>
    <n v="260.02"/>
    <n v="3"/>
    <s v="CUST-1195"/>
    <s v="New"/>
    <x v="1"/>
    <s v="Sale"/>
  </r>
  <r>
    <s v="ORD-11521"/>
    <x v="522"/>
    <x v="0"/>
    <x v="1"/>
    <s v="Smart Home &amp; IoT"/>
    <x v="4"/>
    <x v="106"/>
    <n v="158.9"/>
    <n v="3"/>
    <s v="CUST-1859"/>
    <s v="New"/>
    <x v="1"/>
    <s v="Sale"/>
  </r>
  <r>
    <s v="ORD-11522"/>
    <x v="523"/>
    <x v="3"/>
    <x v="0"/>
    <s v="Networking &amp; Security"/>
    <x v="10"/>
    <x v="69"/>
    <n v="105.93"/>
    <n v="1"/>
    <s v="CUST-2760"/>
    <s v="New"/>
    <x v="1"/>
    <s v="Sale"/>
  </r>
  <r>
    <s v="ORD-11523"/>
    <x v="523"/>
    <x v="5"/>
    <x v="1"/>
    <s v="Laptops &amp; Computers"/>
    <x v="0"/>
    <x v="124"/>
    <n v="1733.48"/>
    <n v="4"/>
    <s v="CUST-2866"/>
    <s v="New"/>
    <x v="1"/>
    <s v="Sale"/>
  </r>
  <r>
    <s v="ORD-11524"/>
    <x v="523"/>
    <x v="3"/>
    <x v="2"/>
    <s v="Accessories &amp; Power"/>
    <x v="2"/>
    <x v="71"/>
    <n v="19.260000000000002"/>
    <n v="1"/>
    <s v="CUST-2346"/>
    <s v="New"/>
    <x v="1"/>
    <s v="Sale"/>
  </r>
  <r>
    <s v="ORD-11525"/>
    <x v="523"/>
    <x v="1"/>
    <x v="2"/>
    <s v="Smart Home &amp; IoT"/>
    <x v="1"/>
    <x v="72"/>
    <n v="67.41"/>
    <n v="1"/>
    <s v="CUST-2959"/>
    <s v="New"/>
    <x v="1"/>
    <s v="Sale"/>
  </r>
  <r>
    <s v="ORD-11526"/>
    <x v="523"/>
    <x v="1"/>
    <x v="2"/>
    <s v="Laptops &amp; Computers"/>
    <x v="9"/>
    <x v="99"/>
    <n v="1733.48"/>
    <n v="3"/>
    <s v="CUST-2796"/>
    <s v="New"/>
    <x v="1"/>
    <s v="Sale"/>
  </r>
  <r>
    <s v="ORD-11527"/>
    <x v="524"/>
    <x v="4"/>
    <x v="0"/>
    <s v="Laptops &amp; Computers"/>
    <x v="6"/>
    <x v="77"/>
    <n v="818.59"/>
    <n v="1"/>
    <s v="CUST-2535"/>
    <s v="New"/>
    <x v="1"/>
    <s v="Sale"/>
  </r>
  <r>
    <s v="ORD-11528"/>
    <x v="524"/>
    <x v="0"/>
    <x v="0"/>
    <s v="Accessories &amp; Power"/>
    <x v="11"/>
    <x v="74"/>
    <n v="86.67"/>
    <n v="1"/>
    <s v="CUST-1627"/>
    <s v="New"/>
    <x v="1"/>
    <s v="Sale"/>
  </r>
  <r>
    <s v="ORD-11529"/>
    <x v="525"/>
    <x v="3"/>
    <x v="0"/>
    <s v="Laptops &amp; Computers"/>
    <x v="6"/>
    <x v="77"/>
    <n v="818.59"/>
    <n v="1"/>
    <s v="CUST-1980"/>
    <s v="New"/>
    <x v="1"/>
    <s v="Sale"/>
  </r>
  <r>
    <s v="ORD-11530"/>
    <x v="525"/>
    <x v="1"/>
    <x v="2"/>
    <s v="Accessories &amp; Power"/>
    <x v="2"/>
    <x v="68"/>
    <n v="38.520000000000003"/>
    <n v="2"/>
    <s v="CUST-2685"/>
    <s v="Existing"/>
    <x v="0"/>
    <s v="Sale"/>
  </r>
  <r>
    <s v="ORD-11531"/>
    <x v="526"/>
    <x v="5"/>
    <x v="0"/>
    <s v="Laptops &amp; Computers"/>
    <x v="6"/>
    <x v="77"/>
    <n v="818.59"/>
    <n v="1"/>
    <s v="CUST-1629"/>
    <s v="New"/>
    <x v="1"/>
    <s v="Sale"/>
  </r>
  <r>
    <s v="ORD-11532"/>
    <x v="527"/>
    <x v="1"/>
    <x v="2"/>
    <s v="Accessories &amp; Power"/>
    <x v="11"/>
    <x v="88"/>
    <n v="173.35"/>
    <n v="2"/>
    <s v="CUST-2188"/>
    <s v="New"/>
    <x v="1"/>
    <s v="Sale"/>
  </r>
  <r>
    <s v="ORD-11533"/>
    <x v="527"/>
    <x v="5"/>
    <x v="0"/>
    <s v="Networking &amp; Security"/>
    <x v="7"/>
    <x v="125"/>
    <n v="-635.61"/>
    <n v="-3"/>
    <s v="CUST-2275"/>
    <s v="New"/>
    <x v="1"/>
    <s v="Return"/>
  </r>
  <r>
    <s v="ORD-11534"/>
    <x v="527"/>
    <x v="1"/>
    <x v="0"/>
    <s v="Networking &amp; Security"/>
    <x v="10"/>
    <x v="81"/>
    <n v="211.87"/>
    <n v="2"/>
    <s v="CUST-2802"/>
    <s v="Existing"/>
    <x v="0"/>
    <s v="Sale"/>
  </r>
  <r>
    <s v="ORD-11535"/>
    <x v="528"/>
    <x v="0"/>
    <x v="0"/>
    <s v="Accessories &amp; Power"/>
    <x v="11"/>
    <x v="74"/>
    <n v="86.67"/>
    <n v="1"/>
    <s v="CUST-1043"/>
    <s v="Existing"/>
    <x v="0"/>
    <s v="Sale"/>
  </r>
  <r>
    <s v="ORD-11536"/>
    <x v="528"/>
    <x v="0"/>
    <x v="1"/>
    <s v="Networking &amp; Security"/>
    <x v="7"/>
    <x v="125"/>
    <n v="-635.61"/>
    <n v="-3"/>
    <s v="CUST-2493"/>
    <s v="New"/>
    <x v="1"/>
    <s v="Return"/>
  </r>
  <r>
    <s v="ORD-11537"/>
    <x v="529"/>
    <x v="0"/>
    <x v="2"/>
    <s v="Networking &amp; Security"/>
    <x v="5"/>
    <x v="74"/>
    <n v="86.67"/>
    <n v="1"/>
    <s v="CUST-1488"/>
    <s v="New"/>
    <x v="1"/>
    <s v="Sale"/>
  </r>
  <r>
    <s v="ORD-11538"/>
    <x v="529"/>
    <x v="4"/>
    <x v="0"/>
    <s v="Laptops &amp; Computers"/>
    <x v="9"/>
    <x v="70"/>
    <n v="577.83000000000004"/>
    <n v="1"/>
    <s v="CUST-1180"/>
    <s v="Existing"/>
    <x v="0"/>
    <s v="Sale"/>
  </r>
  <r>
    <s v="ORD-11539"/>
    <x v="530"/>
    <x v="4"/>
    <x v="2"/>
    <s v="Laptops &amp; Computers"/>
    <x v="0"/>
    <x v="83"/>
    <n v="433.37"/>
    <n v="1"/>
    <s v="CUST-2100"/>
    <s v="New"/>
    <x v="1"/>
    <s v="Sale"/>
  </r>
  <r>
    <s v="ORD-11540"/>
    <x v="530"/>
    <x v="1"/>
    <x v="0"/>
    <s v="Laptops &amp; Computers"/>
    <x v="0"/>
    <x v="83"/>
    <n v="433.37"/>
    <n v="1"/>
    <s v="CUST-1373"/>
    <s v="New"/>
    <x v="1"/>
    <s v="Sale"/>
  </r>
  <r>
    <s v="ORD-11541"/>
    <x v="531"/>
    <x v="2"/>
    <x v="1"/>
    <s v="Smart Home &amp; IoT"/>
    <x v="8"/>
    <x v="73"/>
    <n v="125.2"/>
    <n v="1"/>
    <s v="CUST-1627"/>
    <s v="New"/>
    <x v="1"/>
    <s v="Sale"/>
  </r>
  <r>
    <s v="ORD-11542"/>
    <x v="531"/>
    <x v="1"/>
    <x v="2"/>
    <s v="Laptops &amp; Computers"/>
    <x v="0"/>
    <x v="83"/>
    <n v="433.37"/>
    <n v="1"/>
    <s v="CUST-1956"/>
    <s v="New"/>
    <x v="1"/>
    <s v="Sale"/>
  </r>
  <r>
    <s v="ORD-11543"/>
    <x v="531"/>
    <x v="2"/>
    <x v="0"/>
    <s v="Laptops &amp; Computers"/>
    <x v="6"/>
    <x v="77"/>
    <n v="818.59"/>
    <n v="1"/>
    <s v="CUST-1066"/>
    <s v="Existing"/>
    <x v="0"/>
    <s v="Sale"/>
  </r>
  <r>
    <s v="ORD-11544"/>
    <x v="531"/>
    <x v="3"/>
    <x v="2"/>
    <s v="Networking &amp; Security"/>
    <x v="5"/>
    <x v="74"/>
    <n v="86.67"/>
    <n v="1"/>
    <s v="CUST-2548"/>
    <s v="New"/>
    <x v="1"/>
    <s v="Sale"/>
  </r>
  <r>
    <s v="ORD-11545"/>
    <x v="532"/>
    <x v="4"/>
    <x v="0"/>
    <s v="Smart Home &amp; IoT"/>
    <x v="8"/>
    <x v="89"/>
    <n v="250.39"/>
    <n v="2"/>
    <s v="CUST-2115"/>
    <s v="New"/>
    <x v="1"/>
    <s v="Sale"/>
  </r>
  <r>
    <s v="ORD-11546"/>
    <x v="532"/>
    <x v="1"/>
    <x v="1"/>
    <s v="Smart Home &amp; IoT"/>
    <x v="8"/>
    <x v="89"/>
    <n v="250.39"/>
    <n v="2"/>
    <s v="CUST-2781"/>
    <s v="New"/>
    <x v="1"/>
    <s v="Sale"/>
  </r>
  <r>
    <s v="ORD-11547"/>
    <x v="533"/>
    <x v="2"/>
    <x v="0"/>
    <s v="Laptops &amp; Computers"/>
    <x v="6"/>
    <x v="82"/>
    <n v="1637.17"/>
    <n v="2"/>
    <s v="CUST-1778"/>
    <s v="New"/>
    <x v="1"/>
    <s v="Sale"/>
  </r>
  <r>
    <s v="ORD-11548"/>
    <x v="533"/>
    <x v="0"/>
    <x v="2"/>
    <s v="Laptops &amp; Computers"/>
    <x v="0"/>
    <x v="83"/>
    <n v="433.37"/>
    <n v="1"/>
    <s v="CUST-1650"/>
    <s v="New"/>
    <x v="1"/>
    <s v="Sale"/>
  </r>
  <r>
    <s v="ORD-11549"/>
    <x v="533"/>
    <x v="4"/>
    <x v="0"/>
    <s v="Accessories &amp; Power"/>
    <x v="11"/>
    <x v="74"/>
    <n v="86.67"/>
    <n v="1"/>
    <s v="CUST-2876"/>
    <s v="New"/>
    <x v="1"/>
    <s v="Sale"/>
  </r>
  <r>
    <s v="ORD-11550"/>
    <x v="533"/>
    <x v="0"/>
    <x v="2"/>
    <s v="Laptops &amp; Computers"/>
    <x v="9"/>
    <x v="126"/>
    <n v="2311.3000000000002"/>
    <n v="4"/>
    <s v="CUST-2267"/>
    <s v="New"/>
    <x v="1"/>
    <s v="Sale"/>
  </r>
  <r>
    <s v="ORD-11551"/>
    <x v="534"/>
    <x v="5"/>
    <x v="2"/>
    <s v="Accessories &amp; Power"/>
    <x v="2"/>
    <x v="71"/>
    <n v="19.260000000000002"/>
    <n v="1"/>
    <s v="CUST-1340"/>
    <s v="Existing"/>
    <x v="0"/>
    <s v="Sale"/>
  </r>
  <r>
    <s v="ORD-11552"/>
    <x v="534"/>
    <x v="2"/>
    <x v="2"/>
    <s v="Accessories &amp; Power"/>
    <x v="11"/>
    <x v="84"/>
    <n v="260.02"/>
    <n v="3"/>
    <s v="CUST-1902"/>
    <s v="New"/>
    <x v="1"/>
    <s v="Sale"/>
  </r>
  <r>
    <s v="ORD-11553"/>
    <x v="535"/>
    <x v="2"/>
    <x v="2"/>
    <s v="Accessories &amp; Power"/>
    <x v="2"/>
    <x v="119"/>
    <n v="-19.260000000000002"/>
    <n v="-1"/>
    <s v="CUST-2808"/>
    <s v="Existing"/>
    <x v="0"/>
    <s v="Return"/>
  </r>
  <r>
    <s v="ORD-11554"/>
    <x v="535"/>
    <x v="0"/>
    <x v="1"/>
    <s v="Laptops &amp; Computers"/>
    <x v="0"/>
    <x v="97"/>
    <n v="1300.1099999999999"/>
    <n v="3"/>
    <s v="CUST-2327"/>
    <s v="New"/>
    <x v="1"/>
    <s v="Sale"/>
  </r>
  <r>
    <s v="ORD-11555"/>
    <x v="535"/>
    <x v="4"/>
    <x v="0"/>
    <s v="Accessories &amp; Power"/>
    <x v="2"/>
    <x v="71"/>
    <n v="19.260000000000002"/>
    <n v="1"/>
    <s v="CUST-1397"/>
    <s v="New"/>
    <x v="1"/>
    <s v="Sale"/>
  </r>
  <r>
    <s v="ORD-11556"/>
    <x v="536"/>
    <x v="0"/>
    <x v="0"/>
    <s v="Accessories &amp; Power"/>
    <x v="2"/>
    <x v="71"/>
    <n v="19.260000000000002"/>
    <n v="1"/>
    <s v="CUST-1702"/>
    <s v="Existing"/>
    <x v="0"/>
    <s v="Sale"/>
  </r>
  <r>
    <s v="ORD-11557"/>
    <x v="536"/>
    <x v="5"/>
    <x v="0"/>
    <s v="Smart Home &amp; IoT"/>
    <x v="1"/>
    <x v="76"/>
    <n v="134.83000000000001"/>
    <n v="2"/>
    <s v="CUST-2471"/>
    <s v="Existing"/>
    <x v="0"/>
    <s v="Sale"/>
  </r>
  <r>
    <s v="ORD-11558"/>
    <x v="536"/>
    <x v="0"/>
    <x v="1"/>
    <s v="Networking &amp; Security"/>
    <x v="5"/>
    <x v="74"/>
    <n v="86.67"/>
    <n v="1"/>
    <s v="CUST-1096"/>
    <s v="Existing"/>
    <x v="0"/>
    <s v="Sale"/>
  </r>
  <r>
    <s v="ORD-11559"/>
    <x v="536"/>
    <x v="1"/>
    <x v="0"/>
    <s v="Laptops &amp; Computers"/>
    <x v="0"/>
    <x v="83"/>
    <n v="433.37"/>
    <n v="1"/>
    <s v="CUST-2354"/>
    <s v="New"/>
    <x v="1"/>
    <s v="Sale"/>
  </r>
  <r>
    <s v="ORD-11560"/>
    <x v="537"/>
    <x v="5"/>
    <x v="2"/>
    <s v="Laptops &amp; Computers"/>
    <x v="6"/>
    <x v="77"/>
    <n v="818.59"/>
    <n v="1"/>
    <s v="CUST-2228"/>
    <s v="New"/>
    <x v="1"/>
    <s v="Sale"/>
  </r>
  <r>
    <s v="ORD-11561"/>
    <x v="537"/>
    <x v="1"/>
    <x v="2"/>
    <s v="Networking &amp; Security"/>
    <x v="10"/>
    <x v="81"/>
    <n v="211.87"/>
    <n v="2"/>
    <s v="CUST-1448"/>
    <s v="New"/>
    <x v="1"/>
    <s v="Sale"/>
  </r>
  <r>
    <s v="ORD-11562"/>
    <x v="537"/>
    <x v="0"/>
    <x v="0"/>
    <s v="Smart Home &amp; IoT"/>
    <x v="8"/>
    <x v="73"/>
    <n v="125.2"/>
    <n v="1"/>
    <s v="CUST-2441"/>
    <s v="New"/>
    <x v="1"/>
    <s v="Sale"/>
  </r>
  <r>
    <s v="ORD-11563"/>
    <x v="538"/>
    <x v="0"/>
    <x v="0"/>
    <s v="Networking &amp; Security"/>
    <x v="5"/>
    <x v="74"/>
    <n v="86.67"/>
    <n v="1"/>
    <s v="CUST-2672"/>
    <s v="New"/>
    <x v="1"/>
    <s v="Sale"/>
  </r>
  <r>
    <s v="ORD-11564"/>
    <x v="538"/>
    <x v="1"/>
    <x v="0"/>
    <s v="Networking &amp; Security"/>
    <x v="7"/>
    <x v="123"/>
    <n v="-211.87"/>
    <n v="-1"/>
    <s v="CUST-1076"/>
    <s v="New"/>
    <x v="1"/>
    <s v="Return"/>
  </r>
  <r>
    <s v="ORD-11565"/>
    <x v="538"/>
    <x v="2"/>
    <x v="0"/>
    <s v="Networking &amp; Security"/>
    <x v="10"/>
    <x v="69"/>
    <n v="105.93"/>
    <n v="1"/>
    <s v="CUST-1895"/>
    <s v="New"/>
    <x v="1"/>
    <s v="Sale"/>
  </r>
  <r>
    <s v="ORD-11566"/>
    <x v="538"/>
    <x v="3"/>
    <x v="0"/>
    <s v="Smart Home &amp; IoT"/>
    <x v="1"/>
    <x v="76"/>
    <n v="134.83000000000001"/>
    <n v="2"/>
    <s v="CUST-1548"/>
    <s v="New"/>
    <x v="1"/>
    <s v="Sale"/>
  </r>
  <r>
    <s v="ORD-11567"/>
    <x v="538"/>
    <x v="0"/>
    <x v="0"/>
    <s v="Accessories &amp; Power"/>
    <x v="11"/>
    <x v="74"/>
    <n v="86.67"/>
    <n v="1"/>
    <s v="CUST-1797"/>
    <s v="Existing"/>
    <x v="0"/>
    <s v="Sale"/>
  </r>
  <r>
    <s v="ORD-11568"/>
    <x v="538"/>
    <x v="1"/>
    <x v="1"/>
    <s v="Laptops &amp; Computers"/>
    <x v="0"/>
    <x v="83"/>
    <n v="433.37"/>
    <n v="1"/>
    <s v="CUST-2448"/>
    <s v="New"/>
    <x v="1"/>
    <s v="Sale"/>
  </r>
  <r>
    <s v="ORD-11569"/>
    <x v="538"/>
    <x v="0"/>
    <x v="1"/>
    <s v="Networking &amp; Security"/>
    <x v="7"/>
    <x v="86"/>
    <n v="211.87"/>
    <n v="1"/>
    <s v="CUST-2452"/>
    <s v="New"/>
    <x v="1"/>
    <s v="Sale"/>
  </r>
  <r>
    <s v="ORD-11570"/>
    <x v="539"/>
    <x v="0"/>
    <x v="0"/>
    <s v="Laptops &amp; Computers"/>
    <x v="0"/>
    <x v="83"/>
    <n v="433.37"/>
    <n v="1"/>
    <s v="CUST-2508"/>
    <s v="New"/>
    <x v="1"/>
    <s v="Sale"/>
  </r>
  <r>
    <s v="ORD-11571"/>
    <x v="539"/>
    <x v="2"/>
    <x v="0"/>
    <s v="Smart Home &amp; IoT"/>
    <x v="1"/>
    <x v="72"/>
    <n v="67.41"/>
    <n v="1"/>
    <s v="CUST-1814"/>
    <s v="New"/>
    <x v="1"/>
    <s v="Sale"/>
  </r>
  <r>
    <s v="ORD-11572"/>
    <x v="539"/>
    <x v="5"/>
    <x v="0"/>
    <s v="Smart Home &amp; IoT"/>
    <x v="4"/>
    <x v="68"/>
    <n v="52.97"/>
    <n v="1"/>
    <s v="CUST-2021"/>
    <s v="New"/>
    <x v="1"/>
    <s v="Sale"/>
  </r>
  <r>
    <s v="ORD-11573"/>
    <x v="539"/>
    <x v="0"/>
    <x v="2"/>
    <s v="Accessories &amp; Power"/>
    <x v="11"/>
    <x v="74"/>
    <n v="86.67"/>
    <n v="1"/>
    <s v="CUST-1134"/>
    <s v="New"/>
    <x v="1"/>
    <s v="Sale"/>
  </r>
  <r>
    <s v="ORD-11574"/>
    <x v="540"/>
    <x v="0"/>
    <x v="1"/>
    <s v="Laptops &amp; Computers"/>
    <x v="0"/>
    <x v="124"/>
    <n v="1733.48"/>
    <n v="4"/>
    <s v="CUST-1653"/>
    <s v="New"/>
    <x v="1"/>
    <s v="Sale"/>
  </r>
  <r>
    <s v="ORD-11575"/>
    <x v="540"/>
    <x v="0"/>
    <x v="0"/>
    <s v="Accessories &amp; Power"/>
    <x v="11"/>
    <x v="74"/>
    <n v="86.67"/>
    <n v="1"/>
    <s v="CUST-2277"/>
    <s v="New"/>
    <x v="1"/>
    <s v="Sale"/>
  </r>
  <r>
    <s v="ORD-11576"/>
    <x v="540"/>
    <x v="3"/>
    <x v="0"/>
    <s v="Laptops &amp; Computers"/>
    <x v="6"/>
    <x v="82"/>
    <n v="1637.17"/>
    <n v="2"/>
    <s v="CUST-2583"/>
    <s v="New"/>
    <x v="1"/>
    <s v="Sale"/>
  </r>
  <r>
    <s v="ORD-11577"/>
    <x v="540"/>
    <x v="4"/>
    <x v="2"/>
    <s v="Smart Home &amp; IoT"/>
    <x v="8"/>
    <x v="73"/>
    <n v="125.2"/>
    <n v="1"/>
    <s v="CUST-2278"/>
    <s v="New"/>
    <x v="1"/>
    <s v="Sale"/>
  </r>
  <r>
    <s v="ORD-11578"/>
    <x v="541"/>
    <x v="0"/>
    <x v="2"/>
    <s v="Laptops &amp; Computers"/>
    <x v="6"/>
    <x v="77"/>
    <n v="818.59"/>
    <n v="1"/>
    <s v="CUST-1645"/>
    <s v="New"/>
    <x v="1"/>
    <s v="Sale"/>
  </r>
  <r>
    <s v="ORD-11579"/>
    <x v="541"/>
    <x v="0"/>
    <x v="0"/>
    <s v="Accessories &amp; Power"/>
    <x v="11"/>
    <x v="74"/>
    <n v="86.67"/>
    <n v="1"/>
    <s v="CUST-2825"/>
    <s v="New"/>
    <x v="1"/>
    <s v="Sale"/>
  </r>
  <r>
    <s v="ORD-11580"/>
    <x v="541"/>
    <x v="3"/>
    <x v="2"/>
    <s v="Networking &amp; Security"/>
    <x v="7"/>
    <x v="86"/>
    <n v="211.87"/>
    <n v="1"/>
    <s v="CUST-1719"/>
    <s v="New"/>
    <x v="1"/>
    <s v="Sale"/>
  </r>
  <r>
    <s v="ORD-11581"/>
    <x v="541"/>
    <x v="4"/>
    <x v="0"/>
    <s v="Smart Home &amp; IoT"/>
    <x v="4"/>
    <x v="81"/>
    <n v="211.87"/>
    <n v="4"/>
    <s v="CUST-2522"/>
    <s v="New"/>
    <x v="1"/>
    <s v="Sale"/>
  </r>
  <r>
    <s v="ORD-11582"/>
    <x v="541"/>
    <x v="1"/>
    <x v="0"/>
    <s v="Accessories &amp; Power"/>
    <x v="2"/>
    <x v="117"/>
    <n v="57.78"/>
    <n v="3"/>
    <s v="CUST-1612"/>
    <s v="New"/>
    <x v="1"/>
    <s v="Sale"/>
  </r>
  <r>
    <s v="ORD-11583"/>
    <x v="541"/>
    <x v="0"/>
    <x v="2"/>
    <s v="Laptops &amp; Computers"/>
    <x v="0"/>
    <x v="79"/>
    <n v="866.74"/>
    <n v="2"/>
    <s v="CUST-1483"/>
    <s v="New"/>
    <x v="1"/>
    <s v="Sale"/>
  </r>
  <r>
    <s v="ORD-11584"/>
    <x v="541"/>
    <x v="0"/>
    <x v="1"/>
    <s v="Laptops &amp; Computers"/>
    <x v="0"/>
    <x v="79"/>
    <n v="866.74"/>
    <n v="2"/>
    <s v="CUST-2069"/>
    <s v="Existing"/>
    <x v="0"/>
    <s v="Sale"/>
  </r>
  <r>
    <s v="ORD-11585"/>
    <x v="542"/>
    <x v="5"/>
    <x v="0"/>
    <s v="Accessories &amp; Power"/>
    <x v="11"/>
    <x v="74"/>
    <n v="86.67"/>
    <n v="1"/>
    <s v="CUST-2466"/>
    <s v="New"/>
    <x v="1"/>
    <s v="Sale"/>
  </r>
  <r>
    <s v="ORD-11586"/>
    <x v="542"/>
    <x v="1"/>
    <x v="1"/>
    <s v="Networking &amp; Security"/>
    <x v="7"/>
    <x v="86"/>
    <n v="211.87"/>
    <n v="1"/>
    <s v="CUST-2605"/>
    <s v="New"/>
    <x v="1"/>
    <s v="Sale"/>
  </r>
  <r>
    <s v="ORD-11587"/>
    <x v="542"/>
    <x v="0"/>
    <x v="0"/>
    <s v="Laptops &amp; Computers"/>
    <x v="0"/>
    <x v="97"/>
    <n v="1300.1099999999999"/>
    <n v="3"/>
    <s v="CUST-1647"/>
    <s v="New"/>
    <x v="1"/>
    <s v="Sale"/>
  </r>
  <r>
    <s v="ORD-11588"/>
    <x v="543"/>
    <x v="5"/>
    <x v="2"/>
    <s v="Networking &amp; Security"/>
    <x v="7"/>
    <x v="93"/>
    <n v="423.74"/>
    <n v="2"/>
    <s v="CUST-1791"/>
    <s v="New"/>
    <x v="1"/>
    <s v="Sale"/>
  </r>
  <r>
    <s v="ORD-11589"/>
    <x v="544"/>
    <x v="0"/>
    <x v="0"/>
    <s v="Smart Home &amp; IoT"/>
    <x v="8"/>
    <x v="73"/>
    <n v="125.2"/>
    <n v="1"/>
    <s v="CUST-1578"/>
    <s v="New"/>
    <x v="1"/>
    <s v="Sale"/>
  </r>
  <r>
    <s v="ORD-11590"/>
    <x v="544"/>
    <x v="2"/>
    <x v="1"/>
    <s v="Laptops &amp; Computers"/>
    <x v="0"/>
    <x v="83"/>
    <n v="433.37"/>
    <n v="1"/>
    <s v="CUST-2027"/>
    <s v="New"/>
    <x v="1"/>
    <s v="Sale"/>
  </r>
  <r>
    <s v="ORD-11591"/>
    <x v="544"/>
    <x v="1"/>
    <x v="1"/>
    <s v="Laptops &amp; Computers"/>
    <x v="6"/>
    <x v="77"/>
    <n v="818.59"/>
    <n v="1"/>
    <s v="CUST-2759"/>
    <s v="New"/>
    <x v="1"/>
    <s v="Sale"/>
  </r>
  <r>
    <s v="ORD-11592"/>
    <x v="544"/>
    <x v="0"/>
    <x v="0"/>
    <s v="Laptops &amp; Computers"/>
    <x v="9"/>
    <x v="99"/>
    <n v="1733.48"/>
    <n v="3"/>
    <s v="CUST-1000"/>
    <s v="Existing"/>
    <x v="0"/>
    <s v="Sale"/>
  </r>
  <r>
    <s v="ORD-11593"/>
    <x v="545"/>
    <x v="5"/>
    <x v="1"/>
    <s v="Networking &amp; Security"/>
    <x v="7"/>
    <x v="86"/>
    <n v="211.87"/>
    <n v="1"/>
    <s v="CUST-2313"/>
    <s v="New"/>
    <x v="1"/>
    <s v="Sale"/>
  </r>
  <r>
    <s v="ORD-11594"/>
    <x v="545"/>
    <x v="1"/>
    <x v="1"/>
    <s v="Accessories &amp; Power"/>
    <x v="11"/>
    <x v="74"/>
    <n v="86.67"/>
    <n v="1"/>
    <s v="CUST-1108"/>
    <s v="Existing"/>
    <x v="0"/>
    <s v="Sale"/>
  </r>
  <r>
    <s v="ORD-11595"/>
    <x v="546"/>
    <x v="4"/>
    <x v="2"/>
    <s v="Accessories &amp; Power"/>
    <x v="11"/>
    <x v="74"/>
    <n v="86.67"/>
    <n v="1"/>
    <s v="CUST-2800"/>
    <s v="New"/>
    <x v="1"/>
    <s v="Sale"/>
  </r>
  <r>
    <s v="ORD-11596"/>
    <x v="546"/>
    <x v="5"/>
    <x v="0"/>
    <s v="Smart Home &amp; IoT"/>
    <x v="4"/>
    <x v="69"/>
    <n v="105.93"/>
    <n v="2"/>
    <s v="CUST-2598"/>
    <s v="Existing"/>
    <x v="0"/>
    <s v="Sale"/>
  </r>
  <r>
    <s v="ORD-11597"/>
    <x v="546"/>
    <x v="0"/>
    <x v="1"/>
    <s v="Laptops &amp; Computers"/>
    <x v="0"/>
    <x v="94"/>
    <n v="-433.37"/>
    <n v="-1"/>
    <s v="CUST-1459"/>
    <s v="New"/>
    <x v="1"/>
    <s v="Return"/>
  </r>
  <r>
    <s v="ORD-11598"/>
    <x v="547"/>
    <x v="2"/>
    <x v="1"/>
    <s v="Accessories &amp; Power"/>
    <x v="11"/>
    <x v="88"/>
    <n v="173.35"/>
    <n v="2"/>
    <s v="CUST-1265"/>
    <s v="Existing"/>
    <x v="0"/>
    <s v="Sale"/>
  </r>
  <r>
    <s v="ORD-11599"/>
    <x v="547"/>
    <x v="0"/>
    <x v="0"/>
    <s v="Networking &amp; Security"/>
    <x v="10"/>
    <x v="69"/>
    <n v="105.93"/>
    <n v="1"/>
    <s v="CUST-2161"/>
    <s v="New"/>
    <x v="1"/>
    <s v="Sale"/>
  </r>
  <r>
    <s v="ORD-11600"/>
    <x v="547"/>
    <x v="4"/>
    <x v="1"/>
    <s v="Laptops &amp; Computers"/>
    <x v="9"/>
    <x v="99"/>
    <n v="1733.48"/>
    <n v="3"/>
    <s v="CUST-2457"/>
    <s v="New"/>
    <x v="1"/>
    <s v="Sale"/>
  </r>
  <r>
    <s v="ORD-11601"/>
    <x v="548"/>
    <x v="1"/>
    <x v="0"/>
    <s v="Accessories &amp; Power"/>
    <x v="3"/>
    <x v="73"/>
    <n v="125.2"/>
    <n v="2"/>
    <s v="CUST-1043"/>
    <s v="Existing"/>
    <x v="0"/>
    <s v="Sale"/>
  </r>
  <r>
    <s v="ORD-11602"/>
    <x v="548"/>
    <x v="5"/>
    <x v="0"/>
    <s v="Accessories &amp; Power"/>
    <x v="2"/>
    <x v="71"/>
    <n v="19.260000000000002"/>
    <n v="1"/>
    <s v="CUST-1885"/>
    <s v="Existing"/>
    <x v="0"/>
    <s v="Sale"/>
  </r>
  <r>
    <s v="ORD-11603"/>
    <x v="549"/>
    <x v="0"/>
    <x v="2"/>
    <s v="Smart Home &amp; IoT"/>
    <x v="4"/>
    <x v="68"/>
    <n v="52.97"/>
    <n v="1"/>
    <s v="CUST-2533"/>
    <s v="New"/>
    <x v="1"/>
    <s v="Sale"/>
  </r>
  <r>
    <s v="ORD-11604"/>
    <x v="549"/>
    <x v="1"/>
    <x v="2"/>
    <s v="Smart Home &amp; IoT"/>
    <x v="8"/>
    <x v="73"/>
    <n v="125.2"/>
    <n v="1"/>
    <s v="CUST-1943"/>
    <s v="Existing"/>
    <x v="0"/>
    <s v="Sale"/>
  </r>
  <r>
    <s v="ORD-11605"/>
    <x v="550"/>
    <x v="3"/>
    <x v="2"/>
    <s v="Laptops &amp; Computers"/>
    <x v="6"/>
    <x v="77"/>
    <n v="818.59"/>
    <n v="1"/>
    <s v="CUST-1982"/>
    <s v="New"/>
    <x v="1"/>
    <s v="Sale"/>
  </r>
  <r>
    <s v="ORD-11606"/>
    <x v="551"/>
    <x v="3"/>
    <x v="0"/>
    <s v="Laptops &amp; Computers"/>
    <x v="6"/>
    <x v="80"/>
    <n v="2455.7600000000002"/>
    <n v="3"/>
    <s v="CUST-1261"/>
    <s v="New"/>
    <x v="1"/>
    <s v="Sale"/>
  </r>
  <r>
    <s v="ORD-11607"/>
    <x v="551"/>
    <x v="0"/>
    <x v="1"/>
    <s v="Smart Home &amp; IoT"/>
    <x v="8"/>
    <x v="73"/>
    <n v="125.2"/>
    <n v="1"/>
    <s v="CUST-1727"/>
    <s v="Existing"/>
    <x v="0"/>
    <s v="Sale"/>
  </r>
  <r>
    <s v="ORD-11608"/>
    <x v="551"/>
    <x v="0"/>
    <x v="0"/>
    <s v="Laptops &amp; Computers"/>
    <x v="9"/>
    <x v="70"/>
    <n v="577.83000000000004"/>
    <n v="1"/>
    <s v="CUST-1632"/>
    <s v="New"/>
    <x v="1"/>
    <s v="Sale"/>
  </r>
  <r>
    <s v="ORD-11609"/>
    <x v="551"/>
    <x v="3"/>
    <x v="0"/>
    <s v="Networking &amp; Security"/>
    <x v="10"/>
    <x v="69"/>
    <n v="105.93"/>
    <n v="1"/>
    <s v="CUST-1151"/>
    <s v="Existing"/>
    <x v="0"/>
    <s v="Sale"/>
  </r>
  <r>
    <s v="ORD-11610"/>
    <x v="551"/>
    <x v="4"/>
    <x v="0"/>
    <s v="Accessories &amp; Power"/>
    <x v="11"/>
    <x v="74"/>
    <n v="86.67"/>
    <n v="1"/>
    <s v="CUST-1212"/>
    <s v="New"/>
    <x v="1"/>
    <s v="Sale"/>
  </r>
  <r>
    <s v="ORD-11611"/>
    <x v="552"/>
    <x v="0"/>
    <x v="2"/>
    <s v="Accessories &amp; Power"/>
    <x v="2"/>
    <x v="117"/>
    <n v="57.78"/>
    <n v="3"/>
    <s v="CUST-2015"/>
    <s v="Existing"/>
    <x v="0"/>
    <s v="Sale"/>
  </r>
  <r>
    <s v="ORD-11612"/>
    <x v="552"/>
    <x v="1"/>
    <x v="1"/>
    <s v="Networking &amp; Security"/>
    <x v="5"/>
    <x v="74"/>
    <n v="86.67"/>
    <n v="1"/>
    <s v="CUST-2257"/>
    <s v="New"/>
    <x v="1"/>
    <s v="Sale"/>
  </r>
  <r>
    <s v="ORD-11613"/>
    <x v="552"/>
    <x v="1"/>
    <x v="2"/>
    <s v="Accessories &amp; Power"/>
    <x v="3"/>
    <x v="89"/>
    <n v="250.39"/>
    <n v="4"/>
    <s v="CUST-1862"/>
    <s v="New"/>
    <x v="1"/>
    <s v="Sale"/>
  </r>
  <r>
    <s v="ORD-11614"/>
    <x v="552"/>
    <x v="3"/>
    <x v="1"/>
    <s v="Accessories &amp; Power"/>
    <x v="2"/>
    <x v="117"/>
    <n v="57.78"/>
    <n v="3"/>
    <s v="CUST-1622"/>
    <s v="New"/>
    <x v="1"/>
    <s v="Sale"/>
  </r>
  <r>
    <s v="ORD-11615"/>
    <x v="552"/>
    <x v="0"/>
    <x v="0"/>
    <s v="Smart Home &amp; IoT"/>
    <x v="8"/>
    <x v="73"/>
    <n v="125.2"/>
    <n v="1"/>
    <s v="CUST-2977"/>
    <s v="New"/>
    <x v="1"/>
    <s v="Sale"/>
  </r>
  <r>
    <s v="ORD-11616"/>
    <x v="552"/>
    <x v="0"/>
    <x v="2"/>
    <s v="Laptops &amp; Computers"/>
    <x v="9"/>
    <x v="70"/>
    <n v="577.83000000000004"/>
    <n v="1"/>
    <s v="CUST-1360"/>
    <s v="New"/>
    <x v="1"/>
    <s v="Sale"/>
  </r>
  <r>
    <s v="ORD-11617"/>
    <x v="553"/>
    <x v="2"/>
    <x v="0"/>
    <s v="Laptops &amp; Computers"/>
    <x v="6"/>
    <x v="80"/>
    <n v="2455.7600000000002"/>
    <n v="3"/>
    <s v="CUST-1319"/>
    <s v="New"/>
    <x v="1"/>
    <s v="Sale"/>
  </r>
  <r>
    <s v="ORD-11618"/>
    <x v="553"/>
    <x v="0"/>
    <x v="0"/>
    <s v="Networking &amp; Security"/>
    <x v="10"/>
    <x v="69"/>
    <n v="105.93"/>
    <n v="1"/>
    <s v="CUST-1221"/>
    <s v="New"/>
    <x v="1"/>
    <s v="Sale"/>
  </r>
  <r>
    <s v="ORD-11619"/>
    <x v="554"/>
    <x v="1"/>
    <x v="0"/>
    <s v="Laptops &amp; Computers"/>
    <x v="6"/>
    <x v="77"/>
    <n v="818.59"/>
    <n v="1"/>
    <s v="CUST-2975"/>
    <s v="New"/>
    <x v="1"/>
    <s v="Sale"/>
  </r>
  <r>
    <s v="ORD-11620"/>
    <x v="554"/>
    <x v="1"/>
    <x v="2"/>
    <s v="Laptops &amp; Computers"/>
    <x v="6"/>
    <x v="77"/>
    <n v="818.59"/>
    <n v="1"/>
    <s v="CUST-2761"/>
    <s v="New"/>
    <x v="1"/>
    <s v="Sale"/>
  </r>
  <r>
    <s v="ORD-11621"/>
    <x v="555"/>
    <x v="1"/>
    <x v="2"/>
    <s v="Laptops &amp; Computers"/>
    <x v="9"/>
    <x v="70"/>
    <n v="577.83000000000004"/>
    <n v="1"/>
    <s v="CUST-1209"/>
    <s v="New"/>
    <x v="1"/>
    <s v="Sale"/>
  </r>
  <r>
    <s v="ORD-11622"/>
    <x v="555"/>
    <x v="1"/>
    <x v="2"/>
    <s v="Networking &amp; Security"/>
    <x v="10"/>
    <x v="81"/>
    <n v="211.87"/>
    <n v="2"/>
    <s v="CUST-2419"/>
    <s v="New"/>
    <x v="1"/>
    <s v="Sale"/>
  </r>
  <r>
    <s v="ORD-11623"/>
    <x v="556"/>
    <x v="5"/>
    <x v="0"/>
    <s v="Accessories &amp; Power"/>
    <x v="3"/>
    <x v="78"/>
    <n v="62.6"/>
    <n v="1"/>
    <s v="CUST-1930"/>
    <s v="New"/>
    <x v="1"/>
    <s v="Sale"/>
  </r>
  <r>
    <s v="ORD-11624"/>
    <x v="556"/>
    <x v="0"/>
    <x v="0"/>
    <s v="Laptops &amp; Computers"/>
    <x v="9"/>
    <x v="70"/>
    <n v="577.83000000000004"/>
    <n v="1"/>
    <s v="CUST-2606"/>
    <s v="Existing"/>
    <x v="0"/>
    <s v="Sale"/>
  </r>
  <r>
    <s v="ORD-11625"/>
    <x v="556"/>
    <x v="5"/>
    <x v="2"/>
    <s v="Smart Home &amp; IoT"/>
    <x v="4"/>
    <x v="112"/>
    <n v="-158.9"/>
    <n v="-3"/>
    <s v="CUST-1488"/>
    <s v="New"/>
    <x v="1"/>
    <s v="Return"/>
  </r>
  <r>
    <s v="ORD-11626"/>
    <x v="557"/>
    <x v="3"/>
    <x v="0"/>
    <s v="Smart Home &amp; IoT"/>
    <x v="4"/>
    <x v="69"/>
    <n v="105.93"/>
    <n v="2"/>
    <s v="CUST-2895"/>
    <s v="New"/>
    <x v="1"/>
    <s v="Sale"/>
  </r>
  <r>
    <s v="ORD-11627"/>
    <x v="557"/>
    <x v="2"/>
    <x v="1"/>
    <s v="Laptops &amp; Computers"/>
    <x v="9"/>
    <x v="70"/>
    <n v="577.83000000000004"/>
    <n v="1"/>
    <s v="CUST-1600"/>
    <s v="New"/>
    <x v="1"/>
    <s v="Sale"/>
  </r>
  <r>
    <s v="ORD-11628"/>
    <x v="557"/>
    <x v="0"/>
    <x v="2"/>
    <s v="Accessories &amp; Power"/>
    <x v="11"/>
    <x v="88"/>
    <n v="173.35"/>
    <n v="2"/>
    <s v="CUST-1773"/>
    <s v="New"/>
    <x v="1"/>
    <s v="Sale"/>
  </r>
  <r>
    <s v="ORD-11629"/>
    <x v="557"/>
    <x v="0"/>
    <x v="0"/>
    <s v="Smart Home &amp; IoT"/>
    <x v="1"/>
    <x v="72"/>
    <n v="67.41"/>
    <n v="1"/>
    <s v="CUST-2984"/>
    <s v="New"/>
    <x v="1"/>
    <s v="Sale"/>
  </r>
  <r>
    <s v="ORD-11630"/>
    <x v="557"/>
    <x v="0"/>
    <x v="1"/>
    <s v="Networking &amp; Security"/>
    <x v="5"/>
    <x v="88"/>
    <n v="173.35"/>
    <n v="2"/>
    <s v="CUST-1877"/>
    <s v="New"/>
    <x v="1"/>
    <s v="Sale"/>
  </r>
  <r>
    <s v="ORD-11631"/>
    <x v="558"/>
    <x v="1"/>
    <x v="2"/>
    <s v="Accessories &amp; Power"/>
    <x v="2"/>
    <x v="71"/>
    <n v="19.260000000000002"/>
    <n v="1"/>
    <s v="CUST-2487"/>
    <s v="New"/>
    <x v="1"/>
    <s v="Sale"/>
  </r>
  <r>
    <s v="ORD-11632"/>
    <x v="558"/>
    <x v="1"/>
    <x v="0"/>
    <s v="Laptops &amp; Computers"/>
    <x v="9"/>
    <x v="70"/>
    <n v="577.83000000000004"/>
    <n v="1"/>
    <s v="CUST-1699"/>
    <s v="New"/>
    <x v="1"/>
    <s v="Sale"/>
  </r>
  <r>
    <s v="ORD-11633"/>
    <x v="558"/>
    <x v="2"/>
    <x v="2"/>
    <s v="Smart Home &amp; IoT"/>
    <x v="8"/>
    <x v="89"/>
    <n v="250.39"/>
    <n v="2"/>
    <s v="CUST-2647"/>
    <s v="New"/>
    <x v="1"/>
    <s v="Sale"/>
  </r>
  <r>
    <s v="ORD-11634"/>
    <x v="558"/>
    <x v="0"/>
    <x v="0"/>
    <s v="Laptops &amp; Computers"/>
    <x v="6"/>
    <x v="77"/>
    <n v="818.59"/>
    <n v="1"/>
    <s v="CUST-1451"/>
    <s v="New"/>
    <x v="1"/>
    <s v="Sale"/>
  </r>
  <r>
    <s v="ORD-11635"/>
    <x v="558"/>
    <x v="0"/>
    <x v="1"/>
    <s v="Accessories &amp; Power"/>
    <x v="2"/>
    <x v="127"/>
    <n v="96.3"/>
    <n v="5"/>
    <s v="CUST-1412"/>
    <s v="New"/>
    <x v="1"/>
    <s v="Sale"/>
  </r>
  <r>
    <s v="ORD-11636"/>
    <x v="559"/>
    <x v="1"/>
    <x v="1"/>
    <s v="Networking &amp; Security"/>
    <x v="10"/>
    <x v="69"/>
    <n v="105.93"/>
    <n v="1"/>
    <s v="CUST-2957"/>
    <s v="New"/>
    <x v="1"/>
    <s v="Sale"/>
  </r>
  <r>
    <s v="ORD-11637"/>
    <x v="560"/>
    <x v="2"/>
    <x v="1"/>
    <s v="Smart Home &amp; IoT"/>
    <x v="4"/>
    <x v="106"/>
    <n v="158.9"/>
    <n v="3"/>
    <s v="CUST-2774"/>
    <s v="Existing"/>
    <x v="0"/>
    <s v="Sale"/>
  </r>
  <r>
    <s v="ORD-11638"/>
    <x v="560"/>
    <x v="0"/>
    <x v="2"/>
    <s v="Laptops &amp; Computers"/>
    <x v="6"/>
    <x v="80"/>
    <n v="2455.7600000000002"/>
    <n v="3"/>
    <s v="CUST-1475"/>
    <s v="New"/>
    <x v="1"/>
    <s v="Sale"/>
  </r>
  <r>
    <s v="ORD-11639"/>
    <x v="560"/>
    <x v="5"/>
    <x v="0"/>
    <s v="Smart Home &amp; IoT"/>
    <x v="1"/>
    <x v="72"/>
    <n v="67.41"/>
    <n v="1"/>
    <s v="CUST-1255"/>
    <s v="Existing"/>
    <x v="0"/>
    <s v="Sale"/>
  </r>
  <r>
    <s v="ORD-11640"/>
    <x v="560"/>
    <x v="0"/>
    <x v="2"/>
    <s v="Accessories &amp; Power"/>
    <x v="11"/>
    <x v="88"/>
    <n v="173.35"/>
    <n v="2"/>
    <s v="CUST-2173"/>
    <s v="New"/>
    <x v="1"/>
    <s v="Sale"/>
  </r>
  <r>
    <s v="ORD-11641"/>
    <x v="561"/>
    <x v="3"/>
    <x v="0"/>
    <s v="Networking &amp; Security"/>
    <x v="7"/>
    <x v="86"/>
    <n v="211.87"/>
    <n v="1"/>
    <s v="CUST-1126"/>
    <s v="New"/>
    <x v="1"/>
    <s v="Sale"/>
  </r>
  <r>
    <s v="ORD-11642"/>
    <x v="561"/>
    <x v="3"/>
    <x v="2"/>
    <s v="Smart Home &amp; IoT"/>
    <x v="4"/>
    <x v="106"/>
    <n v="158.9"/>
    <n v="3"/>
    <s v="CUST-1391"/>
    <s v="New"/>
    <x v="1"/>
    <s v="Sale"/>
  </r>
  <r>
    <s v="ORD-11643"/>
    <x v="562"/>
    <x v="0"/>
    <x v="2"/>
    <s v="Networking &amp; Security"/>
    <x v="10"/>
    <x v="69"/>
    <n v="105.93"/>
    <n v="1"/>
    <s v="CUST-2854"/>
    <s v="New"/>
    <x v="1"/>
    <s v="Sale"/>
  </r>
  <r>
    <s v="ORD-11644"/>
    <x v="562"/>
    <x v="0"/>
    <x v="0"/>
    <s v="Accessories &amp; Power"/>
    <x v="2"/>
    <x v="68"/>
    <n v="38.520000000000003"/>
    <n v="2"/>
    <s v="CUST-1479"/>
    <s v="New"/>
    <x v="1"/>
    <s v="Sale"/>
  </r>
  <r>
    <s v="ORD-11645"/>
    <x v="562"/>
    <x v="1"/>
    <x v="0"/>
    <s v="Networking &amp; Security"/>
    <x v="10"/>
    <x v="109"/>
    <n v="-105.93"/>
    <n v="-1"/>
    <s v="CUST-1992"/>
    <s v="New"/>
    <x v="1"/>
    <s v="Return"/>
  </r>
  <r>
    <s v="ORD-11646"/>
    <x v="563"/>
    <x v="0"/>
    <x v="1"/>
    <s v="Accessories &amp; Power"/>
    <x v="11"/>
    <x v="74"/>
    <n v="86.67"/>
    <n v="1"/>
    <s v="CUST-2420"/>
    <s v="New"/>
    <x v="1"/>
    <s v="Sale"/>
  </r>
  <r>
    <s v="ORD-11647"/>
    <x v="563"/>
    <x v="2"/>
    <x v="1"/>
    <s v="Accessories &amp; Power"/>
    <x v="11"/>
    <x v="74"/>
    <n v="86.67"/>
    <n v="1"/>
    <s v="CUST-1922"/>
    <s v="New"/>
    <x v="1"/>
    <s v="Sale"/>
  </r>
  <r>
    <s v="ORD-11648"/>
    <x v="564"/>
    <x v="3"/>
    <x v="0"/>
    <s v="Networking &amp; Security"/>
    <x v="10"/>
    <x v="69"/>
    <n v="105.93"/>
    <n v="1"/>
    <s v="CUST-1401"/>
    <s v="Existing"/>
    <x v="0"/>
    <s v="Sale"/>
  </r>
  <r>
    <s v="ORD-11649"/>
    <x v="564"/>
    <x v="2"/>
    <x v="0"/>
    <s v="Laptops &amp; Computers"/>
    <x v="0"/>
    <x v="79"/>
    <n v="866.74"/>
    <n v="2"/>
    <s v="CUST-1273"/>
    <s v="New"/>
    <x v="1"/>
    <s v="Sale"/>
  </r>
  <r>
    <s v="ORD-11650"/>
    <x v="564"/>
    <x v="3"/>
    <x v="0"/>
    <s v="Networking &amp; Security"/>
    <x v="5"/>
    <x v="88"/>
    <n v="173.35"/>
    <n v="2"/>
    <s v="CUST-1844"/>
    <s v="Existing"/>
    <x v="0"/>
    <s v="Sale"/>
  </r>
  <r>
    <s v="ORD-11651"/>
    <x v="564"/>
    <x v="1"/>
    <x v="1"/>
    <s v="Accessories &amp; Power"/>
    <x v="3"/>
    <x v="73"/>
    <n v="125.2"/>
    <n v="2"/>
    <s v="CUST-2981"/>
    <s v="New"/>
    <x v="1"/>
    <s v="Sale"/>
  </r>
  <r>
    <s v="ORD-11652"/>
    <x v="564"/>
    <x v="0"/>
    <x v="0"/>
    <s v="Laptops &amp; Computers"/>
    <x v="0"/>
    <x v="83"/>
    <n v="433.37"/>
    <n v="1"/>
    <s v="CUST-2933"/>
    <s v="New"/>
    <x v="1"/>
    <s v="Sale"/>
  </r>
  <r>
    <s v="ORD-11653"/>
    <x v="564"/>
    <x v="2"/>
    <x v="2"/>
    <s v="Networking &amp; Security"/>
    <x v="10"/>
    <x v="69"/>
    <n v="105.93"/>
    <n v="1"/>
    <s v="CUST-1138"/>
    <s v="New"/>
    <x v="1"/>
    <s v="Sale"/>
  </r>
  <r>
    <s v="ORD-11654"/>
    <x v="565"/>
    <x v="1"/>
    <x v="0"/>
    <s v="Accessories &amp; Power"/>
    <x v="11"/>
    <x v="74"/>
    <n v="86.67"/>
    <n v="1"/>
    <s v="CUST-1102"/>
    <s v="New"/>
    <x v="1"/>
    <s v="Sale"/>
  </r>
  <r>
    <s v="ORD-11655"/>
    <x v="565"/>
    <x v="2"/>
    <x v="2"/>
    <s v="Networking &amp; Security"/>
    <x v="10"/>
    <x v="81"/>
    <n v="211.87"/>
    <n v="2"/>
    <s v="CUST-2265"/>
    <s v="Existing"/>
    <x v="0"/>
    <s v="Sale"/>
  </r>
  <r>
    <s v="ORD-11656"/>
    <x v="565"/>
    <x v="0"/>
    <x v="0"/>
    <s v="Smart Home &amp; IoT"/>
    <x v="4"/>
    <x v="84"/>
    <n v="264.83999999999997"/>
    <n v="5"/>
    <s v="CUST-2140"/>
    <s v="New"/>
    <x v="1"/>
    <s v="Sale"/>
  </r>
  <r>
    <s v="ORD-11657"/>
    <x v="566"/>
    <x v="0"/>
    <x v="2"/>
    <s v="Laptops &amp; Computers"/>
    <x v="9"/>
    <x v="70"/>
    <n v="577.83000000000004"/>
    <n v="1"/>
    <s v="CUST-2237"/>
    <s v="New"/>
    <x v="1"/>
    <s v="Sale"/>
  </r>
  <r>
    <s v="ORD-11658"/>
    <x v="567"/>
    <x v="4"/>
    <x v="0"/>
    <s v="Laptops &amp; Computers"/>
    <x v="6"/>
    <x v="77"/>
    <n v="818.59"/>
    <n v="1"/>
    <s v="CUST-1483"/>
    <s v="New"/>
    <x v="1"/>
    <s v="Sale"/>
  </r>
  <r>
    <s v="ORD-11659"/>
    <x v="567"/>
    <x v="0"/>
    <x v="2"/>
    <s v="Accessories &amp; Power"/>
    <x v="3"/>
    <x v="78"/>
    <n v="62.6"/>
    <n v="1"/>
    <s v="CUST-1528"/>
    <s v="New"/>
    <x v="1"/>
    <s v="Sale"/>
  </r>
  <r>
    <s v="ORD-11660"/>
    <x v="567"/>
    <x v="4"/>
    <x v="0"/>
    <s v="Laptops &amp; Computers"/>
    <x v="9"/>
    <x v="87"/>
    <n v="1155.6500000000001"/>
    <n v="2"/>
    <s v="CUST-2714"/>
    <s v="New"/>
    <x v="1"/>
    <s v="Sale"/>
  </r>
  <r>
    <s v="ORD-11661"/>
    <x v="567"/>
    <x v="4"/>
    <x v="2"/>
    <s v="Laptops &amp; Computers"/>
    <x v="6"/>
    <x v="82"/>
    <n v="1637.17"/>
    <n v="2"/>
    <s v="CUST-1223"/>
    <s v="Existing"/>
    <x v="0"/>
    <s v="Sale"/>
  </r>
  <r>
    <s v="ORD-11662"/>
    <x v="568"/>
    <x v="2"/>
    <x v="1"/>
    <s v="Accessories &amp; Power"/>
    <x v="2"/>
    <x v="68"/>
    <n v="38.520000000000003"/>
    <n v="2"/>
    <s v="CUST-2293"/>
    <s v="New"/>
    <x v="1"/>
    <s v="Sale"/>
  </r>
  <r>
    <s v="ORD-11663"/>
    <x v="568"/>
    <x v="2"/>
    <x v="0"/>
    <s v="Networking &amp; Security"/>
    <x v="5"/>
    <x v="74"/>
    <n v="86.67"/>
    <n v="1"/>
    <s v="CUST-2848"/>
    <s v="Existing"/>
    <x v="0"/>
    <s v="Sale"/>
  </r>
  <r>
    <s v="ORD-11664"/>
    <x v="568"/>
    <x v="5"/>
    <x v="1"/>
    <s v="Accessories &amp; Power"/>
    <x v="11"/>
    <x v="88"/>
    <n v="173.35"/>
    <n v="2"/>
    <s v="CUST-2884"/>
    <s v="Existing"/>
    <x v="0"/>
    <s v="Sale"/>
  </r>
  <r>
    <s v="ORD-11665"/>
    <x v="569"/>
    <x v="3"/>
    <x v="2"/>
    <s v="Accessories &amp; Power"/>
    <x v="11"/>
    <x v="88"/>
    <n v="173.35"/>
    <n v="2"/>
    <s v="CUST-2157"/>
    <s v="New"/>
    <x v="1"/>
    <s v="Sale"/>
  </r>
  <r>
    <s v="ORD-11666"/>
    <x v="570"/>
    <x v="0"/>
    <x v="0"/>
    <s v="Laptops &amp; Computers"/>
    <x v="9"/>
    <x v="70"/>
    <n v="577.83000000000004"/>
    <n v="1"/>
    <s v="CUST-1113"/>
    <s v="New"/>
    <x v="1"/>
    <s v="Sale"/>
  </r>
  <r>
    <s v="ORD-11667"/>
    <x v="571"/>
    <x v="1"/>
    <x v="0"/>
    <s v="Laptops &amp; Computers"/>
    <x v="6"/>
    <x v="77"/>
    <n v="818.59"/>
    <n v="1"/>
    <s v="CUST-2464"/>
    <s v="New"/>
    <x v="1"/>
    <s v="Sale"/>
  </r>
  <r>
    <s v="ORD-11668"/>
    <x v="571"/>
    <x v="5"/>
    <x v="0"/>
    <s v="Smart Home &amp; IoT"/>
    <x v="1"/>
    <x v="100"/>
    <n v="-67.41"/>
    <n v="-1"/>
    <s v="CUST-1643"/>
    <s v="Existing"/>
    <x v="0"/>
    <s v="Return"/>
  </r>
  <r>
    <s v="ORD-11669"/>
    <x v="571"/>
    <x v="1"/>
    <x v="2"/>
    <s v="Networking &amp; Security"/>
    <x v="7"/>
    <x v="86"/>
    <n v="211.87"/>
    <n v="1"/>
    <s v="CUST-1650"/>
    <s v="New"/>
    <x v="1"/>
    <s v="Sale"/>
  </r>
  <r>
    <s v="ORD-11670"/>
    <x v="572"/>
    <x v="1"/>
    <x v="2"/>
    <s v="Laptops &amp; Computers"/>
    <x v="0"/>
    <x v="97"/>
    <n v="1300.1099999999999"/>
    <n v="3"/>
    <s v="CUST-2388"/>
    <s v="New"/>
    <x v="1"/>
    <s v="Sale"/>
  </r>
  <r>
    <s v="ORD-11671"/>
    <x v="572"/>
    <x v="1"/>
    <x v="0"/>
    <s v="Smart Home &amp; IoT"/>
    <x v="8"/>
    <x v="73"/>
    <n v="125.2"/>
    <n v="1"/>
    <s v="CUST-2255"/>
    <s v="New"/>
    <x v="1"/>
    <s v="Sale"/>
  </r>
  <r>
    <s v="ORD-11672"/>
    <x v="572"/>
    <x v="5"/>
    <x v="2"/>
    <s v="Laptops &amp; Computers"/>
    <x v="0"/>
    <x v="79"/>
    <n v="866.74"/>
    <n v="2"/>
    <s v="CUST-1457"/>
    <s v="New"/>
    <x v="1"/>
    <s v="Sale"/>
  </r>
  <r>
    <s v="ORD-11673"/>
    <x v="573"/>
    <x v="3"/>
    <x v="1"/>
    <s v="Accessories &amp; Power"/>
    <x v="2"/>
    <x v="71"/>
    <n v="19.260000000000002"/>
    <n v="1"/>
    <s v="CUST-1374"/>
    <s v="Existing"/>
    <x v="0"/>
    <s v="Sale"/>
  </r>
  <r>
    <s v="ORD-11674"/>
    <x v="574"/>
    <x v="0"/>
    <x v="1"/>
    <s v="Laptops &amp; Computers"/>
    <x v="0"/>
    <x v="83"/>
    <n v="433.37"/>
    <n v="1"/>
    <s v="CUST-2627"/>
    <s v="New"/>
    <x v="1"/>
    <s v="Sale"/>
  </r>
  <r>
    <s v="ORD-11675"/>
    <x v="574"/>
    <x v="4"/>
    <x v="2"/>
    <s v="Laptops &amp; Computers"/>
    <x v="9"/>
    <x v="70"/>
    <n v="577.83000000000004"/>
    <n v="1"/>
    <s v="CUST-2802"/>
    <s v="Existing"/>
    <x v="0"/>
    <s v="Sale"/>
  </r>
  <r>
    <s v="ORD-11676"/>
    <x v="575"/>
    <x v="2"/>
    <x v="1"/>
    <s v="Laptops &amp; Computers"/>
    <x v="6"/>
    <x v="77"/>
    <n v="818.59"/>
    <n v="1"/>
    <s v="CUST-1610"/>
    <s v="New"/>
    <x v="1"/>
    <s v="Sale"/>
  </r>
  <r>
    <s v="ORD-11677"/>
    <x v="576"/>
    <x v="3"/>
    <x v="2"/>
    <s v="Accessories &amp; Power"/>
    <x v="3"/>
    <x v="78"/>
    <n v="62.6"/>
    <n v="1"/>
    <s v="CUST-1206"/>
    <s v="New"/>
    <x v="1"/>
    <s v="Sale"/>
  </r>
  <r>
    <s v="ORD-11678"/>
    <x v="576"/>
    <x v="5"/>
    <x v="0"/>
    <s v="Smart Home &amp; IoT"/>
    <x v="4"/>
    <x v="68"/>
    <n v="52.97"/>
    <n v="1"/>
    <s v="CUST-2543"/>
    <s v="New"/>
    <x v="1"/>
    <s v="Sale"/>
  </r>
  <r>
    <s v="ORD-11679"/>
    <x v="576"/>
    <x v="2"/>
    <x v="1"/>
    <s v="Accessories &amp; Power"/>
    <x v="2"/>
    <x v="71"/>
    <n v="19.260000000000002"/>
    <n v="1"/>
    <s v="CUST-2491"/>
    <s v="New"/>
    <x v="1"/>
    <s v="Sale"/>
  </r>
  <r>
    <s v="ORD-11680"/>
    <x v="577"/>
    <x v="0"/>
    <x v="0"/>
    <s v="Networking &amp; Security"/>
    <x v="7"/>
    <x v="86"/>
    <n v="211.87"/>
    <n v="1"/>
    <s v="CUST-2905"/>
    <s v="New"/>
    <x v="1"/>
    <s v="Sale"/>
  </r>
  <r>
    <s v="ORD-11681"/>
    <x v="577"/>
    <x v="3"/>
    <x v="0"/>
    <s v="Networking &amp; Security"/>
    <x v="10"/>
    <x v="69"/>
    <n v="105.93"/>
    <n v="1"/>
    <s v="CUST-2466"/>
    <s v="New"/>
    <x v="1"/>
    <s v="Sale"/>
  </r>
  <r>
    <s v="ORD-11682"/>
    <x v="577"/>
    <x v="0"/>
    <x v="0"/>
    <s v="Laptops &amp; Computers"/>
    <x v="9"/>
    <x v="70"/>
    <n v="577.83000000000004"/>
    <n v="1"/>
    <s v="CUST-1916"/>
    <s v="New"/>
    <x v="1"/>
    <s v="Sale"/>
  </r>
  <r>
    <s v="ORD-11683"/>
    <x v="577"/>
    <x v="3"/>
    <x v="1"/>
    <s v="Networking &amp; Security"/>
    <x v="10"/>
    <x v="69"/>
    <n v="105.93"/>
    <n v="1"/>
    <s v="CUST-1320"/>
    <s v="New"/>
    <x v="1"/>
    <s v="Sale"/>
  </r>
  <r>
    <s v="ORD-11684"/>
    <x v="577"/>
    <x v="4"/>
    <x v="1"/>
    <s v="Smart Home &amp; IoT"/>
    <x v="8"/>
    <x v="85"/>
    <n v="375.59"/>
    <n v="3"/>
    <s v="CUST-1092"/>
    <s v="New"/>
    <x v="1"/>
    <s v="Sale"/>
  </r>
  <r>
    <s v="ORD-11685"/>
    <x v="577"/>
    <x v="0"/>
    <x v="0"/>
    <s v="Smart Home &amp; IoT"/>
    <x v="8"/>
    <x v="128"/>
    <n v="-125.2"/>
    <n v="-1"/>
    <s v="CUST-2431"/>
    <s v="New"/>
    <x v="1"/>
    <s v="Return"/>
  </r>
  <r>
    <s v="ORD-11686"/>
    <x v="577"/>
    <x v="0"/>
    <x v="0"/>
    <s v="Laptops &amp; Computers"/>
    <x v="9"/>
    <x v="87"/>
    <n v="1155.6500000000001"/>
    <n v="2"/>
    <s v="CUST-2181"/>
    <s v="Existing"/>
    <x v="0"/>
    <s v="Sale"/>
  </r>
  <r>
    <s v="ORD-11687"/>
    <x v="578"/>
    <x v="2"/>
    <x v="0"/>
    <s v="Accessories &amp; Power"/>
    <x v="2"/>
    <x v="71"/>
    <n v="19.260000000000002"/>
    <n v="1"/>
    <s v="CUST-1871"/>
    <s v="Existing"/>
    <x v="0"/>
    <s v="Sale"/>
  </r>
  <r>
    <s v="ORD-11688"/>
    <x v="579"/>
    <x v="0"/>
    <x v="2"/>
    <s v="Laptops &amp; Computers"/>
    <x v="6"/>
    <x v="82"/>
    <n v="1637.17"/>
    <n v="2"/>
    <s v="CUST-1098"/>
    <s v="New"/>
    <x v="1"/>
    <s v="Sale"/>
  </r>
  <r>
    <s v="ORD-11689"/>
    <x v="579"/>
    <x v="3"/>
    <x v="0"/>
    <s v="Accessories &amp; Power"/>
    <x v="2"/>
    <x v="71"/>
    <n v="19.260000000000002"/>
    <n v="1"/>
    <s v="CUST-1224"/>
    <s v="New"/>
    <x v="1"/>
    <s v="Sale"/>
  </r>
  <r>
    <s v="ORD-11690"/>
    <x v="580"/>
    <x v="0"/>
    <x v="2"/>
    <s v="Laptops &amp; Computers"/>
    <x v="0"/>
    <x v="97"/>
    <n v="1300.1099999999999"/>
    <n v="3"/>
    <s v="CUST-1851"/>
    <s v="New"/>
    <x v="1"/>
    <s v="Sale"/>
  </r>
  <r>
    <s v="ORD-11691"/>
    <x v="581"/>
    <x v="0"/>
    <x v="0"/>
    <s v="Networking &amp; Security"/>
    <x v="7"/>
    <x v="86"/>
    <n v="211.87"/>
    <n v="1"/>
    <s v="CUST-1440"/>
    <s v="New"/>
    <x v="1"/>
    <s v="Sale"/>
  </r>
  <r>
    <s v="ORD-11692"/>
    <x v="582"/>
    <x v="4"/>
    <x v="0"/>
    <s v="Networking &amp; Security"/>
    <x v="7"/>
    <x v="93"/>
    <n v="423.74"/>
    <n v="2"/>
    <s v="CUST-1719"/>
    <s v="New"/>
    <x v="1"/>
    <s v="Sale"/>
  </r>
  <r>
    <s v="ORD-11693"/>
    <x v="582"/>
    <x v="2"/>
    <x v="0"/>
    <s v="Networking &amp; Security"/>
    <x v="5"/>
    <x v="74"/>
    <n v="86.67"/>
    <n v="1"/>
    <s v="CUST-1584"/>
    <s v="New"/>
    <x v="1"/>
    <s v="Sale"/>
  </r>
  <r>
    <s v="ORD-11694"/>
    <x v="582"/>
    <x v="3"/>
    <x v="0"/>
    <s v="Smart Home &amp; IoT"/>
    <x v="4"/>
    <x v="68"/>
    <n v="52.97"/>
    <n v="1"/>
    <s v="CUST-2424"/>
    <s v="New"/>
    <x v="1"/>
    <s v="Sale"/>
  </r>
  <r>
    <s v="ORD-11695"/>
    <x v="582"/>
    <x v="1"/>
    <x v="1"/>
    <s v="Networking &amp; Security"/>
    <x v="7"/>
    <x v="93"/>
    <n v="423.74"/>
    <n v="2"/>
    <s v="CUST-2594"/>
    <s v="New"/>
    <x v="1"/>
    <s v="Sale"/>
  </r>
  <r>
    <s v="ORD-11696"/>
    <x v="582"/>
    <x v="2"/>
    <x v="0"/>
    <s v="Networking &amp; Security"/>
    <x v="5"/>
    <x v="74"/>
    <n v="86.67"/>
    <n v="1"/>
    <s v="CUST-2822"/>
    <s v="Existing"/>
    <x v="0"/>
    <s v="Sale"/>
  </r>
  <r>
    <s v="ORD-11697"/>
    <x v="582"/>
    <x v="5"/>
    <x v="0"/>
    <s v="Smart Home &amp; IoT"/>
    <x v="4"/>
    <x v="68"/>
    <n v="52.97"/>
    <n v="1"/>
    <s v="CUST-1063"/>
    <s v="New"/>
    <x v="1"/>
    <s v="Sale"/>
  </r>
  <r>
    <s v="ORD-11698"/>
    <x v="582"/>
    <x v="5"/>
    <x v="0"/>
    <s v="Smart Home &amp; IoT"/>
    <x v="8"/>
    <x v="73"/>
    <n v="125.2"/>
    <n v="1"/>
    <s v="CUST-1767"/>
    <s v="Existing"/>
    <x v="0"/>
    <s v="Sale"/>
  </r>
  <r>
    <s v="ORD-11699"/>
    <x v="582"/>
    <x v="2"/>
    <x v="0"/>
    <s v="Accessories &amp; Power"/>
    <x v="2"/>
    <x v="68"/>
    <n v="38.520000000000003"/>
    <n v="2"/>
    <s v="CUST-1559"/>
    <s v="New"/>
    <x v="1"/>
    <s v="Sale"/>
  </r>
  <r>
    <s v="ORD-11700"/>
    <x v="583"/>
    <x v="5"/>
    <x v="0"/>
    <s v="Laptops &amp; Computers"/>
    <x v="6"/>
    <x v="129"/>
    <n v="3274.34"/>
    <n v="4"/>
    <s v="CUST-2302"/>
    <s v="New"/>
    <x v="1"/>
    <s v="Sale"/>
  </r>
  <r>
    <s v="ORD-11701"/>
    <x v="584"/>
    <x v="1"/>
    <x v="0"/>
    <s v="Smart Home &amp; IoT"/>
    <x v="8"/>
    <x v="73"/>
    <n v="125.2"/>
    <n v="1"/>
    <s v="CUST-2733"/>
    <s v="Existing"/>
    <x v="0"/>
    <s v="Sale"/>
  </r>
  <r>
    <s v="ORD-11702"/>
    <x v="584"/>
    <x v="0"/>
    <x v="2"/>
    <s v="Smart Home &amp; IoT"/>
    <x v="4"/>
    <x v="69"/>
    <n v="105.93"/>
    <n v="2"/>
    <s v="CUST-1669"/>
    <s v="New"/>
    <x v="1"/>
    <s v="Sale"/>
  </r>
  <r>
    <s v="ORD-11703"/>
    <x v="584"/>
    <x v="2"/>
    <x v="2"/>
    <s v="Networking &amp; Security"/>
    <x v="5"/>
    <x v="104"/>
    <n v="-86.67"/>
    <n v="-1"/>
    <s v="CUST-2846"/>
    <s v="Existing"/>
    <x v="0"/>
    <s v="Return"/>
  </r>
  <r>
    <s v="ORD-11704"/>
    <x v="584"/>
    <x v="0"/>
    <x v="0"/>
    <s v="Networking &amp; Security"/>
    <x v="7"/>
    <x v="86"/>
    <n v="211.87"/>
    <n v="1"/>
    <s v="CUST-2542"/>
    <s v="Existing"/>
    <x v="0"/>
    <s v="Sale"/>
  </r>
  <r>
    <s v="ORD-11705"/>
    <x v="585"/>
    <x v="2"/>
    <x v="0"/>
    <s v="Networking &amp; Security"/>
    <x v="5"/>
    <x v="84"/>
    <n v="260.02"/>
    <n v="3"/>
    <s v="CUST-2271"/>
    <s v="New"/>
    <x v="1"/>
    <s v="Sale"/>
  </r>
  <r>
    <s v="ORD-11706"/>
    <x v="585"/>
    <x v="0"/>
    <x v="1"/>
    <s v="Laptops &amp; Computers"/>
    <x v="6"/>
    <x v="80"/>
    <n v="2455.7600000000002"/>
    <n v="3"/>
    <s v="CUST-1367"/>
    <s v="New"/>
    <x v="1"/>
    <s v="Sale"/>
  </r>
  <r>
    <s v="ORD-11707"/>
    <x v="585"/>
    <x v="5"/>
    <x v="0"/>
    <s v="Laptops &amp; Computers"/>
    <x v="6"/>
    <x v="82"/>
    <n v="1637.17"/>
    <n v="2"/>
    <s v="CUST-1743"/>
    <s v="Existing"/>
    <x v="0"/>
    <s v="Sale"/>
  </r>
  <r>
    <s v="ORD-11708"/>
    <x v="586"/>
    <x v="2"/>
    <x v="0"/>
    <s v="Laptops &amp; Computers"/>
    <x v="0"/>
    <x v="83"/>
    <n v="433.37"/>
    <n v="1"/>
    <s v="CUST-1617"/>
    <s v="Existing"/>
    <x v="0"/>
    <s v="Sale"/>
  </r>
  <r>
    <s v="ORD-11709"/>
    <x v="587"/>
    <x v="0"/>
    <x v="0"/>
    <s v="Smart Home &amp; IoT"/>
    <x v="1"/>
    <x v="72"/>
    <n v="67.41"/>
    <n v="1"/>
    <s v="CUST-2005"/>
    <s v="New"/>
    <x v="1"/>
    <s v="Sale"/>
  </r>
  <r>
    <s v="ORD-11710"/>
    <x v="587"/>
    <x v="0"/>
    <x v="0"/>
    <s v="Smart Home &amp; IoT"/>
    <x v="4"/>
    <x v="68"/>
    <n v="52.97"/>
    <n v="1"/>
    <s v="CUST-2994"/>
    <s v="New"/>
    <x v="1"/>
    <s v="Sale"/>
  </r>
  <r>
    <s v="ORD-11711"/>
    <x v="587"/>
    <x v="0"/>
    <x v="2"/>
    <s v="Accessories &amp; Power"/>
    <x v="11"/>
    <x v="74"/>
    <n v="86.67"/>
    <n v="1"/>
    <s v="CUST-2121"/>
    <s v="New"/>
    <x v="1"/>
    <s v="Sale"/>
  </r>
  <r>
    <s v="ORD-11712"/>
    <x v="587"/>
    <x v="5"/>
    <x v="0"/>
    <s v="Smart Home &amp; IoT"/>
    <x v="4"/>
    <x v="68"/>
    <n v="52.97"/>
    <n v="1"/>
    <s v="CUST-2291"/>
    <s v="New"/>
    <x v="1"/>
    <s v="Sale"/>
  </r>
  <r>
    <s v="ORD-11713"/>
    <x v="588"/>
    <x v="3"/>
    <x v="2"/>
    <s v="Laptops &amp; Computers"/>
    <x v="6"/>
    <x v="82"/>
    <n v="1637.17"/>
    <n v="2"/>
    <s v="CUST-2083"/>
    <s v="New"/>
    <x v="1"/>
    <s v="Sale"/>
  </r>
  <r>
    <s v="ORD-11714"/>
    <x v="588"/>
    <x v="0"/>
    <x v="0"/>
    <s v="Accessories &amp; Power"/>
    <x v="2"/>
    <x v="117"/>
    <n v="57.78"/>
    <n v="3"/>
    <s v="CUST-1499"/>
    <s v="New"/>
    <x v="1"/>
    <s v="Sale"/>
  </r>
  <r>
    <s v="ORD-11715"/>
    <x v="588"/>
    <x v="2"/>
    <x v="0"/>
    <s v="Accessories &amp; Power"/>
    <x v="2"/>
    <x v="71"/>
    <n v="19.260000000000002"/>
    <n v="1"/>
    <s v="CUST-2331"/>
    <s v="New"/>
    <x v="1"/>
    <s v="Sale"/>
  </r>
  <r>
    <s v="ORD-11716"/>
    <x v="589"/>
    <x v="1"/>
    <x v="2"/>
    <s v="Networking &amp; Security"/>
    <x v="10"/>
    <x v="69"/>
    <n v="105.93"/>
    <n v="1"/>
    <s v="CUST-2516"/>
    <s v="New"/>
    <x v="1"/>
    <s v="Sale"/>
  </r>
  <r>
    <s v="ORD-11717"/>
    <x v="589"/>
    <x v="1"/>
    <x v="0"/>
    <s v="Smart Home &amp; IoT"/>
    <x v="4"/>
    <x v="106"/>
    <n v="158.9"/>
    <n v="3"/>
    <s v="CUST-2006"/>
    <s v="New"/>
    <x v="1"/>
    <s v="Sale"/>
  </r>
  <r>
    <s v="ORD-11718"/>
    <x v="589"/>
    <x v="4"/>
    <x v="2"/>
    <s v="Accessories &amp; Power"/>
    <x v="3"/>
    <x v="78"/>
    <n v="62.6"/>
    <n v="1"/>
    <s v="CUST-1410"/>
    <s v="Existing"/>
    <x v="0"/>
    <s v="Sale"/>
  </r>
  <r>
    <s v="ORD-11719"/>
    <x v="589"/>
    <x v="1"/>
    <x v="0"/>
    <s v="Networking &amp; Security"/>
    <x v="7"/>
    <x v="93"/>
    <n v="423.74"/>
    <n v="2"/>
    <s v="CUST-2017"/>
    <s v="Existing"/>
    <x v="0"/>
    <s v="Sale"/>
  </r>
  <r>
    <s v="ORD-11720"/>
    <x v="590"/>
    <x v="1"/>
    <x v="2"/>
    <s v="Accessories &amp; Power"/>
    <x v="3"/>
    <x v="78"/>
    <n v="62.6"/>
    <n v="1"/>
    <s v="CUST-2163"/>
    <s v="New"/>
    <x v="1"/>
    <s v="Sale"/>
  </r>
  <r>
    <s v="ORD-11721"/>
    <x v="590"/>
    <x v="0"/>
    <x v="0"/>
    <s v="Laptops &amp; Computers"/>
    <x v="6"/>
    <x v="77"/>
    <n v="818.59"/>
    <n v="1"/>
    <s v="CUST-2932"/>
    <s v="New"/>
    <x v="1"/>
    <s v="Sale"/>
  </r>
  <r>
    <s v="ORD-11722"/>
    <x v="591"/>
    <x v="0"/>
    <x v="1"/>
    <s v="Laptops &amp; Computers"/>
    <x v="0"/>
    <x v="96"/>
    <n v="2166.84"/>
    <n v="5"/>
    <s v="CUST-2351"/>
    <s v="New"/>
    <x v="1"/>
    <s v="Sale"/>
  </r>
  <r>
    <s v="ORD-11723"/>
    <x v="591"/>
    <x v="0"/>
    <x v="0"/>
    <s v="Networking &amp; Security"/>
    <x v="10"/>
    <x v="69"/>
    <n v="105.93"/>
    <n v="1"/>
    <s v="CUST-1463"/>
    <s v="New"/>
    <x v="1"/>
    <s v="Sale"/>
  </r>
  <r>
    <s v="ORD-11724"/>
    <x v="591"/>
    <x v="0"/>
    <x v="1"/>
    <s v="Smart Home &amp; IoT"/>
    <x v="1"/>
    <x v="72"/>
    <n v="67.41"/>
    <n v="1"/>
    <s v="CUST-1701"/>
    <s v="New"/>
    <x v="1"/>
    <s v="Sale"/>
  </r>
  <r>
    <s v="ORD-11725"/>
    <x v="592"/>
    <x v="5"/>
    <x v="0"/>
    <s v="Accessories &amp; Power"/>
    <x v="2"/>
    <x v="71"/>
    <n v="19.260000000000002"/>
    <n v="1"/>
    <s v="CUST-2660"/>
    <s v="New"/>
    <x v="1"/>
    <s v="Sale"/>
  </r>
  <r>
    <s v="ORD-11726"/>
    <x v="592"/>
    <x v="1"/>
    <x v="2"/>
    <s v="Accessories &amp; Power"/>
    <x v="2"/>
    <x v="114"/>
    <n v="-57.78"/>
    <n v="-3"/>
    <s v="CUST-2948"/>
    <s v="New"/>
    <x v="1"/>
    <s v="Return"/>
  </r>
  <r>
    <s v="ORD-11727"/>
    <x v="592"/>
    <x v="5"/>
    <x v="0"/>
    <s v="Networking &amp; Security"/>
    <x v="7"/>
    <x v="91"/>
    <n v="635.61"/>
    <n v="3"/>
    <s v="CUST-1162"/>
    <s v="New"/>
    <x v="1"/>
    <s v="Sale"/>
  </r>
  <r>
    <s v="ORD-11728"/>
    <x v="592"/>
    <x v="0"/>
    <x v="1"/>
    <s v="Laptops &amp; Computers"/>
    <x v="9"/>
    <x v="92"/>
    <n v="-577.83000000000004"/>
    <n v="-1"/>
    <s v="CUST-1059"/>
    <s v="New"/>
    <x v="1"/>
    <s v="Return"/>
  </r>
  <r>
    <s v="ORD-11729"/>
    <x v="593"/>
    <x v="0"/>
    <x v="0"/>
    <s v="Accessories &amp; Power"/>
    <x v="11"/>
    <x v="74"/>
    <n v="86.67"/>
    <n v="1"/>
    <s v="CUST-2948"/>
    <s v="New"/>
    <x v="1"/>
    <s v="Sale"/>
  </r>
  <r>
    <s v="ORD-11730"/>
    <x v="593"/>
    <x v="2"/>
    <x v="0"/>
    <s v="Smart Home &amp; IoT"/>
    <x v="1"/>
    <x v="76"/>
    <n v="134.83000000000001"/>
    <n v="2"/>
    <s v="CUST-2054"/>
    <s v="New"/>
    <x v="1"/>
    <s v="Sale"/>
  </r>
  <r>
    <s v="ORD-11731"/>
    <x v="593"/>
    <x v="4"/>
    <x v="0"/>
    <s v="Laptops &amp; Computers"/>
    <x v="0"/>
    <x v="83"/>
    <n v="433.37"/>
    <n v="1"/>
    <s v="CUST-1332"/>
    <s v="New"/>
    <x v="1"/>
    <s v="Sale"/>
  </r>
  <r>
    <s v="ORD-11732"/>
    <x v="593"/>
    <x v="0"/>
    <x v="0"/>
    <s v="Networking &amp; Security"/>
    <x v="10"/>
    <x v="81"/>
    <n v="211.87"/>
    <n v="2"/>
    <s v="CUST-1075"/>
    <s v="New"/>
    <x v="1"/>
    <s v="Sale"/>
  </r>
  <r>
    <s v="ORD-11733"/>
    <x v="594"/>
    <x v="3"/>
    <x v="0"/>
    <s v="Smart Home &amp; IoT"/>
    <x v="8"/>
    <x v="73"/>
    <n v="125.2"/>
    <n v="1"/>
    <s v="CUST-2778"/>
    <s v="New"/>
    <x v="1"/>
    <s v="Sale"/>
  </r>
  <r>
    <s v="ORD-11734"/>
    <x v="595"/>
    <x v="5"/>
    <x v="1"/>
    <s v="Accessories &amp; Power"/>
    <x v="2"/>
    <x v="71"/>
    <n v="19.260000000000002"/>
    <n v="1"/>
    <s v="CUST-1316"/>
    <s v="New"/>
    <x v="1"/>
    <s v="Sale"/>
  </r>
  <r>
    <s v="ORD-11735"/>
    <x v="595"/>
    <x v="5"/>
    <x v="1"/>
    <s v="Networking &amp; Security"/>
    <x v="7"/>
    <x v="93"/>
    <n v="423.74"/>
    <n v="2"/>
    <s v="CUST-2793"/>
    <s v="Existing"/>
    <x v="0"/>
    <s v="Sale"/>
  </r>
  <r>
    <s v="ORD-11736"/>
    <x v="595"/>
    <x v="5"/>
    <x v="0"/>
    <s v="Networking &amp; Security"/>
    <x v="10"/>
    <x v="69"/>
    <n v="105.93"/>
    <n v="1"/>
    <s v="CUST-2440"/>
    <s v="New"/>
    <x v="1"/>
    <s v="Sale"/>
  </r>
  <r>
    <s v="ORD-11737"/>
    <x v="596"/>
    <x v="0"/>
    <x v="1"/>
    <s v="Accessories &amp; Power"/>
    <x v="3"/>
    <x v="67"/>
    <n v="187.79"/>
    <n v="3"/>
    <s v="CUST-2991"/>
    <s v="New"/>
    <x v="1"/>
    <s v="Sale"/>
  </r>
  <r>
    <s v="ORD-11738"/>
    <x v="596"/>
    <x v="0"/>
    <x v="2"/>
    <s v="Smart Home &amp; IoT"/>
    <x v="8"/>
    <x v="73"/>
    <n v="125.2"/>
    <n v="1"/>
    <s v="CUST-1189"/>
    <s v="Existing"/>
    <x v="0"/>
    <s v="Sale"/>
  </r>
  <r>
    <s v="ORD-11739"/>
    <x v="596"/>
    <x v="5"/>
    <x v="0"/>
    <s v="Networking &amp; Security"/>
    <x v="5"/>
    <x v="74"/>
    <n v="86.67"/>
    <n v="1"/>
    <s v="CUST-2512"/>
    <s v="Existing"/>
    <x v="0"/>
    <s v="Sale"/>
  </r>
  <r>
    <s v="ORD-11740"/>
    <x v="596"/>
    <x v="1"/>
    <x v="2"/>
    <s v="Laptops &amp; Computers"/>
    <x v="9"/>
    <x v="130"/>
    <n v="2889.13"/>
    <n v="5"/>
    <s v="CUST-2912"/>
    <s v="New"/>
    <x v="1"/>
    <s v="Sale"/>
  </r>
  <r>
    <s v="ORD-11741"/>
    <x v="597"/>
    <x v="4"/>
    <x v="2"/>
    <s v="Smart Home &amp; IoT"/>
    <x v="1"/>
    <x v="72"/>
    <n v="67.41"/>
    <n v="1"/>
    <s v="CUST-2338"/>
    <s v="Existing"/>
    <x v="0"/>
    <s v="Sale"/>
  </r>
  <r>
    <s v="ORD-11742"/>
    <x v="597"/>
    <x v="1"/>
    <x v="1"/>
    <s v="Laptops &amp; Computers"/>
    <x v="0"/>
    <x v="79"/>
    <n v="866.74"/>
    <n v="2"/>
    <s v="CUST-1295"/>
    <s v="New"/>
    <x v="1"/>
    <s v="Sale"/>
  </r>
  <r>
    <s v="ORD-11743"/>
    <x v="597"/>
    <x v="0"/>
    <x v="0"/>
    <s v="Laptops &amp; Computers"/>
    <x v="6"/>
    <x v="77"/>
    <n v="818.59"/>
    <n v="1"/>
    <s v="CUST-1500"/>
    <s v="New"/>
    <x v="1"/>
    <s v="Sale"/>
  </r>
  <r>
    <s v="ORD-11744"/>
    <x v="598"/>
    <x v="2"/>
    <x v="2"/>
    <s v="Networking &amp; Security"/>
    <x v="10"/>
    <x v="81"/>
    <n v="211.87"/>
    <n v="2"/>
    <s v="CUST-1176"/>
    <s v="New"/>
    <x v="1"/>
    <s v="Sale"/>
  </r>
  <r>
    <s v="ORD-11745"/>
    <x v="598"/>
    <x v="0"/>
    <x v="0"/>
    <s v="Laptops &amp; Computers"/>
    <x v="9"/>
    <x v="87"/>
    <n v="1155.6500000000001"/>
    <n v="2"/>
    <s v="CUST-1799"/>
    <s v="New"/>
    <x v="1"/>
    <s v="Sale"/>
  </r>
  <r>
    <s v="ORD-11746"/>
    <x v="598"/>
    <x v="5"/>
    <x v="0"/>
    <s v="Smart Home &amp; IoT"/>
    <x v="1"/>
    <x v="72"/>
    <n v="67.41"/>
    <n v="1"/>
    <s v="CUST-1805"/>
    <s v="Existing"/>
    <x v="0"/>
    <s v="Sale"/>
  </r>
  <r>
    <s v="ORD-11747"/>
    <x v="598"/>
    <x v="2"/>
    <x v="0"/>
    <s v="Laptops &amp; Computers"/>
    <x v="0"/>
    <x v="79"/>
    <n v="866.74"/>
    <n v="2"/>
    <s v="CUST-1859"/>
    <s v="Existing"/>
    <x v="0"/>
    <s v="Sale"/>
  </r>
  <r>
    <s v="ORD-11748"/>
    <x v="599"/>
    <x v="4"/>
    <x v="1"/>
    <s v="Smart Home &amp; IoT"/>
    <x v="8"/>
    <x v="89"/>
    <n v="250.39"/>
    <n v="2"/>
    <s v="CUST-2742"/>
    <s v="Existing"/>
    <x v="0"/>
    <s v="Sale"/>
  </r>
  <r>
    <s v="ORD-11749"/>
    <x v="599"/>
    <x v="2"/>
    <x v="1"/>
    <s v="Laptops &amp; Computers"/>
    <x v="6"/>
    <x v="77"/>
    <n v="818.59"/>
    <n v="1"/>
    <s v="CUST-1214"/>
    <s v="New"/>
    <x v="1"/>
    <s v="Sale"/>
  </r>
  <r>
    <s v="ORD-11750"/>
    <x v="599"/>
    <x v="2"/>
    <x v="2"/>
    <s v="Laptops &amp; Computers"/>
    <x v="6"/>
    <x v="77"/>
    <n v="818.59"/>
    <n v="1"/>
    <s v="CUST-2879"/>
    <s v="New"/>
    <x v="1"/>
    <s v="Sale"/>
  </r>
  <r>
    <s v="ORD-11751"/>
    <x v="599"/>
    <x v="2"/>
    <x v="2"/>
    <s v="Laptops &amp; Computers"/>
    <x v="0"/>
    <x v="83"/>
    <n v="433.37"/>
    <n v="1"/>
    <s v="CUST-1652"/>
    <s v="Existing"/>
    <x v="0"/>
    <s v="Sale"/>
  </r>
  <r>
    <s v="ORD-11752"/>
    <x v="600"/>
    <x v="4"/>
    <x v="0"/>
    <s v="Accessories &amp; Power"/>
    <x v="11"/>
    <x v="74"/>
    <n v="86.67"/>
    <n v="1"/>
    <s v="CUST-1596"/>
    <s v="Existing"/>
    <x v="0"/>
    <s v="Sale"/>
  </r>
  <r>
    <s v="ORD-11753"/>
    <x v="600"/>
    <x v="0"/>
    <x v="0"/>
    <s v="Accessories &amp; Power"/>
    <x v="3"/>
    <x v="131"/>
    <n v="-62.6"/>
    <n v="-1"/>
    <s v="CUST-2717"/>
    <s v="New"/>
    <x v="1"/>
    <s v="Return"/>
  </r>
  <r>
    <s v="ORD-11754"/>
    <x v="600"/>
    <x v="0"/>
    <x v="0"/>
    <s v="Laptops &amp; Computers"/>
    <x v="6"/>
    <x v="77"/>
    <n v="818.59"/>
    <n v="1"/>
    <s v="CUST-2355"/>
    <s v="New"/>
    <x v="1"/>
    <s v="Sale"/>
  </r>
  <r>
    <s v="ORD-11755"/>
    <x v="601"/>
    <x v="0"/>
    <x v="0"/>
    <s v="Accessories &amp; Power"/>
    <x v="2"/>
    <x v="71"/>
    <n v="19.260000000000002"/>
    <n v="1"/>
    <s v="CUST-1127"/>
    <s v="New"/>
    <x v="1"/>
    <s v="Sale"/>
  </r>
  <r>
    <s v="ORD-11756"/>
    <x v="601"/>
    <x v="0"/>
    <x v="2"/>
    <s v="Smart Home &amp; IoT"/>
    <x v="8"/>
    <x v="89"/>
    <n v="250.39"/>
    <n v="2"/>
    <s v="CUST-2292"/>
    <s v="New"/>
    <x v="1"/>
    <s v="Sale"/>
  </r>
  <r>
    <s v="ORD-11757"/>
    <x v="601"/>
    <x v="2"/>
    <x v="2"/>
    <s v="Accessories &amp; Power"/>
    <x v="3"/>
    <x v="78"/>
    <n v="62.6"/>
    <n v="1"/>
    <s v="CUST-1550"/>
    <s v="New"/>
    <x v="1"/>
    <s v="Sale"/>
  </r>
  <r>
    <s v="ORD-11758"/>
    <x v="602"/>
    <x v="5"/>
    <x v="0"/>
    <s v="Networking &amp; Security"/>
    <x v="10"/>
    <x v="75"/>
    <n v="317.8"/>
    <n v="3"/>
    <s v="CUST-2558"/>
    <s v="New"/>
    <x v="1"/>
    <s v="Sale"/>
  </r>
  <r>
    <s v="ORD-11759"/>
    <x v="602"/>
    <x v="5"/>
    <x v="0"/>
    <s v="Smart Home &amp; IoT"/>
    <x v="1"/>
    <x v="72"/>
    <n v="67.41"/>
    <n v="1"/>
    <s v="CUST-2777"/>
    <s v="New"/>
    <x v="1"/>
    <s v="Sale"/>
  </r>
  <r>
    <s v="ORD-11760"/>
    <x v="602"/>
    <x v="0"/>
    <x v="0"/>
    <s v="Laptops &amp; Computers"/>
    <x v="0"/>
    <x v="83"/>
    <n v="433.37"/>
    <n v="1"/>
    <s v="CUST-2389"/>
    <s v="New"/>
    <x v="1"/>
    <s v="Sale"/>
  </r>
  <r>
    <s v="ORD-11761"/>
    <x v="603"/>
    <x v="2"/>
    <x v="0"/>
    <s v="Networking &amp; Security"/>
    <x v="10"/>
    <x v="81"/>
    <n v="211.87"/>
    <n v="2"/>
    <s v="CUST-1618"/>
    <s v="New"/>
    <x v="1"/>
    <s v="Sale"/>
  </r>
  <r>
    <s v="ORD-11762"/>
    <x v="604"/>
    <x v="1"/>
    <x v="1"/>
    <s v="Accessories &amp; Power"/>
    <x v="3"/>
    <x v="78"/>
    <n v="62.6"/>
    <n v="1"/>
    <s v="CUST-1347"/>
    <s v="Existing"/>
    <x v="0"/>
    <s v="Sale"/>
  </r>
  <r>
    <s v="ORD-11763"/>
    <x v="604"/>
    <x v="2"/>
    <x v="2"/>
    <s v="Networking &amp; Security"/>
    <x v="7"/>
    <x v="86"/>
    <n v="211.87"/>
    <n v="1"/>
    <s v="CUST-1141"/>
    <s v="Existing"/>
    <x v="0"/>
    <s v="Sale"/>
  </r>
  <r>
    <s v="ORD-11764"/>
    <x v="604"/>
    <x v="5"/>
    <x v="1"/>
    <s v="Laptops &amp; Computers"/>
    <x v="0"/>
    <x v="83"/>
    <n v="433.37"/>
    <n v="1"/>
    <s v="CUST-2168"/>
    <s v="New"/>
    <x v="1"/>
    <s v="Sale"/>
  </r>
  <r>
    <s v="ORD-11765"/>
    <x v="604"/>
    <x v="1"/>
    <x v="0"/>
    <s v="Laptops &amp; Computers"/>
    <x v="0"/>
    <x v="83"/>
    <n v="433.37"/>
    <n v="1"/>
    <s v="CUST-1791"/>
    <s v="New"/>
    <x v="1"/>
    <s v="Sale"/>
  </r>
  <r>
    <s v="ORD-11766"/>
    <x v="605"/>
    <x v="0"/>
    <x v="0"/>
    <s v="Smart Home &amp; IoT"/>
    <x v="4"/>
    <x v="68"/>
    <n v="52.97"/>
    <n v="1"/>
    <s v="CUST-1244"/>
    <s v="New"/>
    <x v="1"/>
    <s v="Sale"/>
  </r>
  <r>
    <s v="ORD-11767"/>
    <x v="606"/>
    <x v="0"/>
    <x v="0"/>
    <s v="Smart Home &amp; IoT"/>
    <x v="1"/>
    <x v="111"/>
    <n v="337.06"/>
    <n v="5"/>
    <s v="CUST-2465"/>
    <s v="Existing"/>
    <x v="0"/>
    <s v="Sale"/>
  </r>
  <r>
    <s v="ORD-11768"/>
    <x v="606"/>
    <x v="3"/>
    <x v="1"/>
    <s v="Networking &amp; Security"/>
    <x v="10"/>
    <x v="69"/>
    <n v="105.93"/>
    <n v="1"/>
    <s v="CUST-1702"/>
    <s v="New"/>
    <x v="1"/>
    <s v="Sale"/>
  </r>
  <r>
    <s v="ORD-11769"/>
    <x v="606"/>
    <x v="4"/>
    <x v="2"/>
    <s v="Accessories &amp; Power"/>
    <x v="11"/>
    <x v="84"/>
    <n v="260.02"/>
    <n v="3"/>
    <s v="CUST-2313"/>
    <s v="Existing"/>
    <x v="0"/>
    <s v="Sale"/>
  </r>
  <r>
    <s v="ORD-11770"/>
    <x v="606"/>
    <x v="5"/>
    <x v="0"/>
    <s v="Laptops &amp; Computers"/>
    <x v="0"/>
    <x v="79"/>
    <n v="866.74"/>
    <n v="2"/>
    <s v="CUST-2714"/>
    <s v="Existing"/>
    <x v="0"/>
    <s v="Sale"/>
  </r>
  <r>
    <s v="ORD-11771"/>
    <x v="606"/>
    <x v="0"/>
    <x v="2"/>
    <s v="Networking &amp; Security"/>
    <x v="5"/>
    <x v="74"/>
    <n v="86.67"/>
    <n v="1"/>
    <s v="CUST-2135"/>
    <s v="New"/>
    <x v="1"/>
    <s v="Sale"/>
  </r>
  <r>
    <s v="ORD-11772"/>
    <x v="607"/>
    <x v="1"/>
    <x v="0"/>
    <s v="Accessories &amp; Power"/>
    <x v="11"/>
    <x v="74"/>
    <n v="86.67"/>
    <n v="1"/>
    <s v="CUST-1213"/>
    <s v="New"/>
    <x v="1"/>
    <s v="Sale"/>
  </r>
  <r>
    <s v="ORD-11773"/>
    <x v="607"/>
    <x v="2"/>
    <x v="2"/>
    <s v="Networking &amp; Security"/>
    <x v="5"/>
    <x v="88"/>
    <n v="173.35"/>
    <n v="2"/>
    <s v="CUST-2673"/>
    <s v="New"/>
    <x v="1"/>
    <s v="Sale"/>
  </r>
  <r>
    <s v="ORD-11774"/>
    <x v="607"/>
    <x v="2"/>
    <x v="1"/>
    <s v="Laptops &amp; Computers"/>
    <x v="9"/>
    <x v="99"/>
    <n v="1733.48"/>
    <n v="3"/>
    <s v="CUST-2909"/>
    <s v="Existing"/>
    <x v="0"/>
    <s v="Sale"/>
  </r>
  <r>
    <s v="ORD-11775"/>
    <x v="607"/>
    <x v="0"/>
    <x v="2"/>
    <s v="Networking &amp; Security"/>
    <x v="7"/>
    <x v="86"/>
    <n v="211.87"/>
    <n v="1"/>
    <s v="CUST-1199"/>
    <s v="New"/>
    <x v="1"/>
    <s v="Sale"/>
  </r>
  <r>
    <s v="ORD-11776"/>
    <x v="608"/>
    <x v="0"/>
    <x v="2"/>
    <s v="Accessories &amp; Power"/>
    <x v="2"/>
    <x v="71"/>
    <n v="19.260000000000002"/>
    <n v="1"/>
    <s v="CUST-1404"/>
    <s v="Existing"/>
    <x v="0"/>
    <s v="Sale"/>
  </r>
  <r>
    <s v="ORD-11777"/>
    <x v="609"/>
    <x v="2"/>
    <x v="0"/>
    <s v="Laptops &amp; Computers"/>
    <x v="0"/>
    <x v="83"/>
    <n v="433.37"/>
    <n v="1"/>
    <s v="CUST-1420"/>
    <s v="New"/>
    <x v="1"/>
    <s v="Sale"/>
  </r>
  <r>
    <s v="ORD-11778"/>
    <x v="609"/>
    <x v="1"/>
    <x v="0"/>
    <s v="Accessories &amp; Power"/>
    <x v="2"/>
    <x v="71"/>
    <n v="19.260000000000002"/>
    <n v="1"/>
    <s v="CUST-1006"/>
    <s v="Existing"/>
    <x v="0"/>
    <s v="Sale"/>
  </r>
  <r>
    <s v="ORD-11779"/>
    <x v="609"/>
    <x v="0"/>
    <x v="0"/>
    <s v="Accessories &amp; Power"/>
    <x v="3"/>
    <x v="78"/>
    <n v="62.6"/>
    <n v="1"/>
    <s v="CUST-2881"/>
    <s v="Existing"/>
    <x v="0"/>
    <s v="Sale"/>
  </r>
  <r>
    <s v="ORD-11780"/>
    <x v="609"/>
    <x v="0"/>
    <x v="0"/>
    <s v="Laptops &amp; Computers"/>
    <x v="0"/>
    <x v="97"/>
    <n v="1300.1099999999999"/>
    <n v="3"/>
    <s v="CUST-2548"/>
    <s v="Existing"/>
    <x v="0"/>
    <s v="Sale"/>
  </r>
  <r>
    <s v="ORD-11781"/>
    <x v="609"/>
    <x v="5"/>
    <x v="2"/>
    <s v="Smart Home &amp; IoT"/>
    <x v="1"/>
    <x v="72"/>
    <n v="67.41"/>
    <n v="1"/>
    <s v="CUST-1591"/>
    <s v="New"/>
    <x v="1"/>
    <s v="Sale"/>
  </r>
  <r>
    <s v="ORD-11782"/>
    <x v="609"/>
    <x v="3"/>
    <x v="2"/>
    <s v="Networking &amp; Security"/>
    <x v="7"/>
    <x v="93"/>
    <n v="423.74"/>
    <n v="2"/>
    <s v="CUST-1285"/>
    <s v="New"/>
    <x v="1"/>
    <s v="Sale"/>
  </r>
  <r>
    <s v="ORD-11783"/>
    <x v="610"/>
    <x v="4"/>
    <x v="0"/>
    <s v="Networking &amp; Security"/>
    <x v="10"/>
    <x v="81"/>
    <n v="211.87"/>
    <n v="2"/>
    <s v="CUST-1670"/>
    <s v="Existing"/>
    <x v="0"/>
    <s v="Sale"/>
  </r>
  <r>
    <s v="ORD-11784"/>
    <x v="610"/>
    <x v="5"/>
    <x v="1"/>
    <s v="Accessories &amp; Power"/>
    <x v="2"/>
    <x v="71"/>
    <n v="19.260000000000002"/>
    <n v="1"/>
    <s v="CUST-1388"/>
    <s v="Existing"/>
    <x v="0"/>
    <s v="Sale"/>
  </r>
  <r>
    <s v="ORD-11785"/>
    <x v="610"/>
    <x v="5"/>
    <x v="0"/>
    <s v="Accessories &amp; Power"/>
    <x v="2"/>
    <x v="71"/>
    <n v="19.260000000000002"/>
    <n v="1"/>
    <s v="CUST-1415"/>
    <s v="New"/>
    <x v="1"/>
    <s v="Sale"/>
  </r>
  <r>
    <s v="ORD-11786"/>
    <x v="611"/>
    <x v="0"/>
    <x v="0"/>
    <s v="Laptops &amp; Computers"/>
    <x v="0"/>
    <x v="79"/>
    <n v="866.74"/>
    <n v="2"/>
    <s v="CUST-1783"/>
    <s v="New"/>
    <x v="1"/>
    <s v="Sale"/>
  </r>
  <r>
    <s v="ORD-11787"/>
    <x v="612"/>
    <x v="5"/>
    <x v="0"/>
    <s v="Networking &amp; Security"/>
    <x v="7"/>
    <x v="91"/>
    <n v="635.61"/>
    <n v="3"/>
    <s v="CUST-2006"/>
    <s v="New"/>
    <x v="1"/>
    <s v="Sale"/>
  </r>
  <r>
    <s v="ORD-11788"/>
    <x v="612"/>
    <x v="1"/>
    <x v="0"/>
    <s v="Networking &amp; Security"/>
    <x v="10"/>
    <x v="81"/>
    <n v="211.87"/>
    <n v="2"/>
    <s v="CUST-2736"/>
    <s v="New"/>
    <x v="1"/>
    <s v="Sale"/>
  </r>
  <r>
    <s v="ORD-11789"/>
    <x v="612"/>
    <x v="5"/>
    <x v="0"/>
    <s v="Networking &amp; Security"/>
    <x v="7"/>
    <x v="86"/>
    <n v="211.87"/>
    <n v="1"/>
    <s v="CUST-2173"/>
    <s v="New"/>
    <x v="1"/>
    <s v="Sale"/>
  </r>
  <r>
    <s v="ORD-11790"/>
    <x v="613"/>
    <x v="1"/>
    <x v="0"/>
    <s v="Networking &amp; Security"/>
    <x v="5"/>
    <x v="74"/>
    <n v="86.67"/>
    <n v="1"/>
    <s v="CUST-2983"/>
    <s v="New"/>
    <x v="1"/>
    <s v="Sale"/>
  </r>
  <r>
    <s v="ORD-11791"/>
    <x v="613"/>
    <x v="0"/>
    <x v="0"/>
    <s v="Laptops &amp; Computers"/>
    <x v="0"/>
    <x v="83"/>
    <n v="433.37"/>
    <n v="1"/>
    <s v="CUST-2014"/>
    <s v="New"/>
    <x v="1"/>
    <s v="Sale"/>
  </r>
  <r>
    <s v="ORD-11792"/>
    <x v="614"/>
    <x v="0"/>
    <x v="1"/>
    <s v="Smart Home &amp; IoT"/>
    <x v="1"/>
    <x v="72"/>
    <n v="67.41"/>
    <n v="1"/>
    <s v="CUST-1427"/>
    <s v="New"/>
    <x v="1"/>
    <s v="Sale"/>
  </r>
  <r>
    <s v="ORD-11793"/>
    <x v="615"/>
    <x v="1"/>
    <x v="0"/>
    <s v="Networking &amp; Security"/>
    <x v="10"/>
    <x v="81"/>
    <n v="211.87"/>
    <n v="2"/>
    <s v="CUST-2831"/>
    <s v="Existing"/>
    <x v="0"/>
    <s v="Sale"/>
  </r>
  <r>
    <s v="ORD-11794"/>
    <x v="615"/>
    <x v="0"/>
    <x v="0"/>
    <s v="Laptops &amp; Computers"/>
    <x v="9"/>
    <x v="70"/>
    <n v="577.83000000000004"/>
    <n v="1"/>
    <s v="CUST-2004"/>
    <s v="New"/>
    <x v="1"/>
    <s v="Sale"/>
  </r>
  <r>
    <s v="ORD-11795"/>
    <x v="615"/>
    <x v="0"/>
    <x v="0"/>
    <s v="Accessories &amp; Power"/>
    <x v="2"/>
    <x v="68"/>
    <n v="38.520000000000003"/>
    <n v="2"/>
    <s v="CUST-2316"/>
    <s v="New"/>
    <x v="1"/>
    <s v="Sale"/>
  </r>
  <r>
    <s v="ORD-11796"/>
    <x v="615"/>
    <x v="4"/>
    <x v="2"/>
    <s v="Accessories &amp; Power"/>
    <x v="2"/>
    <x v="71"/>
    <n v="19.260000000000002"/>
    <n v="1"/>
    <s v="CUST-1333"/>
    <s v="Existing"/>
    <x v="0"/>
    <s v="Sale"/>
  </r>
  <r>
    <s v="ORD-11797"/>
    <x v="616"/>
    <x v="1"/>
    <x v="0"/>
    <s v="Networking &amp; Security"/>
    <x v="5"/>
    <x v="88"/>
    <n v="173.35"/>
    <n v="2"/>
    <s v="CUST-1271"/>
    <s v="New"/>
    <x v="1"/>
    <s v="Sale"/>
  </r>
  <r>
    <s v="ORD-11798"/>
    <x v="616"/>
    <x v="5"/>
    <x v="1"/>
    <s v="Laptops &amp; Computers"/>
    <x v="9"/>
    <x v="126"/>
    <n v="2311.3000000000002"/>
    <n v="4"/>
    <s v="CUST-2066"/>
    <s v="New"/>
    <x v="1"/>
    <s v="Sale"/>
  </r>
  <r>
    <s v="ORD-11799"/>
    <x v="616"/>
    <x v="3"/>
    <x v="2"/>
    <s v="Smart Home &amp; IoT"/>
    <x v="8"/>
    <x v="73"/>
    <n v="125.2"/>
    <n v="1"/>
    <s v="CUST-2491"/>
    <s v="New"/>
    <x v="1"/>
    <s v="Sale"/>
  </r>
  <r>
    <s v="ORD-11800"/>
    <x v="617"/>
    <x v="4"/>
    <x v="2"/>
    <s v="Laptops &amp; Computers"/>
    <x v="6"/>
    <x v="80"/>
    <n v="2455.7600000000002"/>
    <n v="3"/>
    <s v="CUST-1318"/>
    <s v="New"/>
    <x v="1"/>
    <s v="Sale"/>
  </r>
  <r>
    <s v="ORD-11801"/>
    <x v="617"/>
    <x v="5"/>
    <x v="2"/>
    <s v="Laptops &amp; Computers"/>
    <x v="9"/>
    <x v="70"/>
    <n v="577.83000000000004"/>
    <n v="1"/>
    <s v="CUST-2515"/>
    <s v="New"/>
    <x v="1"/>
    <s v="Sale"/>
  </r>
  <r>
    <s v="ORD-11802"/>
    <x v="618"/>
    <x v="3"/>
    <x v="0"/>
    <s v="Smart Home &amp; IoT"/>
    <x v="1"/>
    <x v="72"/>
    <n v="67.41"/>
    <n v="1"/>
    <s v="CUST-1526"/>
    <s v="New"/>
    <x v="1"/>
    <s v="Sale"/>
  </r>
  <r>
    <s v="ORD-11803"/>
    <x v="618"/>
    <x v="1"/>
    <x v="0"/>
    <s v="Laptops &amp; Computers"/>
    <x v="0"/>
    <x v="97"/>
    <n v="1300.1099999999999"/>
    <n v="3"/>
    <s v="CUST-1759"/>
    <s v="New"/>
    <x v="1"/>
    <s v="Sale"/>
  </r>
  <r>
    <s v="ORD-11804"/>
    <x v="618"/>
    <x v="1"/>
    <x v="0"/>
    <s v="Laptops &amp; Computers"/>
    <x v="6"/>
    <x v="80"/>
    <n v="2455.7600000000002"/>
    <n v="3"/>
    <s v="CUST-2195"/>
    <s v="Existing"/>
    <x v="0"/>
    <s v="Sale"/>
  </r>
  <r>
    <s v="ORD-11805"/>
    <x v="618"/>
    <x v="1"/>
    <x v="2"/>
    <s v="Laptops &amp; Computers"/>
    <x v="9"/>
    <x v="70"/>
    <n v="577.83000000000004"/>
    <n v="1"/>
    <s v="CUST-2753"/>
    <s v="Existing"/>
    <x v="0"/>
    <s v="Sale"/>
  </r>
  <r>
    <s v="ORD-11806"/>
    <x v="618"/>
    <x v="2"/>
    <x v="0"/>
    <s v="Laptops &amp; Computers"/>
    <x v="9"/>
    <x v="70"/>
    <n v="577.83000000000004"/>
    <n v="1"/>
    <s v="CUST-2672"/>
    <s v="Existing"/>
    <x v="0"/>
    <s v="Sale"/>
  </r>
  <r>
    <s v="ORD-11807"/>
    <x v="619"/>
    <x v="2"/>
    <x v="0"/>
    <s v="Laptops &amp; Computers"/>
    <x v="9"/>
    <x v="87"/>
    <n v="1155.6500000000001"/>
    <n v="2"/>
    <s v="CUST-1320"/>
    <s v="New"/>
    <x v="1"/>
    <s v="Sale"/>
  </r>
  <r>
    <s v="ORD-11808"/>
    <x v="619"/>
    <x v="1"/>
    <x v="1"/>
    <s v="Accessories &amp; Power"/>
    <x v="3"/>
    <x v="73"/>
    <n v="125.2"/>
    <n v="2"/>
    <s v="CUST-1738"/>
    <s v="New"/>
    <x v="1"/>
    <s v="Sale"/>
  </r>
  <r>
    <s v="ORD-11809"/>
    <x v="619"/>
    <x v="0"/>
    <x v="0"/>
    <s v="Laptops &amp; Computers"/>
    <x v="0"/>
    <x v="83"/>
    <n v="433.37"/>
    <n v="1"/>
    <s v="CUST-2067"/>
    <s v="Existing"/>
    <x v="0"/>
    <s v="Sale"/>
  </r>
  <r>
    <s v="ORD-11810"/>
    <x v="619"/>
    <x v="5"/>
    <x v="1"/>
    <s v="Laptops &amp; Computers"/>
    <x v="6"/>
    <x v="82"/>
    <n v="1637.17"/>
    <n v="2"/>
    <s v="CUST-2555"/>
    <s v="New"/>
    <x v="1"/>
    <s v="Sale"/>
  </r>
  <r>
    <s v="ORD-11811"/>
    <x v="620"/>
    <x v="0"/>
    <x v="2"/>
    <s v="Laptops &amp; Computers"/>
    <x v="0"/>
    <x v="83"/>
    <n v="433.37"/>
    <n v="1"/>
    <s v="CUST-2654"/>
    <s v="New"/>
    <x v="1"/>
    <s v="Sale"/>
  </r>
  <r>
    <s v="ORD-11812"/>
    <x v="620"/>
    <x v="5"/>
    <x v="0"/>
    <s v="Accessories &amp; Power"/>
    <x v="3"/>
    <x v="78"/>
    <n v="62.6"/>
    <n v="1"/>
    <s v="CUST-1453"/>
    <s v="Existing"/>
    <x v="0"/>
    <s v="Sale"/>
  </r>
  <r>
    <s v="ORD-11813"/>
    <x v="621"/>
    <x v="2"/>
    <x v="0"/>
    <s v="Networking &amp; Security"/>
    <x v="10"/>
    <x v="69"/>
    <n v="105.93"/>
    <n v="1"/>
    <s v="CUST-1745"/>
    <s v="New"/>
    <x v="1"/>
    <s v="Sale"/>
  </r>
  <r>
    <s v="ORD-11814"/>
    <x v="621"/>
    <x v="2"/>
    <x v="0"/>
    <s v="Networking &amp; Security"/>
    <x v="7"/>
    <x v="86"/>
    <n v="211.87"/>
    <n v="1"/>
    <s v="CUST-2993"/>
    <s v="New"/>
    <x v="1"/>
    <s v="Sale"/>
  </r>
  <r>
    <s v="ORD-11815"/>
    <x v="621"/>
    <x v="2"/>
    <x v="2"/>
    <s v="Accessories &amp; Power"/>
    <x v="11"/>
    <x v="84"/>
    <n v="260.02"/>
    <n v="3"/>
    <s v="CUST-2903"/>
    <s v="New"/>
    <x v="1"/>
    <s v="Sale"/>
  </r>
  <r>
    <s v="ORD-11816"/>
    <x v="622"/>
    <x v="3"/>
    <x v="2"/>
    <s v="Networking &amp; Security"/>
    <x v="7"/>
    <x v="86"/>
    <n v="211.87"/>
    <n v="1"/>
    <s v="CUST-2914"/>
    <s v="New"/>
    <x v="1"/>
    <s v="Sale"/>
  </r>
  <r>
    <s v="ORD-11817"/>
    <x v="622"/>
    <x v="1"/>
    <x v="2"/>
    <s v="Networking &amp; Security"/>
    <x v="5"/>
    <x v="111"/>
    <n v="346.7"/>
    <n v="4"/>
    <s v="CUST-1928"/>
    <s v="New"/>
    <x v="1"/>
    <s v="Sale"/>
  </r>
  <r>
    <s v="ORD-11818"/>
    <x v="623"/>
    <x v="2"/>
    <x v="1"/>
    <s v="Laptops &amp; Computers"/>
    <x v="6"/>
    <x v="77"/>
    <n v="818.59"/>
    <n v="1"/>
    <s v="CUST-1847"/>
    <s v="New"/>
    <x v="1"/>
    <s v="Sale"/>
  </r>
  <r>
    <s v="ORD-11819"/>
    <x v="623"/>
    <x v="5"/>
    <x v="2"/>
    <s v="Networking &amp; Security"/>
    <x v="5"/>
    <x v="88"/>
    <n v="173.35"/>
    <n v="2"/>
    <s v="CUST-1867"/>
    <s v="Existing"/>
    <x v="0"/>
    <s v="Sale"/>
  </r>
  <r>
    <s v="ORD-11820"/>
    <x v="624"/>
    <x v="0"/>
    <x v="0"/>
    <s v="Networking &amp; Security"/>
    <x v="7"/>
    <x v="93"/>
    <n v="423.74"/>
    <n v="2"/>
    <s v="CUST-1773"/>
    <s v="New"/>
    <x v="1"/>
    <s v="Sale"/>
  </r>
  <r>
    <s v="ORD-11821"/>
    <x v="624"/>
    <x v="0"/>
    <x v="0"/>
    <s v="Smart Home &amp; IoT"/>
    <x v="1"/>
    <x v="76"/>
    <n v="134.83000000000001"/>
    <n v="2"/>
    <s v="CUST-1082"/>
    <s v="New"/>
    <x v="1"/>
    <s v="Sale"/>
  </r>
  <r>
    <s v="ORD-11822"/>
    <x v="624"/>
    <x v="0"/>
    <x v="1"/>
    <s v="Laptops &amp; Computers"/>
    <x v="9"/>
    <x v="87"/>
    <n v="1155.6500000000001"/>
    <n v="2"/>
    <s v="CUST-1542"/>
    <s v="New"/>
    <x v="1"/>
    <s v="Sale"/>
  </r>
  <r>
    <s v="ORD-11823"/>
    <x v="625"/>
    <x v="1"/>
    <x v="0"/>
    <s v="Smart Home &amp; IoT"/>
    <x v="8"/>
    <x v="73"/>
    <n v="125.2"/>
    <n v="1"/>
    <s v="CUST-1321"/>
    <s v="New"/>
    <x v="1"/>
    <s v="Sale"/>
  </r>
  <r>
    <s v="ORD-11824"/>
    <x v="625"/>
    <x v="5"/>
    <x v="0"/>
    <s v="Laptops &amp; Computers"/>
    <x v="0"/>
    <x v="97"/>
    <n v="1300.1099999999999"/>
    <n v="3"/>
    <s v="CUST-1785"/>
    <s v="New"/>
    <x v="1"/>
    <s v="Sale"/>
  </r>
  <r>
    <s v="ORD-11825"/>
    <x v="625"/>
    <x v="3"/>
    <x v="2"/>
    <s v="Laptops &amp; Computers"/>
    <x v="0"/>
    <x v="79"/>
    <n v="866.74"/>
    <n v="2"/>
    <s v="CUST-2257"/>
    <s v="New"/>
    <x v="1"/>
    <s v="Sale"/>
  </r>
  <r>
    <s v="ORD-11826"/>
    <x v="625"/>
    <x v="0"/>
    <x v="0"/>
    <s v="Networking &amp; Security"/>
    <x v="10"/>
    <x v="69"/>
    <n v="105.93"/>
    <n v="1"/>
    <s v="CUST-1539"/>
    <s v="New"/>
    <x v="1"/>
    <s v="Sale"/>
  </r>
  <r>
    <s v="ORD-11827"/>
    <x v="625"/>
    <x v="0"/>
    <x v="1"/>
    <s v="Accessories &amp; Power"/>
    <x v="2"/>
    <x v="68"/>
    <n v="38.520000000000003"/>
    <n v="2"/>
    <s v="CUST-1251"/>
    <s v="Existing"/>
    <x v="0"/>
    <s v="Sale"/>
  </r>
  <r>
    <s v="ORD-11828"/>
    <x v="625"/>
    <x v="4"/>
    <x v="2"/>
    <s v="Networking &amp; Security"/>
    <x v="7"/>
    <x v="86"/>
    <n v="211.87"/>
    <n v="1"/>
    <s v="CUST-1835"/>
    <s v="New"/>
    <x v="1"/>
    <s v="Sale"/>
  </r>
  <r>
    <s v="ORD-11829"/>
    <x v="626"/>
    <x v="0"/>
    <x v="0"/>
    <s v="Smart Home &amp; IoT"/>
    <x v="4"/>
    <x v="68"/>
    <n v="52.97"/>
    <n v="1"/>
    <s v="CUST-2788"/>
    <s v="Existing"/>
    <x v="0"/>
    <s v="Sale"/>
  </r>
  <r>
    <s v="ORD-11830"/>
    <x v="626"/>
    <x v="1"/>
    <x v="1"/>
    <s v="Laptops &amp; Computers"/>
    <x v="9"/>
    <x v="99"/>
    <n v="1733.48"/>
    <n v="3"/>
    <s v="CUST-1448"/>
    <s v="New"/>
    <x v="1"/>
    <s v="Sale"/>
  </r>
  <r>
    <s v="ORD-11831"/>
    <x v="626"/>
    <x v="5"/>
    <x v="0"/>
    <s v="Laptops &amp; Computers"/>
    <x v="0"/>
    <x v="83"/>
    <n v="433.37"/>
    <n v="1"/>
    <s v="CUST-2262"/>
    <s v="New"/>
    <x v="1"/>
    <s v="Sale"/>
  </r>
  <r>
    <s v="ORD-11832"/>
    <x v="627"/>
    <x v="5"/>
    <x v="0"/>
    <s v="Laptops &amp; Computers"/>
    <x v="6"/>
    <x v="82"/>
    <n v="1637.17"/>
    <n v="2"/>
    <s v="CUST-1489"/>
    <s v="New"/>
    <x v="1"/>
    <s v="Sale"/>
  </r>
  <r>
    <s v="ORD-11833"/>
    <x v="628"/>
    <x v="0"/>
    <x v="0"/>
    <s v="Networking &amp; Security"/>
    <x v="5"/>
    <x v="74"/>
    <n v="86.67"/>
    <n v="1"/>
    <s v="CUST-2905"/>
    <s v="Existing"/>
    <x v="0"/>
    <s v="Sale"/>
  </r>
  <r>
    <s v="ORD-11834"/>
    <x v="628"/>
    <x v="0"/>
    <x v="0"/>
    <s v="Laptops &amp; Computers"/>
    <x v="9"/>
    <x v="70"/>
    <n v="577.83000000000004"/>
    <n v="1"/>
    <s v="CUST-1463"/>
    <s v="Existing"/>
    <x v="0"/>
    <s v="Sale"/>
  </r>
  <r>
    <s v="ORD-11835"/>
    <x v="629"/>
    <x v="0"/>
    <x v="0"/>
    <s v="Laptops &amp; Computers"/>
    <x v="9"/>
    <x v="70"/>
    <n v="577.83000000000004"/>
    <n v="1"/>
    <s v="CUST-2964"/>
    <s v="Existing"/>
    <x v="0"/>
    <s v="Sale"/>
  </r>
  <r>
    <s v="ORD-11836"/>
    <x v="630"/>
    <x v="5"/>
    <x v="0"/>
    <s v="Accessories &amp; Power"/>
    <x v="11"/>
    <x v="104"/>
    <n v="-86.67"/>
    <n v="-1"/>
    <s v="CUST-1313"/>
    <s v="New"/>
    <x v="1"/>
    <s v="Return"/>
  </r>
  <r>
    <s v="ORD-11837"/>
    <x v="630"/>
    <x v="5"/>
    <x v="0"/>
    <s v="Laptops &amp; Computers"/>
    <x v="6"/>
    <x v="82"/>
    <n v="1637.17"/>
    <n v="2"/>
    <s v="CUST-2198"/>
    <s v="New"/>
    <x v="1"/>
    <s v="Sale"/>
  </r>
  <r>
    <s v="ORD-11838"/>
    <x v="631"/>
    <x v="0"/>
    <x v="0"/>
    <s v="Smart Home &amp; IoT"/>
    <x v="4"/>
    <x v="68"/>
    <n v="52.97"/>
    <n v="1"/>
    <s v="CUST-2729"/>
    <s v="Existing"/>
    <x v="0"/>
    <s v="Sale"/>
  </r>
  <r>
    <s v="ORD-11839"/>
    <x v="632"/>
    <x v="5"/>
    <x v="2"/>
    <s v="Networking &amp; Security"/>
    <x v="5"/>
    <x v="74"/>
    <n v="86.67"/>
    <n v="1"/>
    <s v="CUST-2203"/>
    <s v="Existing"/>
    <x v="0"/>
    <s v="Sale"/>
  </r>
  <r>
    <s v="ORD-11840"/>
    <x v="632"/>
    <x v="3"/>
    <x v="1"/>
    <s v="Networking &amp; Security"/>
    <x v="10"/>
    <x v="69"/>
    <n v="105.93"/>
    <n v="1"/>
    <s v="CUST-2955"/>
    <s v="New"/>
    <x v="1"/>
    <s v="Sale"/>
  </r>
  <r>
    <s v="ORD-11841"/>
    <x v="632"/>
    <x v="0"/>
    <x v="0"/>
    <s v="Smart Home &amp; IoT"/>
    <x v="1"/>
    <x v="72"/>
    <n v="67.41"/>
    <n v="1"/>
    <s v="CUST-1384"/>
    <s v="New"/>
    <x v="1"/>
    <s v="Sale"/>
  </r>
  <r>
    <s v="ORD-11842"/>
    <x v="632"/>
    <x v="1"/>
    <x v="0"/>
    <s v="Networking &amp; Security"/>
    <x v="7"/>
    <x v="93"/>
    <n v="423.74"/>
    <n v="2"/>
    <s v="CUST-1294"/>
    <s v="Existing"/>
    <x v="0"/>
    <s v="Sale"/>
  </r>
  <r>
    <s v="ORD-11843"/>
    <x v="633"/>
    <x v="2"/>
    <x v="0"/>
    <s v="Laptops &amp; Computers"/>
    <x v="6"/>
    <x v="77"/>
    <n v="818.59"/>
    <n v="1"/>
    <s v="CUST-2238"/>
    <s v="New"/>
    <x v="1"/>
    <s v="Sale"/>
  </r>
  <r>
    <s v="ORD-11844"/>
    <x v="633"/>
    <x v="0"/>
    <x v="0"/>
    <s v="Smart Home &amp; IoT"/>
    <x v="8"/>
    <x v="89"/>
    <n v="250.39"/>
    <n v="2"/>
    <s v="CUST-1985"/>
    <s v="New"/>
    <x v="1"/>
    <s v="Sale"/>
  </r>
  <r>
    <s v="ORD-11845"/>
    <x v="633"/>
    <x v="1"/>
    <x v="2"/>
    <s v="Accessories &amp; Power"/>
    <x v="3"/>
    <x v="67"/>
    <n v="187.79"/>
    <n v="3"/>
    <s v="CUST-2738"/>
    <s v="New"/>
    <x v="1"/>
    <s v="Sale"/>
  </r>
  <r>
    <s v="ORD-11846"/>
    <x v="633"/>
    <x v="5"/>
    <x v="2"/>
    <s v="Laptops &amp; Computers"/>
    <x v="9"/>
    <x v="121"/>
    <n v="-1155.6500000000001"/>
    <n v="-2"/>
    <s v="CUST-1761"/>
    <s v="New"/>
    <x v="1"/>
    <s v="Return"/>
  </r>
  <r>
    <s v="ORD-11847"/>
    <x v="633"/>
    <x v="3"/>
    <x v="0"/>
    <s v="Laptops &amp; Computers"/>
    <x v="0"/>
    <x v="79"/>
    <n v="866.74"/>
    <n v="2"/>
    <s v="CUST-2897"/>
    <s v="New"/>
    <x v="1"/>
    <s v="Sale"/>
  </r>
  <r>
    <s v="ORD-11848"/>
    <x v="633"/>
    <x v="3"/>
    <x v="0"/>
    <s v="Accessories &amp; Power"/>
    <x v="3"/>
    <x v="78"/>
    <n v="62.6"/>
    <n v="1"/>
    <s v="CUST-1768"/>
    <s v="Existing"/>
    <x v="0"/>
    <s v="Sale"/>
  </r>
  <r>
    <s v="ORD-11849"/>
    <x v="634"/>
    <x v="5"/>
    <x v="0"/>
    <s v="Networking &amp; Security"/>
    <x v="10"/>
    <x v="69"/>
    <n v="105.93"/>
    <n v="1"/>
    <s v="CUST-2098"/>
    <s v="New"/>
    <x v="1"/>
    <s v="Sale"/>
  </r>
  <r>
    <s v="ORD-11850"/>
    <x v="634"/>
    <x v="2"/>
    <x v="2"/>
    <s v="Smart Home &amp; IoT"/>
    <x v="4"/>
    <x v="106"/>
    <n v="158.9"/>
    <n v="3"/>
    <s v="CUST-1343"/>
    <s v="New"/>
    <x v="1"/>
    <s v="Sale"/>
  </r>
  <r>
    <s v="ORD-11851"/>
    <x v="634"/>
    <x v="1"/>
    <x v="0"/>
    <s v="Networking &amp; Security"/>
    <x v="7"/>
    <x v="93"/>
    <n v="423.74"/>
    <n v="2"/>
    <s v="CUST-2737"/>
    <s v="New"/>
    <x v="1"/>
    <s v="Sale"/>
  </r>
  <r>
    <s v="ORD-11852"/>
    <x v="634"/>
    <x v="5"/>
    <x v="1"/>
    <s v="Laptops &amp; Computers"/>
    <x v="6"/>
    <x v="82"/>
    <n v="1637.17"/>
    <n v="2"/>
    <s v="CUST-1141"/>
    <s v="New"/>
    <x v="1"/>
    <s v="Sale"/>
  </r>
  <r>
    <s v="ORD-11853"/>
    <x v="635"/>
    <x v="1"/>
    <x v="2"/>
    <s v="Smart Home &amp; IoT"/>
    <x v="1"/>
    <x v="76"/>
    <n v="134.83000000000001"/>
    <n v="2"/>
    <s v="CUST-1717"/>
    <s v="New"/>
    <x v="1"/>
    <s v="Sale"/>
  </r>
  <r>
    <s v="ORD-11854"/>
    <x v="636"/>
    <x v="0"/>
    <x v="0"/>
    <s v="Networking &amp; Security"/>
    <x v="5"/>
    <x v="74"/>
    <n v="86.67"/>
    <n v="1"/>
    <s v="CUST-2222"/>
    <s v="New"/>
    <x v="1"/>
    <s v="Sale"/>
  </r>
  <r>
    <s v="ORD-11855"/>
    <x v="636"/>
    <x v="2"/>
    <x v="2"/>
    <s v="Laptops &amp; Computers"/>
    <x v="9"/>
    <x v="70"/>
    <n v="577.83000000000004"/>
    <n v="1"/>
    <s v="CUST-2942"/>
    <s v="New"/>
    <x v="1"/>
    <s v="Sale"/>
  </r>
  <r>
    <s v="ORD-11856"/>
    <x v="636"/>
    <x v="5"/>
    <x v="1"/>
    <s v="Networking &amp; Security"/>
    <x v="5"/>
    <x v="88"/>
    <n v="173.35"/>
    <n v="2"/>
    <s v="CUST-2194"/>
    <s v="New"/>
    <x v="1"/>
    <s v="Sale"/>
  </r>
  <r>
    <s v="ORD-11857"/>
    <x v="636"/>
    <x v="1"/>
    <x v="2"/>
    <s v="Accessories &amp; Power"/>
    <x v="2"/>
    <x v="68"/>
    <n v="38.520000000000003"/>
    <n v="2"/>
    <s v="CUST-1405"/>
    <s v="Existing"/>
    <x v="0"/>
    <s v="Sale"/>
  </r>
  <r>
    <s v="ORD-11858"/>
    <x v="637"/>
    <x v="4"/>
    <x v="0"/>
    <s v="Smart Home &amp; IoT"/>
    <x v="8"/>
    <x v="73"/>
    <n v="125.2"/>
    <n v="1"/>
    <s v="CUST-2851"/>
    <s v="Existing"/>
    <x v="0"/>
    <s v="Sale"/>
  </r>
  <r>
    <s v="ORD-11859"/>
    <x v="637"/>
    <x v="0"/>
    <x v="0"/>
    <s v="Laptops &amp; Computers"/>
    <x v="0"/>
    <x v="97"/>
    <n v="1300.1099999999999"/>
    <n v="3"/>
    <s v="CUST-1227"/>
    <s v="Existing"/>
    <x v="0"/>
    <s v="Sale"/>
  </r>
  <r>
    <s v="ORD-11860"/>
    <x v="637"/>
    <x v="1"/>
    <x v="1"/>
    <s v="Networking &amp; Security"/>
    <x v="5"/>
    <x v="74"/>
    <n v="86.67"/>
    <n v="1"/>
    <s v="CUST-1410"/>
    <s v="New"/>
    <x v="1"/>
    <s v="Sale"/>
  </r>
  <r>
    <s v="ORD-11861"/>
    <x v="638"/>
    <x v="0"/>
    <x v="2"/>
    <s v="Smart Home &amp; IoT"/>
    <x v="1"/>
    <x v="72"/>
    <n v="67.41"/>
    <n v="1"/>
    <s v="CUST-1951"/>
    <s v="New"/>
    <x v="1"/>
    <s v="Sale"/>
  </r>
  <r>
    <s v="ORD-11862"/>
    <x v="638"/>
    <x v="2"/>
    <x v="2"/>
    <s v="Accessories &amp; Power"/>
    <x v="3"/>
    <x v="67"/>
    <n v="187.79"/>
    <n v="3"/>
    <s v="CUST-1897"/>
    <s v="Existing"/>
    <x v="0"/>
    <s v="Sale"/>
  </r>
  <r>
    <s v="ORD-11863"/>
    <x v="638"/>
    <x v="2"/>
    <x v="1"/>
    <s v="Smart Home &amp; IoT"/>
    <x v="8"/>
    <x v="89"/>
    <n v="250.39"/>
    <n v="2"/>
    <s v="CUST-2958"/>
    <s v="New"/>
    <x v="1"/>
    <s v="Sale"/>
  </r>
  <r>
    <s v="ORD-11864"/>
    <x v="638"/>
    <x v="1"/>
    <x v="1"/>
    <s v="Laptops &amp; Computers"/>
    <x v="0"/>
    <x v="83"/>
    <n v="433.37"/>
    <n v="1"/>
    <s v="CUST-1690"/>
    <s v="New"/>
    <x v="1"/>
    <s v="Sale"/>
  </r>
  <r>
    <s v="ORD-11865"/>
    <x v="638"/>
    <x v="2"/>
    <x v="1"/>
    <s v="Smart Home &amp; IoT"/>
    <x v="1"/>
    <x v="72"/>
    <n v="67.41"/>
    <n v="1"/>
    <s v="CUST-1877"/>
    <s v="New"/>
    <x v="1"/>
    <s v="Sale"/>
  </r>
  <r>
    <s v="ORD-11866"/>
    <x v="638"/>
    <x v="1"/>
    <x v="0"/>
    <s v="Smart Home &amp; IoT"/>
    <x v="4"/>
    <x v="68"/>
    <n v="52.97"/>
    <n v="1"/>
    <s v="CUST-1786"/>
    <s v="Existing"/>
    <x v="0"/>
    <s v="Sale"/>
  </r>
  <r>
    <s v="ORD-11867"/>
    <x v="638"/>
    <x v="2"/>
    <x v="2"/>
    <s v="Laptops &amp; Computers"/>
    <x v="0"/>
    <x v="79"/>
    <n v="866.74"/>
    <n v="2"/>
    <s v="CUST-1061"/>
    <s v="New"/>
    <x v="1"/>
    <s v="Sale"/>
  </r>
  <r>
    <s v="ORD-11868"/>
    <x v="638"/>
    <x v="1"/>
    <x v="2"/>
    <s v="Networking &amp; Security"/>
    <x v="10"/>
    <x v="69"/>
    <n v="105.93"/>
    <n v="1"/>
    <s v="CUST-2350"/>
    <s v="New"/>
    <x v="1"/>
    <s v="Sale"/>
  </r>
  <r>
    <s v="ORD-11869"/>
    <x v="639"/>
    <x v="1"/>
    <x v="2"/>
    <s v="Networking &amp; Security"/>
    <x v="7"/>
    <x v="93"/>
    <n v="423.74"/>
    <n v="2"/>
    <s v="CUST-2739"/>
    <s v="New"/>
    <x v="1"/>
    <s v="Sale"/>
  </r>
  <r>
    <s v="ORD-11870"/>
    <x v="639"/>
    <x v="4"/>
    <x v="2"/>
    <s v="Smart Home &amp; IoT"/>
    <x v="4"/>
    <x v="106"/>
    <n v="158.9"/>
    <n v="3"/>
    <s v="CUST-2986"/>
    <s v="New"/>
    <x v="1"/>
    <s v="Sale"/>
  </r>
  <r>
    <s v="ORD-11871"/>
    <x v="639"/>
    <x v="0"/>
    <x v="0"/>
    <s v="Laptops &amp; Computers"/>
    <x v="6"/>
    <x v="82"/>
    <n v="1637.17"/>
    <n v="2"/>
    <s v="CUST-2982"/>
    <s v="New"/>
    <x v="1"/>
    <s v="Sale"/>
  </r>
  <r>
    <s v="ORD-11872"/>
    <x v="639"/>
    <x v="0"/>
    <x v="2"/>
    <s v="Smart Home &amp; IoT"/>
    <x v="8"/>
    <x v="73"/>
    <n v="125.2"/>
    <n v="1"/>
    <s v="CUST-1878"/>
    <s v="New"/>
    <x v="1"/>
    <s v="Sale"/>
  </r>
  <r>
    <s v="ORD-11873"/>
    <x v="639"/>
    <x v="5"/>
    <x v="2"/>
    <s v="Accessories &amp; Power"/>
    <x v="11"/>
    <x v="88"/>
    <n v="173.35"/>
    <n v="2"/>
    <s v="CUST-2156"/>
    <s v="New"/>
    <x v="1"/>
    <s v="Sale"/>
  </r>
  <r>
    <s v="ORD-11874"/>
    <x v="640"/>
    <x v="4"/>
    <x v="0"/>
    <s v="Accessories &amp; Power"/>
    <x v="3"/>
    <x v="78"/>
    <n v="62.6"/>
    <n v="1"/>
    <s v="CUST-2607"/>
    <s v="New"/>
    <x v="1"/>
    <s v="Sale"/>
  </r>
  <r>
    <s v="ORD-11875"/>
    <x v="640"/>
    <x v="1"/>
    <x v="0"/>
    <s v="Accessories &amp; Power"/>
    <x v="11"/>
    <x v="74"/>
    <n v="86.67"/>
    <n v="1"/>
    <s v="CUST-2613"/>
    <s v="New"/>
    <x v="1"/>
    <s v="Sale"/>
  </r>
  <r>
    <s v="ORD-11876"/>
    <x v="641"/>
    <x v="0"/>
    <x v="0"/>
    <s v="Accessories &amp; Power"/>
    <x v="11"/>
    <x v="74"/>
    <n v="86.67"/>
    <n v="1"/>
    <s v="CUST-2212"/>
    <s v="New"/>
    <x v="1"/>
    <s v="Sale"/>
  </r>
  <r>
    <s v="ORD-11877"/>
    <x v="641"/>
    <x v="1"/>
    <x v="0"/>
    <s v="Laptops &amp; Computers"/>
    <x v="9"/>
    <x v="70"/>
    <n v="577.83000000000004"/>
    <n v="1"/>
    <s v="CUST-1355"/>
    <s v="Existing"/>
    <x v="0"/>
    <s v="Sale"/>
  </r>
  <r>
    <s v="ORD-11878"/>
    <x v="642"/>
    <x v="5"/>
    <x v="0"/>
    <s v="Smart Home &amp; IoT"/>
    <x v="4"/>
    <x v="106"/>
    <n v="158.9"/>
    <n v="3"/>
    <s v="CUST-1070"/>
    <s v="New"/>
    <x v="1"/>
    <s v="Sale"/>
  </r>
  <r>
    <s v="ORD-11879"/>
    <x v="642"/>
    <x v="0"/>
    <x v="0"/>
    <s v="Networking &amp; Security"/>
    <x v="7"/>
    <x v="86"/>
    <n v="211.87"/>
    <n v="1"/>
    <s v="CUST-1262"/>
    <s v="New"/>
    <x v="1"/>
    <s v="Sale"/>
  </r>
  <r>
    <s v="ORD-11880"/>
    <x v="642"/>
    <x v="2"/>
    <x v="2"/>
    <s v="Accessories &amp; Power"/>
    <x v="2"/>
    <x v="71"/>
    <n v="19.260000000000002"/>
    <n v="1"/>
    <s v="CUST-1305"/>
    <s v="New"/>
    <x v="1"/>
    <s v="Sale"/>
  </r>
  <r>
    <s v="ORD-11881"/>
    <x v="642"/>
    <x v="4"/>
    <x v="2"/>
    <s v="Laptops &amp; Computers"/>
    <x v="0"/>
    <x v="124"/>
    <n v="1733.48"/>
    <n v="4"/>
    <s v="CUST-1557"/>
    <s v="Existing"/>
    <x v="0"/>
    <s v="Sale"/>
  </r>
  <r>
    <s v="ORD-11882"/>
    <x v="642"/>
    <x v="1"/>
    <x v="2"/>
    <s v="Accessories &amp; Power"/>
    <x v="3"/>
    <x v="78"/>
    <n v="62.6"/>
    <n v="1"/>
    <s v="CUST-2247"/>
    <s v="New"/>
    <x v="1"/>
    <s v="Sale"/>
  </r>
  <r>
    <s v="ORD-11883"/>
    <x v="642"/>
    <x v="1"/>
    <x v="1"/>
    <s v="Smart Home &amp; IoT"/>
    <x v="8"/>
    <x v="89"/>
    <n v="250.39"/>
    <n v="2"/>
    <s v="CUST-2351"/>
    <s v="New"/>
    <x v="1"/>
    <s v="Sale"/>
  </r>
  <r>
    <s v="ORD-11884"/>
    <x v="642"/>
    <x v="1"/>
    <x v="0"/>
    <s v="Accessories &amp; Power"/>
    <x v="2"/>
    <x v="71"/>
    <n v="19.260000000000002"/>
    <n v="1"/>
    <s v="CUST-1761"/>
    <s v="Existing"/>
    <x v="0"/>
    <s v="Sale"/>
  </r>
  <r>
    <s v="ORD-11885"/>
    <x v="642"/>
    <x v="0"/>
    <x v="0"/>
    <s v="Laptops &amp; Computers"/>
    <x v="6"/>
    <x v="77"/>
    <n v="818.59"/>
    <n v="1"/>
    <s v="CUST-1587"/>
    <s v="New"/>
    <x v="1"/>
    <s v="Sale"/>
  </r>
  <r>
    <s v="ORD-11886"/>
    <x v="643"/>
    <x v="3"/>
    <x v="1"/>
    <s v="Laptops &amp; Computers"/>
    <x v="0"/>
    <x v="97"/>
    <n v="1300.1099999999999"/>
    <n v="3"/>
    <s v="CUST-1073"/>
    <s v="New"/>
    <x v="1"/>
    <s v="Sale"/>
  </r>
  <r>
    <s v="ORD-11887"/>
    <x v="643"/>
    <x v="1"/>
    <x v="0"/>
    <s v="Accessories &amp; Power"/>
    <x v="11"/>
    <x v="74"/>
    <n v="86.67"/>
    <n v="1"/>
    <s v="CUST-2534"/>
    <s v="New"/>
    <x v="1"/>
    <s v="Sale"/>
  </r>
  <r>
    <s v="ORD-11888"/>
    <x v="644"/>
    <x v="1"/>
    <x v="1"/>
    <s v="Laptops &amp; Computers"/>
    <x v="6"/>
    <x v="77"/>
    <n v="818.59"/>
    <n v="1"/>
    <s v="CUST-1141"/>
    <s v="Existing"/>
    <x v="0"/>
    <s v="Sale"/>
  </r>
  <r>
    <s v="ORD-11889"/>
    <x v="644"/>
    <x v="2"/>
    <x v="1"/>
    <s v="Accessories &amp; Power"/>
    <x v="2"/>
    <x v="71"/>
    <n v="19.260000000000002"/>
    <n v="1"/>
    <s v="CUST-2608"/>
    <s v="Existing"/>
    <x v="0"/>
    <s v="Sale"/>
  </r>
  <r>
    <s v="ORD-11890"/>
    <x v="644"/>
    <x v="1"/>
    <x v="2"/>
    <s v="Laptops &amp; Computers"/>
    <x v="6"/>
    <x v="77"/>
    <n v="818.59"/>
    <n v="1"/>
    <s v="CUST-1101"/>
    <s v="Existing"/>
    <x v="0"/>
    <s v="Sale"/>
  </r>
  <r>
    <s v="ORD-11891"/>
    <x v="645"/>
    <x v="5"/>
    <x v="1"/>
    <s v="Smart Home &amp; IoT"/>
    <x v="1"/>
    <x v="72"/>
    <n v="67.41"/>
    <n v="1"/>
    <s v="CUST-2629"/>
    <s v="Existing"/>
    <x v="0"/>
    <s v="Sale"/>
  </r>
  <r>
    <s v="ORD-11892"/>
    <x v="645"/>
    <x v="0"/>
    <x v="0"/>
    <s v="Networking &amp; Security"/>
    <x v="10"/>
    <x v="69"/>
    <n v="105.93"/>
    <n v="1"/>
    <s v="CUST-2604"/>
    <s v="New"/>
    <x v="1"/>
    <s v="Sale"/>
  </r>
  <r>
    <s v="ORD-11893"/>
    <x v="645"/>
    <x v="3"/>
    <x v="0"/>
    <s v="Smart Home &amp; IoT"/>
    <x v="8"/>
    <x v="73"/>
    <n v="125.2"/>
    <n v="1"/>
    <s v="CUST-2088"/>
    <s v="Existing"/>
    <x v="0"/>
    <s v="Sale"/>
  </r>
  <r>
    <s v="ORD-11894"/>
    <x v="646"/>
    <x v="4"/>
    <x v="2"/>
    <s v="Smart Home &amp; IoT"/>
    <x v="8"/>
    <x v="89"/>
    <n v="250.39"/>
    <n v="2"/>
    <s v="CUST-1192"/>
    <s v="New"/>
    <x v="1"/>
    <s v="Sale"/>
  </r>
  <r>
    <s v="ORD-11895"/>
    <x v="646"/>
    <x v="5"/>
    <x v="0"/>
    <s v="Networking &amp; Security"/>
    <x v="10"/>
    <x v="69"/>
    <n v="105.93"/>
    <n v="1"/>
    <s v="CUST-1952"/>
    <s v="New"/>
    <x v="1"/>
    <s v="Sale"/>
  </r>
  <r>
    <s v="ORD-11896"/>
    <x v="646"/>
    <x v="4"/>
    <x v="1"/>
    <s v="Laptops &amp; Computers"/>
    <x v="6"/>
    <x v="77"/>
    <n v="818.59"/>
    <n v="1"/>
    <s v="CUST-2085"/>
    <s v="New"/>
    <x v="1"/>
    <s v="Sale"/>
  </r>
  <r>
    <s v="ORD-11897"/>
    <x v="646"/>
    <x v="0"/>
    <x v="0"/>
    <s v="Laptops &amp; Computers"/>
    <x v="6"/>
    <x v="95"/>
    <n v="-818.59"/>
    <n v="-1"/>
    <s v="CUST-2555"/>
    <s v="Existing"/>
    <x v="0"/>
    <s v="Return"/>
  </r>
  <r>
    <s v="ORD-11898"/>
    <x v="647"/>
    <x v="1"/>
    <x v="2"/>
    <s v="Smart Home &amp; IoT"/>
    <x v="8"/>
    <x v="85"/>
    <n v="375.59"/>
    <n v="3"/>
    <s v="CUST-2264"/>
    <s v="New"/>
    <x v="1"/>
    <s v="Sale"/>
  </r>
  <r>
    <s v="ORD-11899"/>
    <x v="648"/>
    <x v="5"/>
    <x v="2"/>
    <s v="Networking &amp; Security"/>
    <x v="10"/>
    <x v="75"/>
    <n v="317.8"/>
    <n v="3"/>
    <s v="CUST-2738"/>
    <s v="New"/>
    <x v="1"/>
    <s v="Sale"/>
  </r>
  <r>
    <s v="ORD-11900"/>
    <x v="648"/>
    <x v="5"/>
    <x v="2"/>
    <s v="Smart Home &amp; IoT"/>
    <x v="8"/>
    <x v="89"/>
    <n v="250.39"/>
    <n v="2"/>
    <s v="CUST-1409"/>
    <s v="Existing"/>
    <x v="0"/>
    <s v="Sale"/>
  </r>
  <r>
    <s v="ORD-11901"/>
    <x v="648"/>
    <x v="1"/>
    <x v="0"/>
    <s v="Networking &amp; Security"/>
    <x v="10"/>
    <x v="75"/>
    <n v="317.8"/>
    <n v="3"/>
    <s v="CUST-1299"/>
    <s v="New"/>
    <x v="1"/>
    <s v="Sale"/>
  </r>
  <r>
    <s v="ORD-11902"/>
    <x v="649"/>
    <x v="1"/>
    <x v="0"/>
    <s v="Networking &amp; Security"/>
    <x v="10"/>
    <x v="69"/>
    <n v="105.93"/>
    <n v="1"/>
    <s v="CUST-2218"/>
    <s v="Existing"/>
    <x v="0"/>
    <s v="Sale"/>
  </r>
  <r>
    <s v="ORD-11903"/>
    <x v="649"/>
    <x v="0"/>
    <x v="1"/>
    <s v="Networking &amp; Security"/>
    <x v="7"/>
    <x v="86"/>
    <n v="211.87"/>
    <n v="1"/>
    <s v="CUST-1453"/>
    <s v="New"/>
    <x v="1"/>
    <s v="Sale"/>
  </r>
  <r>
    <s v="ORD-11904"/>
    <x v="649"/>
    <x v="1"/>
    <x v="0"/>
    <s v="Laptops &amp; Computers"/>
    <x v="6"/>
    <x v="82"/>
    <n v="1637.17"/>
    <n v="2"/>
    <s v="CUST-1573"/>
    <s v="New"/>
    <x v="1"/>
    <s v="Sale"/>
  </r>
  <r>
    <s v="ORD-11905"/>
    <x v="650"/>
    <x v="0"/>
    <x v="1"/>
    <s v="Networking &amp; Security"/>
    <x v="7"/>
    <x v="93"/>
    <n v="423.74"/>
    <n v="2"/>
    <s v="CUST-1618"/>
    <s v="Existing"/>
    <x v="0"/>
    <s v="Sale"/>
  </r>
  <r>
    <s v="ORD-11906"/>
    <x v="651"/>
    <x v="2"/>
    <x v="2"/>
    <s v="Accessories &amp; Power"/>
    <x v="2"/>
    <x v="71"/>
    <n v="19.260000000000002"/>
    <n v="1"/>
    <s v="CUST-1636"/>
    <s v="Existing"/>
    <x v="0"/>
    <s v="Sale"/>
  </r>
  <r>
    <s v="ORD-11907"/>
    <x v="651"/>
    <x v="0"/>
    <x v="2"/>
    <s v="Accessories &amp; Power"/>
    <x v="11"/>
    <x v="74"/>
    <n v="86.67"/>
    <n v="1"/>
    <s v="CUST-1300"/>
    <s v="Existing"/>
    <x v="0"/>
    <s v="Sale"/>
  </r>
  <r>
    <s v="ORD-11908"/>
    <x v="651"/>
    <x v="0"/>
    <x v="2"/>
    <s v="Networking &amp; Security"/>
    <x v="5"/>
    <x v="132"/>
    <n v="433.37"/>
    <n v="5"/>
    <s v="CUST-1778"/>
    <s v="New"/>
    <x v="1"/>
    <s v="Sale"/>
  </r>
  <r>
    <s v="ORD-11909"/>
    <x v="652"/>
    <x v="5"/>
    <x v="0"/>
    <s v="Smart Home &amp; IoT"/>
    <x v="4"/>
    <x v="69"/>
    <n v="105.93"/>
    <n v="2"/>
    <s v="CUST-2479"/>
    <s v="New"/>
    <x v="1"/>
    <s v="Sale"/>
  </r>
  <r>
    <s v="ORD-11910"/>
    <x v="652"/>
    <x v="5"/>
    <x v="2"/>
    <s v="Accessories &amp; Power"/>
    <x v="2"/>
    <x v="71"/>
    <n v="19.260000000000002"/>
    <n v="1"/>
    <s v="CUST-1988"/>
    <s v="New"/>
    <x v="1"/>
    <s v="Sale"/>
  </r>
  <r>
    <s v="ORD-11911"/>
    <x v="653"/>
    <x v="3"/>
    <x v="1"/>
    <s v="Networking &amp; Security"/>
    <x v="7"/>
    <x v="93"/>
    <n v="423.74"/>
    <n v="2"/>
    <s v="CUST-1201"/>
    <s v="New"/>
    <x v="1"/>
    <s v="Sale"/>
  </r>
  <r>
    <s v="ORD-11912"/>
    <x v="653"/>
    <x v="5"/>
    <x v="0"/>
    <s v="Laptops &amp; Computers"/>
    <x v="6"/>
    <x v="77"/>
    <n v="818.59"/>
    <n v="1"/>
    <s v="CUST-1673"/>
    <s v="New"/>
    <x v="1"/>
    <s v="Sale"/>
  </r>
  <r>
    <s v="ORD-11913"/>
    <x v="654"/>
    <x v="1"/>
    <x v="1"/>
    <s v="Laptops &amp; Computers"/>
    <x v="9"/>
    <x v="70"/>
    <n v="577.83000000000004"/>
    <n v="1"/>
    <s v="CUST-2879"/>
    <s v="New"/>
    <x v="1"/>
    <s v="Sale"/>
  </r>
  <r>
    <s v="ORD-11914"/>
    <x v="654"/>
    <x v="3"/>
    <x v="0"/>
    <s v="Networking &amp; Security"/>
    <x v="5"/>
    <x v="74"/>
    <n v="86.67"/>
    <n v="1"/>
    <s v="CUST-1301"/>
    <s v="Existing"/>
    <x v="0"/>
    <s v="Sale"/>
  </r>
  <r>
    <s v="ORD-11915"/>
    <x v="654"/>
    <x v="5"/>
    <x v="0"/>
    <s v="Accessories &amp; Power"/>
    <x v="2"/>
    <x v="71"/>
    <n v="19.260000000000002"/>
    <n v="1"/>
    <s v="CUST-2647"/>
    <s v="Existing"/>
    <x v="0"/>
    <s v="Sale"/>
  </r>
  <r>
    <s v="ORD-11916"/>
    <x v="655"/>
    <x v="0"/>
    <x v="0"/>
    <s v="Smart Home &amp; IoT"/>
    <x v="1"/>
    <x v="72"/>
    <n v="67.41"/>
    <n v="1"/>
    <s v="CUST-1336"/>
    <s v="New"/>
    <x v="1"/>
    <s v="Sale"/>
  </r>
  <r>
    <s v="ORD-11917"/>
    <x v="655"/>
    <x v="5"/>
    <x v="1"/>
    <s v="Laptops &amp; Computers"/>
    <x v="9"/>
    <x v="87"/>
    <n v="1155.6500000000001"/>
    <n v="2"/>
    <s v="CUST-1031"/>
    <s v="New"/>
    <x v="1"/>
    <s v="Sale"/>
  </r>
  <r>
    <s v="ORD-11918"/>
    <x v="655"/>
    <x v="4"/>
    <x v="0"/>
    <s v="Laptops &amp; Computers"/>
    <x v="0"/>
    <x v="83"/>
    <n v="433.37"/>
    <n v="1"/>
    <s v="CUST-2994"/>
    <s v="New"/>
    <x v="1"/>
    <s v="Sale"/>
  </r>
  <r>
    <s v="ORD-11919"/>
    <x v="655"/>
    <x v="1"/>
    <x v="1"/>
    <s v="Accessories &amp; Power"/>
    <x v="3"/>
    <x v="78"/>
    <n v="62.6"/>
    <n v="1"/>
    <s v="CUST-2121"/>
    <s v="New"/>
    <x v="1"/>
    <s v="Sale"/>
  </r>
  <r>
    <s v="ORD-11920"/>
    <x v="655"/>
    <x v="0"/>
    <x v="1"/>
    <s v="Accessories &amp; Power"/>
    <x v="2"/>
    <x v="71"/>
    <n v="19.260000000000002"/>
    <n v="1"/>
    <s v="CUST-2782"/>
    <s v="New"/>
    <x v="1"/>
    <s v="Sale"/>
  </r>
  <r>
    <s v="ORD-11921"/>
    <x v="656"/>
    <x v="0"/>
    <x v="0"/>
    <s v="Smart Home &amp; IoT"/>
    <x v="4"/>
    <x v="68"/>
    <n v="52.97"/>
    <n v="1"/>
    <s v="CUST-1772"/>
    <s v="New"/>
    <x v="1"/>
    <s v="Sale"/>
  </r>
  <r>
    <s v="ORD-11922"/>
    <x v="656"/>
    <x v="0"/>
    <x v="0"/>
    <s v="Smart Home &amp; IoT"/>
    <x v="4"/>
    <x v="106"/>
    <n v="158.9"/>
    <n v="3"/>
    <s v="CUST-2214"/>
    <s v="New"/>
    <x v="1"/>
    <s v="Sale"/>
  </r>
  <r>
    <s v="ORD-11923"/>
    <x v="656"/>
    <x v="1"/>
    <x v="2"/>
    <s v="Laptops &amp; Computers"/>
    <x v="0"/>
    <x v="103"/>
    <n v="-866.74"/>
    <n v="-2"/>
    <s v="CUST-2564"/>
    <s v="Existing"/>
    <x v="0"/>
    <s v="Return"/>
  </r>
  <r>
    <s v="ORD-11924"/>
    <x v="657"/>
    <x v="5"/>
    <x v="0"/>
    <s v="Accessories &amp; Power"/>
    <x v="3"/>
    <x v="89"/>
    <n v="250.39"/>
    <n v="4"/>
    <s v="CUST-2071"/>
    <s v="New"/>
    <x v="1"/>
    <s v="Sale"/>
  </r>
  <r>
    <s v="ORD-11925"/>
    <x v="657"/>
    <x v="0"/>
    <x v="2"/>
    <s v="Accessories &amp; Power"/>
    <x v="3"/>
    <x v="120"/>
    <n v="312.99"/>
    <n v="5"/>
    <s v="CUST-2273"/>
    <s v="New"/>
    <x v="1"/>
    <s v="Sale"/>
  </r>
  <r>
    <s v="ORD-11926"/>
    <x v="657"/>
    <x v="4"/>
    <x v="0"/>
    <s v="Laptops &amp; Computers"/>
    <x v="9"/>
    <x v="70"/>
    <n v="577.83000000000004"/>
    <n v="1"/>
    <s v="CUST-2249"/>
    <s v="Existing"/>
    <x v="0"/>
    <s v="Sale"/>
  </r>
  <r>
    <s v="ORD-11927"/>
    <x v="657"/>
    <x v="2"/>
    <x v="0"/>
    <s v="Smart Home &amp; IoT"/>
    <x v="8"/>
    <x v="73"/>
    <n v="125.2"/>
    <n v="1"/>
    <s v="CUST-2295"/>
    <s v="New"/>
    <x v="1"/>
    <s v="Sale"/>
  </r>
  <r>
    <s v="ORD-11928"/>
    <x v="658"/>
    <x v="5"/>
    <x v="2"/>
    <s v="Laptops &amp; Computers"/>
    <x v="9"/>
    <x v="99"/>
    <n v="1733.48"/>
    <n v="3"/>
    <s v="CUST-1664"/>
    <s v="New"/>
    <x v="1"/>
    <s v="Sale"/>
  </r>
  <r>
    <s v="ORD-11929"/>
    <x v="658"/>
    <x v="3"/>
    <x v="0"/>
    <s v="Laptops &amp; Computers"/>
    <x v="0"/>
    <x v="96"/>
    <n v="2166.84"/>
    <n v="5"/>
    <s v="CUST-2508"/>
    <s v="New"/>
    <x v="1"/>
    <s v="Sale"/>
  </r>
  <r>
    <s v="ORD-11930"/>
    <x v="658"/>
    <x v="0"/>
    <x v="0"/>
    <s v="Laptops &amp; Computers"/>
    <x v="9"/>
    <x v="87"/>
    <n v="1155.6500000000001"/>
    <n v="2"/>
    <s v="CUST-1327"/>
    <s v="New"/>
    <x v="1"/>
    <s v="Sale"/>
  </r>
  <r>
    <s v="ORD-11931"/>
    <x v="658"/>
    <x v="1"/>
    <x v="0"/>
    <s v="Laptops &amp; Computers"/>
    <x v="6"/>
    <x v="82"/>
    <n v="1637.17"/>
    <n v="2"/>
    <s v="CUST-1796"/>
    <s v="Existing"/>
    <x v="0"/>
    <s v="Sale"/>
  </r>
  <r>
    <s v="ORD-11932"/>
    <x v="659"/>
    <x v="5"/>
    <x v="0"/>
    <s v="Networking &amp; Security"/>
    <x v="10"/>
    <x v="81"/>
    <n v="211.87"/>
    <n v="2"/>
    <s v="CUST-2203"/>
    <s v="New"/>
    <x v="1"/>
    <s v="Sale"/>
  </r>
  <r>
    <s v="ORD-11933"/>
    <x v="659"/>
    <x v="3"/>
    <x v="2"/>
    <s v="Networking &amp; Security"/>
    <x v="10"/>
    <x v="69"/>
    <n v="105.93"/>
    <n v="1"/>
    <s v="CUST-1813"/>
    <s v="New"/>
    <x v="1"/>
    <s v="Sale"/>
  </r>
  <r>
    <s v="ORD-11934"/>
    <x v="660"/>
    <x v="2"/>
    <x v="1"/>
    <s v="Networking &amp; Security"/>
    <x v="10"/>
    <x v="69"/>
    <n v="105.93"/>
    <n v="1"/>
    <s v="CUST-1664"/>
    <s v="New"/>
    <x v="1"/>
    <s v="Sale"/>
  </r>
  <r>
    <s v="ORD-11935"/>
    <x v="660"/>
    <x v="0"/>
    <x v="0"/>
    <s v="Networking &amp; Security"/>
    <x v="10"/>
    <x v="81"/>
    <n v="211.87"/>
    <n v="2"/>
    <s v="CUST-1745"/>
    <s v="New"/>
    <x v="1"/>
    <s v="Sale"/>
  </r>
  <r>
    <s v="ORD-11936"/>
    <x v="661"/>
    <x v="4"/>
    <x v="2"/>
    <s v="Laptops &amp; Computers"/>
    <x v="6"/>
    <x v="82"/>
    <n v="1637.17"/>
    <n v="2"/>
    <s v="CUST-2046"/>
    <s v="New"/>
    <x v="1"/>
    <s v="Sale"/>
  </r>
  <r>
    <s v="ORD-11937"/>
    <x v="661"/>
    <x v="0"/>
    <x v="2"/>
    <s v="Laptops &amp; Computers"/>
    <x v="6"/>
    <x v="77"/>
    <n v="818.59"/>
    <n v="1"/>
    <s v="CUST-1929"/>
    <s v="New"/>
    <x v="1"/>
    <s v="Sale"/>
  </r>
  <r>
    <s v="ORD-11938"/>
    <x v="661"/>
    <x v="3"/>
    <x v="0"/>
    <s v="Smart Home &amp; IoT"/>
    <x v="8"/>
    <x v="73"/>
    <n v="125.2"/>
    <n v="1"/>
    <s v="CUST-1962"/>
    <s v="New"/>
    <x v="1"/>
    <s v="Sale"/>
  </r>
  <r>
    <s v="ORD-11939"/>
    <x v="662"/>
    <x v="4"/>
    <x v="0"/>
    <s v="Networking &amp; Security"/>
    <x v="10"/>
    <x v="69"/>
    <n v="105.93"/>
    <n v="1"/>
    <s v="CUST-2629"/>
    <s v="New"/>
    <x v="1"/>
    <s v="Sale"/>
  </r>
  <r>
    <s v="ORD-11940"/>
    <x v="662"/>
    <x v="0"/>
    <x v="1"/>
    <s v="Laptops &amp; Computers"/>
    <x v="9"/>
    <x v="70"/>
    <n v="577.83000000000004"/>
    <n v="1"/>
    <s v="CUST-2393"/>
    <s v="New"/>
    <x v="1"/>
    <s v="Sale"/>
  </r>
  <r>
    <s v="ORD-11941"/>
    <x v="663"/>
    <x v="2"/>
    <x v="2"/>
    <s v="Accessories &amp; Power"/>
    <x v="3"/>
    <x v="67"/>
    <n v="187.79"/>
    <n v="3"/>
    <s v="CUST-2268"/>
    <s v="New"/>
    <x v="1"/>
    <s v="Sale"/>
  </r>
  <r>
    <s v="ORD-11942"/>
    <x v="663"/>
    <x v="0"/>
    <x v="2"/>
    <s v="Smart Home &amp; IoT"/>
    <x v="1"/>
    <x v="100"/>
    <n v="-67.41"/>
    <n v="-1"/>
    <s v="CUST-2825"/>
    <s v="New"/>
    <x v="1"/>
    <s v="Return"/>
  </r>
  <r>
    <s v="ORD-11943"/>
    <x v="664"/>
    <x v="1"/>
    <x v="2"/>
    <s v="Accessories &amp; Power"/>
    <x v="3"/>
    <x v="78"/>
    <n v="62.6"/>
    <n v="1"/>
    <s v="CUST-2183"/>
    <s v="New"/>
    <x v="1"/>
    <s v="Sale"/>
  </r>
  <r>
    <s v="ORD-11944"/>
    <x v="664"/>
    <x v="5"/>
    <x v="0"/>
    <s v="Networking &amp; Security"/>
    <x v="7"/>
    <x v="86"/>
    <n v="211.87"/>
    <n v="1"/>
    <s v="CUST-1372"/>
    <s v="New"/>
    <x v="1"/>
    <s v="Sale"/>
  </r>
  <r>
    <s v="ORD-11945"/>
    <x v="664"/>
    <x v="5"/>
    <x v="2"/>
    <s v="Laptops &amp; Computers"/>
    <x v="6"/>
    <x v="82"/>
    <n v="1637.17"/>
    <n v="2"/>
    <s v="CUST-1284"/>
    <s v="New"/>
    <x v="1"/>
    <s v="Sale"/>
  </r>
  <r>
    <s v="ORD-11946"/>
    <x v="664"/>
    <x v="4"/>
    <x v="2"/>
    <s v="Smart Home &amp; IoT"/>
    <x v="1"/>
    <x v="72"/>
    <n v="67.41"/>
    <n v="1"/>
    <s v="CUST-1520"/>
    <s v="New"/>
    <x v="1"/>
    <s v="Sale"/>
  </r>
  <r>
    <s v="ORD-11947"/>
    <x v="665"/>
    <x v="2"/>
    <x v="2"/>
    <s v="Laptops &amp; Computers"/>
    <x v="0"/>
    <x v="83"/>
    <n v="433.37"/>
    <n v="1"/>
    <s v="CUST-2473"/>
    <s v="New"/>
    <x v="1"/>
    <s v="Sale"/>
  </r>
  <r>
    <s v="ORD-11948"/>
    <x v="665"/>
    <x v="1"/>
    <x v="0"/>
    <s v="Networking &amp; Security"/>
    <x v="7"/>
    <x v="86"/>
    <n v="211.87"/>
    <n v="1"/>
    <s v="CUST-1696"/>
    <s v="New"/>
    <x v="1"/>
    <s v="Sale"/>
  </r>
  <r>
    <s v="ORD-11949"/>
    <x v="666"/>
    <x v="3"/>
    <x v="0"/>
    <s v="Laptops &amp; Computers"/>
    <x v="0"/>
    <x v="83"/>
    <n v="433.37"/>
    <n v="1"/>
    <s v="CUST-1806"/>
    <s v="New"/>
    <x v="1"/>
    <s v="Sale"/>
  </r>
  <r>
    <s v="ORD-11950"/>
    <x v="666"/>
    <x v="4"/>
    <x v="0"/>
    <s v="Accessories &amp; Power"/>
    <x v="3"/>
    <x v="78"/>
    <n v="62.6"/>
    <n v="1"/>
    <s v="CUST-1646"/>
    <s v="New"/>
    <x v="1"/>
    <s v="Sale"/>
  </r>
  <r>
    <s v="ORD-11951"/>
    <x v="666"/>
    <x v="0"/>
    <x v="1"/>
    <s v="Laptops &amp; Computers"/>
    <x v="6"/>
    <x v="77"/>
    <n v="818.59"/>
    <n v="1"/>
    <s v="CUST-2645"/>
    <s v="New"/>
    <x v="1"/>
    <s v="Sale"/>
  </r>
  <r>
    <s v="ORD-11952"/>
    <x v="667"/>
    <x v="4"/>
    <x v="0"/>
    <s v="Accessories &amp; Power"/>
    <x v="3"/>
    <x v="67"/>
    <n v="187.79"/>
    <n v="3"/>
    <s v="CUST-2604"/>
    <s v="Existing"/>
    <x v="0"/>
    <s v="Sale"/>
  </r>
  <r>
    <s v="ORD-11953"/>
    <x v="667"/>
    <x v="0"/>
    <x v="0"/>
    <s v="Accessories &amp; Power"/>
    <x v="3"/>
    <x v="78"/>
    <n v="62.6"/>
    <n v="1"/>
    <s v="CUST-1135"/>
    <s v="New"/>
    <x v="1"/>
    <s v="Sale"/>
  </r>
  <r>
    <s v="ORD-11954"/>
    <x v="668"/>
    <x v="3"/>
    <x v="0"/>
    <s v="Networking &amp; Security"/>
    <x v="7"/>
    <x v="86"/>
    <n v="211.87"/>
    <n v="1"/>
    <s v="CUST-1095"/>
    <s v="Existing"/>
    <x v="0"/>
    <s v="Sale"/>
  </r>
  <r>
    <s v="ORD-11955"/>
    <x v="668"/>
    <x v="0"/>
    <x v="0"/>
    <s v="Smart Home &amp; IoT"/>
    <x v="4"/>
    <x v="109"/>
    <n v="-105.93"/>
    <n v="-2"/>
    <s v="CUST-2142"/>
    <s v="New"/>
    <x v="1"/>
    <s v="Return"/>
  </r>
  <r>
    <s v="ORD-11956"/>
    <x v="668"/>
    <x v="0"/>
    <x v="2"/>
    <s v="Smart Home &amp; IoT"/>
    <x v="8"/>
    <x v="73"/>
    <n v="125.2"/>
    <n v="1"/>
    <s v="CUST-2397"/>
    <s v="Existing"/>
    <x v="0"/>
    <s v="Sale"/>
  </r>
  <r>
    <s v="ORD-11957"/>
    <x v="669"/>
    <x v="1"/>
    <x v="2"/>
    <s v="Accessories &amp; Power"/>
    <x v="3"/>
    <x v="73"/>
    <n v="125.2"/>
    <n v="2"/>
    <s v="CUST-1273"/>
    <s v="New"/>
    <x v="1"/>
    <s v="Sale"/>
  </r>
  <r>
    <s v="ORD-11958"/>
    <x v="670"/>
    <x v="5"/>
    <x v="2"/>
    <s v="Networking &amp; Security"/>
    <x v="7"/>
    <x v="86"/>
    <n v="211.87"/>
    <n v="1"/>
    <s v="CUST-2893"/>
    <s v="Existing"/>
    <x v="0"/>
    <s v="Sale"/>
  </r>
  <r>
    <s v="ORD-11959"/>
    <x v="670"/>
    <x v="1"/>
    <x v="0"/>
    <s v="Accessories &amp; Power"/>
    <x v="3"/>
    <x v="78"/>
    <n v="62.6"/>
    <n v="1"/>
    <s v="CUST-1877"/>
    <s v="New"/>
    <x v="1"/>
    <s v="Sale"/>
  </r>
  <r>
    <s v="ORD-11960"/>
    <x v="670"/>
    <x v="0"/>
    <x v="2"/>
    <s v="Networking &amp; Security"/>
    <x v="5"/>
    <x v="88"/>
    <n v="173.35"/>
    <n v="2"/>
    <s v="CUST-1849"/>
    <s v="Existing"/>
    <x v="0"/>
    <s v="Sale"/>
  </r>
  <r>
    <s v="ORD-11961"/>
    <x v="671"/>
    <x v="5"/>
    <x v="0"/>
    <s v="Accessories &amp; Power"/>
    <x v="11"/>
    <x v="84"/>
    <n v="260.02"/>
    <n v="3"/>
    <s v="CUST-2200"/>
    <s v="Existing"/>
    <x v="0"/>
    <s v="Sale"/>
  </r>
  <r>
    <s v="ORD-11962"/>
    <x v="672"/>
    <x v="4"/>
    <x v="0"/>
    <s v="Networking &amp; Security"/>
    <x v="10"/>
    <x v="69"/>
    <n v="105.93"/>
    <n v="1"/>
    <s v="CUST-2896"/>
    <s v="New"/>
    <x v="1"/>
    <s v="Sale"/>
  </r>
  <r>
    <s v="ORD-11963"/>
    <x v="672"/>
    <x v="1"/>
    <x v="0"/>
    <s v="Networking &amp; Security"/>
    <x v="10"/>
    <x v="69"/>
    <n v="105.93"/>
    <n v="1"/>
    <s v="CUST-2772"/>
    <s v="New"/>
    <x v="1"/>
    <s v="Sale"/>
  </r>
  <r>
    <s v="ORD-11964"/>
    <x v="672"/>
    <x v="0"/>
    <x v="0"/>
    <s v="Accessories &amp; Power"/>
    <x v="2"/>
    <x v="71"/>
    <n v="19.260000000000002"/>
    <n v="1"/>
    <s v="CUST-1783"/>
    <s v="New"/>
    <x v="1"/>
    <s v="Sale"/>
  </r>
  <r>
    <s v="ORD-11965"/>
    <x v="673"/>
    <x v="1"/>
    <x v="0"/>
    <s v="Accessories &amp; Power"/>
    <x v="11"/>
    <x v="84"/>
    <n v="260.02"/>
    <n v="3"/>
    <s v="CUST-2300"/>
    <s v="New"/>
    <x v="1"/>
    <s v="Sale"/>
  </r>
  <r>
    <s v="ORD-11966"/>
    <x v="673"/>
    <x v="0"/>
    <x v="2"/>
    <s v="Smart Home &amp; IoT"/>
    <x v="1"/>
    <x v="81"/>
    <n v="202.24"/>
    <n v="3"/>
    <s v="CUST-2161"/>
    <s v="Existing"/>
    <x v="0"/>
    <s v="Sale"/>
  </r>
  <r>
    <s v="ORD-11967"/>
    <x v="673"/>
    <x v="3"/>
    <x v="2"/>
    <s v="Laptops &amp; Computers"/>
    <x v="0"/>
    <x v="83"/>
    <n v="433.37"/>
    <n v="1"/>
    <s v="CUST-2897"/>
    <s v="New"/>
    <x v="1"/>
    <s v="Sale"/>
  </r>
  <r>
    <s v="ORD-11968"/>
    <x v="674"/>
    <x v="3"/>
    <x v="1"/>
    <s v="Networking &amp; Security"/>
    <x v="7"/>
    <x v="86"/>
    <n v="211.87"/>
    <n v="1"/>
    <s v="CUST-1131"/>
    <s v="New"/>
    <x v="1"/>
    <s v="Sale"/>
  </r>
  <r>
    <s v="ORD-11969"/>
    <x v="674"/>
    <x v="5"/>
    <x v="0"/>
    <s v="Accessories &amp; Power"/>
    <x v="2"/>
    <x v="71"/>
    <n v="19.260000000000002"/>
    <n v="1"/>
    <s v="CUST-2067"/>
    <s v="New"/>
    <x v="1"/>
    <s v="Sale"/>
  </r>
  <r>
    <s v="ORD-11970"/>
    <x v="674"/>
    <x v="1"/>
    <x v="0"/>
    <s v="Accessories &amp; Power"/>
    <x v="2"/>
    <x v="71"/>
    <n v="19.260000000000002"/>
    <n v="1"/>
    <s v="CUST-2146"/>
    <s v="Existing"/>
    <x v="0"/>
    <s v="Sale"/>
  </r>
  <r>
    <s v="ORD-11971"/>
    <x v="674"/>
    <x v="2"/>
    <x v="0"/>
    <s v="Accessories &amp; Power"/>
    <x v="2"/>
    <x v="71"/>
    <n v="19.260000000000002"/>
    <n v="1"/>
    <s v="CUST-2159"/>
    <s v="New"/>
    <x v="1"/>
    <s v="Sale"/>
  </r>
  <r>
    <s v="ORD-11972"/>
    <x v="675"/>
    <x v="5"/>
    <x v="1"/>
    <s v="Laptops &amp; Computers"/>
    <x v="9"/>
    <x v="70"/>
    <n v="577.83000000000004"/>
    <n v="1"/>
    <s v="CUST-2390"/>
    <s v="New"/>
    <x v="1"/>
    <s v="Sale"/>
  </r>
  <r>
    <s v="ORD-11973"/>
    <x v="675"/>
    <x v="3"/>
    <x v="2"/>
    <s v="Networking &amp; Security"/>
    <x v="7"/>
    <x v="93"/>
    <n v="423.74"/>
    <n v="2"/>
    <s v="CUST-1372"/>
    <s v="New"/>
    <x v="1"/>
    <s v="Sale"/>
  </r>
  <r>
    <s v="ORD-11974"/>
    <x v="676"/>
    <x v="5"/>
    <x v="2"/>
    <s v="Smart Home &amp; IoT"/>
    <x v="1"/>
    <x v="81"/>
    <n v="202.24"/>
    <n v="3"/>
    <s v="CUST-2149"/>
    <s v="Existing"/>
    <x v="0"/>
    <s v="Sale"/>
  </r>
  <r>
    <s v="ORD-11975"/>
    <x v="676"/>
    <x v="2"/>
    <x v="0"/>
    <s v="Accessories &amp; Power"/>
    <x v="2"/>
    <x v="127"/>
    <n v="96.3"/>
    <n v="5"/>
    <s v="CUST-2462"/>
    <s v="New"/>
    <x v="1"/>
    <s v="Sale"/>
  </r>
  <r>
    <s v="ORD-11976"/>
    <x v="676"/>
    <x v="5"/>
    <x v="2"/>
    <s v="Laptops &amp; Computers"/>
    <x v="9"/>
    <x v="92"/>
    <n v="-577.83000000000004"/>
    <n v="-1"/>
    <s v="CUST-2810"/>
    <s v="New"/>
    <x v="1"/>
    <s v="Return"/>
  </r>
  <r>
    <s v="ORD-11977"/>
    <x v="677"/>
    <x v="1"/>
    <x v="0"/>
    <s v="Accessories &amp; Power"/>
    <x v="2"/>
    <x v="71"/>
    <n v="19.260000000000002"/>
    <n v="1"/>
    <s v="CUST-2599"/>
    <s v="Existing"/>
    <x v="0"/>
    <s v="Sale"/>
  </r>
  <r>
    <s v="ORD-11978"/>
    <x v="677"/>
    <x v="4"/>
    <x v="2"/>
    <s v="Networking &amp; Security"/>
    <x v="7"/>
    <x v="91"/>
    <n v="635.61"/>
    <n v="3"/>
    <s v="CUST-1807"/>
    <s v="New"/>
    <x v="1"/>
    <s v="Sale"/>
  </r>
  <r>
    <s v="ORD-11979"/>
    <x v="678"/>
    <x v="5"/>
    <x v="1"/>
    <s v="Laptops &amp; Computers"/>
    <x v="0"/>
    <x v="83"/>
    <n v="433.37"/>
    <n v="1"/>
    <s v="CUST-1743"/>
    <s v="New"/>
    <x v="1"/>
    <s v="Sale"/>
  </r>
  <r>
    <s v="ORD-11980"/>
    <x v="678"/>
    <x v="5"/>
    <x v="1"/>
    <s v="Networking &amp; Security"/>
    <x v="7"/>
    <x v="93"/>
    <n v="423.74"/>
    <n v="2"/>
    <s v="CUST-1050"/>
    <s v="Existing"/>
    <x v="0"/>
    <s v="Sale"/>
  </r>
  <r>
    <s v="ORD-11981"/>
    <x v="679"/>
    <x v="0"/>
    <x v="2"/>
    <s v="Laptops &amp; Computers"/>
    <x v="6"/>
    <x v="77"/>
    <n v="818.59"/>
    <n v="1"/>
    <s v="CUST-2160"/>
    <s v="New"/>
    <x v="1"/>
    <s v="Sale"/>
  </r>
  <r>
    <s v="ORD-11982"/>
    <x v="680"/>
    <x v="5"/>
    <x v="0"/>
    <s v="Networking &amp; Security"/>
    <x v="5"/>
    <x v="74"/>
    <n v="86.67"/>
    <n v="1"/>
    <s v="CUST-2181"/>
    <s v="New"/>
    <x v="1"/>
    <s v="Sale"/>
  </r>
  <r>
    <s v="ORD-11983"/>
    <x v="680"/>
    <x v="5"/>
    <x v="1"/>
    <s v="Laptops &amp; Computers"/>
    <x v="9"/>
    <x v="70"/>
    <n v="577.83000000000004"/>
    <n v="1"/>
    <s v="CUST-1055"/>
    <s v="Existing"/>
    <x v="0"/>
    <s v="Sale"/>
  </r>
  <r>
    <s v="ORD-11984"/>
    <x v="680"/>
    <x v="0"/>
    <x v="2"/>
    <s v="Laptops &amp; Computers"/>
    <x v="6"/>
    <x v="77"/>
    <n v="818.59"/>
    <n v="1"/>
    <s v="CUST-2616"/>
    <s v="New"/>
    <x v="1"/>
    <s v="Sale"/>
  </r>
  <r>
    <s v="ORD-11985"/>
    <x v="681"/>
    <x v="0"/>
    <x v="0"/>
    <s v="Accessories &amp; Power"/>
    <x v="2"/>
    <x v="68"/>
    <n v="38.520000000000003"/>
    <n v="2"/>
    <s v="CUST-1743"/>
    <s v="New"/>
    <x v="1"/>
    <s v="Sale"/>
  </r>
  <r>
    <s v="ORD-11986"/>
    <x v="681"/>
    <x v="5"/>
    <x v="0"/>
    <s v="Laptops &amp; Computers"/>
    <x v="9"/>
    <x v="70"/>
    <n v="577.83000000000004"/>
    <n v="1"/>
    <s v="CUST-1427"/>
    <s v="New"/>
    <x v="1"/>
    <s v="Sale"/>
  </r>
  <r>
    <s v="ORD-11987"/>
    <x v="682"/>
    <x v="2"/>
    <x v="0"/>
    <s v="Laptops &amp; Computers"/>
    <x v="9"/>
    <x v="70"/>
    <n v="577.83000000000004"/>
    <n v="1"/>
    <s v="CUST-1442"/>
    <s v="New"/>
    <x v="1"/>
    <s v="Sale"/>
  </r>
  <r>
    <s v="ORD-11988"/>
    <x v="683"/>
    <x v="5"/>
    <x v="0"/>
    <s v="Networking &amp; Security"/>
    <x v="10"/>
    <x v="69"/>
    <n v="105.93"/>
    <n v="1"/>
    <s v="CUST-2934"/>
    <s v="New"/>
    <x v="1"/>
    <s v="Sale"/>
  </r>
  <r>
    <s v="ORD-11989"/>
    <x v="683"/>
    <x v="0"/>
    <x v="0"/>
    <s v="Networking &amp; Security"/>
    <x v="10"/>
    <x v="75"/>
    <n v="317.8"/>
    <n v="3"/>
    <s v="CUST-2987"/>
    <s v="New"/>
    <x v="1"/>
    <s v="Sale"/>
  </r>
  <r>
    <s v="ORD-11990"/>
    <x v="683"/>
    <x v="2"/>
    <x v="2"/>
    <s v="Accessories &amp; Power"/>
    <x v="11"/>
    <x v="74"/>
    <n v="86.67"/>
    <n v="1"/>
    <s v="CUST-1325"/>
    <s v="Existing"/>
    <x v="0"/>
    <s v="Sale"/>
  </r>
  <r>
    <s v="ORD-11991"/>
    <x v="684"/>
    <x v="0"/>
    <x v="0"/>
    <s v="Networking &amp; Security"/>
    <x v="10"/>
    <x v="69"/>
    <n v="105.93"/>
    <n v="1"/>
    <s v="CUST-1639"/>
    <s v="New"/>
    <x v="1"/>
    <s v="Sale"/>
  </r>
  <r>
    <s v="ORD-11992"/>
    <x v="684"/>
    <x v="1"/>
    <x v="0"/>
    <s v="Accessories &amp; Power"/>
    <x v="11"/>
    <x v="74"/>
    <n v="86.67"/>
    <n v="1"/>
    <s v="CUST-2661"/>
    <s v="New"/>
    <x v="1"/>
    <s v="Sale"/>
  </r>
  <r>
    <s v="ORD-11993"/>
    <x v="685"/>
    <x v="0"/>
    <x v="2"/>
    <s v="Smart Home &amp; IoT"/>
    <x v="1"/>
    <x v="100"/>
    <n v="-67.41"/>
    <n v="-1"/>
    <s v="CUST-1828"/>
    <s v="Existing"/>
    <x v="0"/>
    <s v="Return"/>
  </r>
  <r>
    <s v="ORD-11994"/>
    <x v="685"/>
    <x v="0"/>
    <x v="1"/>
    <s v="Laptops &amp; Computers"/>
    <x v="9"/>
    <x v="92"/>
    <n v="-577.83000000000004"/>
    <n v="-1"/>
    <s v="CUST-1079"/>
    <s v="New"/>
    <x v="1"/>
    <s v="Return"/>
  </r>
  <r>
    <s v="ORD-11995"/>
    <x v="685"/>
    <x v="0"/>
    <x v="2"/>
    <s v="Laptops &amp; Computers"/>
    <x v="0"/>
    <x v="79"/>
    <n v="866.74"/>
    <n v="2"/>
    <s v="CUST-1473"/>
    <s v="New"/>
    <x v="1"/>
    <s v="Sale"/>
  </r>
  <r>
    <s v="ORD-11996"/>
    <x v="686"/>
    <x v="1"/>
    <x v="0"/>
    <s v="Networking &amp; Security"/>
    <x v="10"/>
    <x v="69"/>
    <n v="105.93"/>
    <n v="1"/>
    <s v="CUST-1376"/>
    <s v="New"/>
    <x v="1"/>
    <s v="Sale"/>
  </r>
  <r>
    <s v="ORD-11997"/>
    <x v="686"/>
    <x v="0"/>
    <x v="1"/>
    <s v="Networking &amp; Security"/>
    <x v="5"/>
    <x v="74"/>
    <n v="86.67"/>
    <n v="1"/>
    <s v="CUST-2892"/>
    <s v="New"/>
    <x v="1"/>
    <s v="Sale"/>
  </r>
  <r>
    <s v="ORD-11998"/>
    <x v="686"/>
    <x v="1"/>
    <x v="1"/>
    <s v="Smart Home &amp; IoT"/>
    <x v="4"/>
    <x v="69"/>
    <n v="105.93"/>
    <n v="2"/>
    <s v="CUST-1918"/>
    <s v="Existing"/>
    <x v="0"/>
    <s v="Sale"/>
  </r>
  <r>
    <s v="ORD-11999"/>
    <x v="686"/>
    <x v="5"/>
    <x v="0"/>
    <s v="Smart Home &amp; IoT"/>
    <x v="4"/>
    <x v="68"/>
    <n v="52.97"/>
    <n v="1"/>
    <s v="CUST-1332"/>
    <s v="New"/>
    <x v="1"/>
    <s v="Sa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96ED12-BB31-42A5-881B-C4F35330CEF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Z9" firstHeaderRow="1" firstDataRow="3" firstDataCol="1"/>
  <pivotFields count="15">
    <pivotField showAll="0"/>
    <pivotField axis="axisRow" numFmtId="165" showAll="0">
      <items count="15">
        <item x="0"/>
        <item x="1"/>
        <item x="2"/>
        <item x="3"/>
        <item x="4"/>
        <item x="5"/>
        <item x="6"/>
        <item x="7"/>
        <item x="8"/>
        <item x="9"/>
        <item x="10"/>
        <item x="11"/>
        <item x="12"/>
        <item x="13"/>
        <item t="default"/>
      </items>
    </pivotField>
    <pivotField axis="axisCol" showAll="0">
      <items count="7">
        <item x="0"/>
        <item x="2"/>
        <item x="3"/>
        <item x="5"/>
        <item x="1"/>
        <item x="4"/>
        <item t="default"/>
      </items>
    </pivotField>
    <pivotField axis="axisCol" showAll="0">
      <items count="4">
        <item x="2"/>
        <item x="0"/>
        <item x="1"/>
        <item t="default"/>
      </items>
    </pivotField>
    <pivotField showAll="0"/>
    <pivotField showAll="0"/>
    <pivotField dataField="1" numFmtId="164" showAll="0">
      <items count="134">
        <item x="61"/>
        <item x="47"/>
        <item x="102"/>
        <item x="59"/>
        <item x="58"/>
        <item x="110"/>
        <item x="49"/>
        <item x="118"/>
        <item x="113"/>
        <item x="121"/>
        <item x="103"/>
        <item x="50"/>
        <item x="95"/>
        <item x="64"/>
        <item x="125"/>
        <item x="57"/>
        <item x="92"/>
        <item x="42"/>
        <item x="39"/>
        <item x="94"/>
        <item x="41"/>
        <item x="105"/>
        <item x="28"/>
        <item x="108"/>
        <item x="123"/>
        <item x="38"/>
        <item x="62"/>
        <item x="98"/>
        <item x="112"/>
        <item x="115"/>
        <item x="51"/>
        <item x="22"/>
        <item x="128"/>
        <item x="8"/>
        <item x="109"/>
        <item x="29"/>
        <item x="104"/>
        <item x="114"/>
        <item x="52"/>
        <item x="100"/>
        <item x="36"/>
        <item x="131"/>
        <item x="24"/>
        <item x="116"/>
        <item x="53"/>
        <item x="119"/>
        <item x="71"/>
        <item x="31"/>
        <item x="68"/>
        <item x="2"/>
        <item x="78"/>
        <item x="13"/>
        <item x="72"/>
        <item x="27"/>
        <item x="117"/>
        <item x="35"/>
        <item x="74"/>
        <item x="4"/>
        <item x="69"/>
        <item x="11"/>
        <item x="73"/>
        <item x="127"/>
        <item x="3"/>
        <item x="63"/>
        <item x="76"/>
        <item x="1"/>
        <item x="106"/>
        <item x="46"/>
        <item x="88"/>
        <item x="14"/>
        <item x="67"/>
        <item x="16"/>
        <item x="86"/>
        <item x="81"/>
        <item x="6"/>
        <item x="26"/>
        <item x="89"/>
        <item x="84"/>
        <item x="17"/>
        <item x="12"/>
        <item x="101"/>
        <item x="44"/>
        <item x="75"/>
        <item x="120"/>
        <item x="25"/>
        <item x="23"/>
        <item x="111"/>
        <item x="56"/>
        <item x="83"/>
        <item x="85"/>
        <item x="0"/>
        <item x="7"/>
        <item x="93"/>
        <item x="122"/>
        <item x="21"/>
        <item x="45"/>
        <item x="132"/>
        <item x="54"/>
        <item x="70"/>
        <item x="15"/>
        <item x="20"/>
        <item x="91"/>
        <item x="18"/>
        <item x="107"/>
        <item x="60"/>
        <item x="77"/>
        <item x="10"/>
        <item x="79"/>
        <item x="19"/>
        <item x="90"/>
        <item x="30"/>
        <item x="87"/>
        <item x="9"/>
        <item x="32"/>
        <item x="97"/>
        <item x="40"/>
        <item x="82"/>
        <item x="5"/>
        <item x="99"/>
        <item x="124"/>
        <item x="37"/>
        <item x="66"/>
        <item x="96"/>
        <item x="65"/>
        <item x="126"/>
        <item x="43"/>
        <item x="80"/>
        <item x="33"/>
        <item x="130"/>
        <item x="34"/>
        <item x="129"/>
        <item x="55"/>
        <item x="48"/>
        <item t="default"/>
      </items>
    </pivotField>
    <pivotField numFmtId="164" showAll="0"/>
    <pivotField numFmtId="166" showAll="0"/>
    <pivotField showAll="0"/>
    <pivotField showAll="0"/>
    <pivotField numFmtId="166" showAll="0"/>
    <pivotField showAll="0"/>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14"/>
    <field x="1"/>
    <field x="13"/>
  </rowFields>
  <rowItems count="4">
    <i>
      <x v="1"/>
    </i>
    <i>
      <x v="2"/>
    </i>
    <i>
      <x v="3"/>
    </i>
    <i t="grand">
      <x/>
    </i>
  </rowItems>
  <colFields count="2">
    <field x="2"/>
    <field x="3"/>
  </colFields>
  <colItems count="25">
    <i>
      <x/>
      <x/>
    </i>
    <i r="1">
      <x v="1"/>
    </i>
    <i r="1">
      <x v="2"/>
    </i>
    <i t="default">
      <x/>
    </i>
    <i>
      <x v="1"/>
      <x/>
    </i>
    <i r="1">
      <x v="1"/>
    </i>
    <i r="1">
      <x v="2"/>
    </i>
    <i t="default">
      <x v="1"/>
    </i>
    <i>
      <x v="2"/>
      <x/>
    </i>
    <i r="1">
      <x v="1"/>
    </i>
    <i r="1">
      <x v="2"/>
    </i>
    <i t="default">
      <x v="2"/>
    </i>
    <i>
      <x v="3"/>
      <x/>
    </i>
    <i r="1">
      <x v="1"/>
    </i>
    <i r="1">
      <x v="2"/>
    </i>
    <i t="default">
      <x v="3"/>
    </i>
    <i>
      <x v="4"/>
      <x/>
    </i>
    <i r="1">
      <x v="1"/>
    </i>
    <i r="1">
      <x v="2"/>
    </i>
    <i t="default">
      <x v="4"/>
    </i>
    <i>
      <x v="5"/>
      <x/>
    </i>
    <i r="1">
      <x v="1"/>
    </i>
    <i r="1">
      <x v="2"/>
    </i>
    <i t="default">
      <x v="5"/>
    </i>
    <i t="grand">
      <x/>
    </i>
  </colItems>
  <dataFields count="1">
    <dataField name="Sum of SalesAmount" fld="6" baseField="14" baseItem="1"/>
  </dataFields>
  <chartFormats count="18">
    <chartFormat chart="0" format="0" series="1">
      <pivotArea type="data" outline="0" fieldPosition="0">
        <references count="3">
          <reference field="4294967294" count="1" selected="0">
            <x v="0"/>
          </reference>
          <reference field="2" count="1" selected="0">
            <x v="0"/>
          </reference>
          <reference field="3" count="1" selected="0">
            <x v="0"/>
          </reference>
        </references>
      </pivotArea>
    </chartFormat>
    <chartFormat chart="0" format="1" series="1">
      <pivotArea type="data" outline="0" fieldPosition="0">
        <references count="3">
          <reference field="4294967294" count="1" selected="0">
            <x v="0"/>
          </reference>
          <reference field="2" count="1" selected="0">
            <x v="0"/>
          </reference>
          <reference field="3" count="1" selected="0">
            <x v="1"/>
          </reference>
        </references>
      </pivotArea>
    </chartFormat>
    <chartFormat chart="0" format="2" series="1">
      <pivotArea type="data" outline="0" fieldPosition="0">
        <references count="3">
          <reference field="4294967294" count="1" selected="0">
            <x v="0"/>
          </reference>
          <reference field="2" count="1" selected="0">
            <x v="0"/>
          </reference>
          <reference field="3" count="1" selected="0">
            <x v="2"/>
          </reference>
        </references>
      </pivotArea>
    </chartFormat>
    <chartFormat chart="0" format="3" series="1">
      <pivotArea type="data" outline="0" fieldPosition="0">
        <references count="3">
          <reference field="4294967294" count="1" selected="0">
            <x v="0"/>
          </reference>
          <reference field="2" count="1" selected="0">
            <x v="1"/>
          </reference>
          <reference field="3" count="1" selected="0">
            <x v="0"/>
          </reference>
        </references>
      </pivotArea>
    </chartFormat>
    <chartFormat chart="0" format="4" series="1">
      <pivotArea type="data" outline="0" fieldPosition="0">
        <references count="3">
          <reference field="4294967294" count="1" selected="0">
            <x v="0"/>
          </reference>
          <reference field="2" count="1" selected="0">
            <x v="1"/>
          </reference>
          <reference field="3" count="1" selected="0">
            <x v="1"/>
          </reference>
        </references>
      </pivotArea>
    </chartFormat>
    <chartFormat chart="0" format="5" series="1">
      <pivotArea type="data" outline="0" fieldPosition="0">
        <references count="3">
          <reference field="4294967294" count="1" selected="0">
            <x v="0"/>
          </reference>
          <reference field="2" count="1" selected="0">
            <x v="1"/>
          </reference>
          <reference field="3" count="1" selected="0">
            <x v="2"/>
          </reference>
        </references>
      </pivotArea>
    </chartFormat>
    <chartFormat chart="0" format="6" series="1">
      <pivotArea type="data" outline="0" fieldPosition="0">
        <references count="3">
          <reference field="4294967294" count="1" selected="0">
            <x v="0"/>
          </reference>
          <reference field="2" count="1" selected="0">
            <x v="2"/>
          </reference>
          <reference field="3" count="1" selected="0">
            <x v="0"/>
          </reference>
        </references>
      </pivotArea>
    </chartFormat>
    <chartFormat chart="0" format="7" series="1">
      <pivotArea type="data" outline="0" fieldPosition="0">
        <references count="3">
          <reference field="4294967294" count="1" selected="0">
            <x v="0"/>
          </reference>
          <reference field="2" count="1" selected="0">
            <x v="2"/>
          </reference>
          <reference field="3" count="1" selected="0">
            <x v="1"/>
          </reference>
        </references>
      </pivotArea>
    </chartFormat>
    <chartFormat chart="0" format="8" series="1">
      <pivotArea type="data" outline="0" fieldPosition="0">
        <references count="3">
          <reference field="4294967294" count="1" selected="0">
            <x v="0"/>
          </reference>
          <reference field="2" count="1" selected="0">
            <x v="2"/>
          </reference>
          <reference field="3" count="1" selected="0">
            <x v="2"/>
          </reference>
        </references>
      </pivotArea>
    </chartFormat>
    <chartFormat chart="0" format="9" series="1">
      <pivotArea type="data" outline="0" fieldPosition="0">
        <references count="3">
          <reference field="4294967294" count="1" selected="0">
            <x v="0"/>
          </reference>
          <reference field="2" count="1" selected="0">
            <x v="3"/>
          </reference>
          <reference field="3" count="1" selected="0">
            <x v="0"/>
          </reference>
        </references>
      </pivotArea>
    </chartFormat>
    <chartFormat chart="0" format="10" series="1">
      <pivotArea type="data" outline="0" fieldPosition="0">
        <references count="3">
          <reference field="4294967294" count="1" selected="0">
            <x v="0"/>
          </reference>
          <reference field="2" count="1" selected="0">
            <x v="3"/>
          </reference>
          <reference field="3" count="1" selected="0">
            <x v="1"/>
          </reference>
        </references>
      </pivotArea>
    </chartFormat>
    <chartFormat chart="0" format="11" series="1">
      <pivotArea type="data" outline="0" fieldPosition="0">
        <references count="3">
          <reference field="4294967294" count="1" selected="0">
            <x v="0"/>
          </reference>
          <reference field="2" count="1" selected="0">
            <x v="3"/>
          </reference>
          <reference field="3" count="1" selected="0">
            <x v="2"/>
          </reference>
        </references>
      </pivotArea>
    </chartFormat>
    <chartFormat chart="0" format="12" series="1">
      <pivotArea type="data" outline="0" fieldPosition="0">
        <references count="3">
          <reference field="4294967294" count="1" selected="0">
            <x v="0"/>
          </reference>
          <reference field="2" count="1" selected="0">
            <x v="4"/>
          </reference>
          <reference field="3" count="1" selected="0">
            <x v="0"/>
          </reference>
        </references>
      </pivotArea>
    </chartFormat>
    <chartFormat chart="0" format="13" series="1">
      <pivotArea type="data" outline="0" fieldPosition="0">
        <references count="3">
          <reference field="4294967294" count="1" selected="0">
            <x v="0"/>
          </reference>
          <reference field="2" count="1" selected="0">
            <x v="4"/>
          </reference>
          <reference field="3" count="1" selected="0">
            <x v="1"/>
          </reference>
        </references>
      </pivotArea>
    </chartFormat>
    <chartFormat chart="0" format="14" series="1">
      <pivotArea type="data" outline="0" fieldPosition="0">
        <references count="3">
          <reference field="4294967294" count="1" selected="0">
            <x v="0"/>
          </reference>
          <reference field="2" count="1" selected="0">
            <x v="4"/>
          </reference>
          <reference field="3" count="1" selected="0">
            <x v="2"/>
          </reference>
        </references>
      </pivotArea>
    </chartFormat>
    <chartFormat chart="0" format="15" series="1">
      <pivotArea type="data" outline="0" fieldPosition="0">
        <references count="3">
          <reference field="4294967294" count="1" selected="0">
            <x v="0"/>
          </reference>
          <reference field="2" count="1" selected="0">
            <x v="5"/>
          </reference>
          <reference field="3" count="1" selected="0">
            <x v="0"/>
          </reference>
        </references>
      </pivotArea>
    </chartFormat>
    <chartFormat chart="0" format="16" series="1">
      <pivotArea type="data" outline="0" fieldPosition="0">
        <references count="3">
          <reference field="4294967294" count="1" selected="0">
            <x v="0"/>
          </reference>
          <reference field="2" count="1" selected="0">
            <x v="5"/>
          </reference>
          <reference field="3" count="1" selected="0">
            <x v="1"/>
          </reference>
        </references>
      </pivotArea>
    </chartFormat>
    <chartFormat chart="0" format="17" series="1">
      <pivotArea type="data" outline="0" fieldPosition="0">
        <references count="3">
          <reference field="4294967294" count="1" selected="0">
            <x v="0"/>
          </reference>
          <reference field="2" count="1" selected="0">
            <x v="5"/>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0A902D-6403-4E4F-A431-09225F64E89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16" firstHeaderRow="0" firstDataRow="1" firstDataCol="1"/>
  <pivotFields count="15">
    <pivotField showAll="0"/>
    <pivotField numFmtId="165" showAll="0"/>
    <pivotField showAll="0"/>
    <pivotField showAll="0"/>
    <pivotField showAll="0"/>
    <pivotField axis="axisRow" showAll="0">
      <items count="13">
        <item x="2"/>
        <item x="7"/>
        <item x="10"/>
        <item x="0"/>
        <item x="5"/>
        <item x="3"/>
        <item x="9"/>
        <item x="1"/>
        <item x="8"/>
        <item x="11"/>
        <item x="4"/>
        <item x="6"/>
        <item t="default"/>
      </items>
    </pivotField>
    <pivotField dataField="1" numFmtId="164" showAll="0"/>
    <pivotField dataField="1" numFmtId="164" showAll="0"/>
    <pivotField numFmtId="166" showAll="0"/>
    <pivotField showAll="0"/>
    <pivotField showAll="0"/>
    <pivotField numFmtId="166" showAll="0"/>
    <pivotField showAll="0"/>
    <pivotField showAll="0" defaultSubtota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Amount" fld="6" baseField="0" baseItem="0"/>
    <dataField name="Sum of CostAmount" fld="7" baseField="0" baseItem="0"/>
  </dataFields>
  <conditionalFormats count="1">
    <conditionalFormat priority="1">
      <pivotAreas count="1">
        <pivotArea type="data" collapsedLevelsAreSubtotals="1" fieldPosition="0">
          <references count="2">
            <reference field="4294967294" count="1" selected="0">
              <x v="0"/>
            </reference>
            <reference field="5" count="12">
              <x v="0"/>
              <x v="1"/>
              <x v="2"/>
              <x v="3"/>
              <x v="4"/>
              <x v="5"/>
              <x v="6"/>
              <x v="7"/>
              <x v="8"/>
              <x v="9"/>
              <x v="10"/>
              <x v="11"/>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CF1787-963D-45A0-84CC-7E10E0C7221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0" firstHeaderRow="1" firstDataRow="1" firstDataCol="1"/>
  <pivotFields count="15">
    <pivotField showAll="0"/>
    <pivotField numFmtId="165" showAll="0"/>
    <pivotField axis="axisRow" showAll="0">
      <items count="7">
        <item x="0"/>
        <item x="2"/>
        <item x="3"/>
        <item x="5"/>
        <item x="1"/>
        <item x="4"/>
        <item t="default"/>
      </items>
    </pivotField>
    <pivotField showAll="0"/>
    <pivotField showAll="0"/>
    <pivotField showAll="0"/>
    <pivotField numFmtId="164" showAll="0"/>
    <pivotField numFmtId="164" showAll="0"/>
    <pivotField numFmtId="166" showAll="0"/>
    <pivotField showAll="0"/>
    <pivotField showAll="0"/>
    <pivotField dataField="1" numFmtId="166" showAll="0">
      <items count="3">
        <item x="1"/>
        <item x="0"/>
        <item t="default"/>
      </items>
    </pivotField>
    <pivotField showAll="0"/>
    <pivotField showAll="0" defaultSubtotal="0"/>
    <pivotField showAll="0" defaultSubtotal="0"/>
  </pivotFields>
  <rowFields count="1">
    <field x="2"/>
  </rowFields>
  <rowItems count="7">
    <i>
      <x/>
    </i>
    <i>
      <x v="1"/>
    </i>
    <i>
      <x v="2"/>
    </i>
    <i>
      <x v="3"/>
    </i>
    <i>
      <x v="4"/>
    </i>
    <i>
      <x v="5"/>
    </i>
    <i t="grand">
      <x/>
    </i>
  </rowItems>
  <colItems count="1">
    <i/>
  </colItems>
  <dataFields count="1">
    <dataField name="Sum of IsRepeatPurchase" fld="11" baseField="0" baseItem="0"/>
  </dataFields>
  <conditionalFormats count="1">
    <conditionalFormat priority="1">
      <pivotAreas count="1">
        <pivotArea type="data" collapsedLevelsAreSubtotals="1" fieldPosition="0">
          <references count="2">
            <reference field="4294967294" count="1" selected="0">
              <x v="0"/>
            </reference>
            <reference field="2" count="6">
              <x v="0"/>
              <x v="1"/>
              <x v="2"/>
              <x v="3"/>
              <x v="4"/>
              <x v="5"/>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0E988-A9E8-80B8-6636-ECC411A7E957}">
  <dimension ref="A1:M2001"/>
  <sheetViews>
    <sheetView defaultGridColor="0" colorId="41" workbookViewId="0">
      <selection activeCell="C9" sqref="C9"/>
    </sheetView>
  </sheetViews>
  <sheetFormatPr defaultColWidth="15.6640625" defaultRowHeight="20.25" customHeight="1" x14ac:dyDescent="0.25"/>
  <cols>
    <col min="5" max="5" width="19.109375" customWidth="1"/>
    <col min="6" max="6" width="21" customWidth="1"/>
  </cols>
  <sheetData>
    <row r="1" spans="1:13" ht="20.25" customHeight="1" x14ac:dyDescent="0.25">
      <c r="A1" s="1" t="s">
        <v>14</v>
      </c>
      <c r="B1" s="1" t="s">
        <v>15</v>
      </c>
      <c r="C1" s="1" t="s">
        <v>16</v>
      </c>
      <c r="D1" s="1" t="s">
        <v>17</v>
      </c>
      <c r="E1" s="1" t="s">
        <v>18</v>
      </c>
      <c r="F1" s="1" t="s">
        <v>19</v>
      </c>
      <c r="G1" s="1" t="s">
        <v>20</v>
      </c>
      <c r="H1" s="1" t="s">
        <v>21</v>
      </c>
      <c r="I1" s="1" t="s">
        <v>22</v>
      </c>
      <c r="J1" s="1" t="s">
        <v>23</v>
      </c>
      <c r="K1" s="1" t="s">
        <v>24</v>
      </c>
      <c r="L1" s="1" t="s">
        <v>25</v>
      </c>
      <c r="M1" s="1" t="s">
        <v>26</v>
      </c>
    </row>
    <row r="2" spans="1:13" ht="20.25" customHeight="1" x14ac:dyDescent="0.25">
      <c r="A2" s="9" t="s">
        <v>27</v>
      </c>
      <c r="B2" s="10">
        <v>45505</v>
      </c>
      <c r="C2" s="9" t="s">
        <v>28</v>
      </c>
      <c r="D2" s="9" t="s">
        <v>29</v>
      </c>
      <c r="E2" s="11" t="s">
        <v>30</v>
      </c>
      <c r="F2" s="11" t="s">
        <v>31</v>
      </c>
      <c r="G2" s="3">
        <v>650</v>
      </c>
      <c r="H2" s="3">
        <v>450</v>
      </c>
      <c r="I2" s="12">
        <v>1</v>
      </c>
      <c r="J2" s="9" t="s">
        <v>32</v>
      </c>
      <c r="K2" s="9" t="s">
        <v>33</v>
      </c>
      <c r="L2" s="13">
        <v>1</v>
      </c>
      <c r="M2" s="9" t="s">
        <v>34</v>
      </c>
    </row>
    <row r="3" spans="1:13" ht="20.25" customHeight="1" x14ac:dyDescent="0.25">
      <c r="A3" s="9" t="s">
        <v>35</v>
      </c>
      <c r="B3" s="10">
        <v>45505</v>
      </c>
      <c r="C3" s="9" t="s">
        <v>36</v>
      </c>
      <c r="D3" s="9" t="s">
        <v>29</v>
      </c>
      <c r="E3" s="11" t="s">
        <v>37</v>
      </c>
      <c r="F3" s="11" t="s">
        <v>38</v>
      </c>
      <c r="G3" s="3">
        <v>240</v>
      </c>
      <c r="H3" s="3">
        <v>140</v>
      </c>
      <c r="I3" s="12">
        <v>2</v>
      </c>
      <c r="J3" s="9" t="s">
        <v>39</v>
      </c>
      <c r="K3" s="9" t="s">
        <v>33</v>
      </c>
      <c r="L3" s="13">
        <v>1</v>
      </c>
      <c r="M3" s="9" t="s">
        <v>34</v>
      </c>
    </row>
    <row r="4" spans="1:13" ht="20.25" customHeight="1" x14ac:dyDescent="0.25">
      <c r="A4" s="9" t="s">
        <v>40</v>
      </c>
      <c r="B4" s="10">
        <v>45506</v>
      </c>
      <c r="C4" s="9" t="s">
        <v>41</v>
      </c>
      <c r="D4" s="9" t="s">
        <v>42</v>
      </c>
      <c r="E4" s="11" t="s">
        <v>43</v>
      </c>
      <c r="F4" s="11" t="s">
        <v>44</v>
      </c>
      <c r="G4" s="3">
        <v>90</v>
      </c>
      <c r="H4" s="3">
        <v>40</v>
      </c>
      <c r="I4" s="12">
        <v>2</v>
      </c>
      <c r="J4" s="9" t="s">
        <v>45</v>
      </c>
      <c r="K4" s="9" t="s">
        <v>33</v>
      </c>
      <c r="L4" s="13">
        <v>1</v>
      </c>
      <c r="M4" s="9" t="s">
        <v>34</v>
      </c>
    </row>
    <row r="5" spans="1:13" ht="20.25" customHeight="1" x14ac:dyDescent="0.25">
      <c r="A5" s="9" t="s">
        <v>46</v>
      </c>
      <c r="B5" s="10">
        <v>45506</v>
      </c>
      <c r="C5" s="9" t="s">
        <v>36</v>
      </c>
      <c r="D5" s="9" t="s">
        <v>29</v>
      </c>
      <c r="E5" s="11" t="s">
        <v>43</v>
      </c>
      <c r="F5" s="11" t="s">
        <v>47</v>
      </c>
      <c r="G5" s="3">
        <v>220</v>
      </c>
      <c r="H5" s="3">
        <v>130</v>
      </c>
      <c r="I5" s="12">
        <v>2</v>
      </c>
      <c r="J5" s="9" t="s">
        <v>48</v>
      </c>
      <c r="K5" s="9" t="s">
        <v>49</v>
      </c>
      <c r="L5" s="13">
        <v>0</v>
      </c>
      <c r="M5" s="9" t="s">
        <v>34</v>
      </c>
    </row>
    <row r="6" spans="1:13" ht="20.25" customHeight="1" x14ac:dyDescent="0.25">
      <c r="A6" s="9" t="s">
        <v>50</v>
      </c>
      <c r="B6" s="10">
        <v>45506</v>
      </c>
      <c r="C6" s="9" t="s">
        <v>41</v>
      </c>
      <c r="D6" s="9" t="s">
        <v>51</v>
      </c>
      <c r="E6" s="11" t="s">
        <v>43</v>
      </c>
      <c r="F6" s="11" t="s">
        <v>47</v>
      </c>
      <c r="G6" s="3">
        <v>220</v>
      </c>
      <c r="H6" s="3">
        <v>130</v>
      </c>
      <c r="I6" s="12">
        <v>2</v>
      </c>
      <c r="J6" s="9" t="s">
        <v>52</v>
      </c>
      <c r="K6" s="9" t="s">
        <v>33</v>
      </c>
      <c r="L6" s="13">
        <v>1</v>
      </c>
      <c r="M6" s="9" t="s">
        <v>34</v>
      </c>
    </row>
    <row r="7" spans="1:13" ht="20.25" customHeight="1" x14ac:dyDescent="0.25">
      <c r="A7" s="9" t="s">
        <v>53</v>
      </c>
      <c r="B7" s="10">
        <v>45506</v>
      </c>
      <c r="C7" s="9" t="s">
        <v>54</v>
      </c>
      <c r="D7" s="9" t="s">
        <v>29</v>
      </c>
      <c r="E7" s="11" t="s">
        <v>37</v>
      </c>
      <c r="F7" s="11" t="s">
        <v>55</v>
      </c>
      <c r="G7" s="3">
        <v>90</v>
      </c>
      <c r="H7" s="3">
        <v>55</v>
      </c>
      <c r="I7" s="12">
        <v>1</v>
      </c>
      <c r="J7" s="9" t="s">
        <v>56</v>
      </c>
      <c r="K7" s="9" t="s">
        <v>49</v>
      </c>
      <c r="L7" s="13">
        <v>0</v>
      </c>
      <c r="M7" s="9" t="s">
        <v>34</v>
      </c>
    </row>
    <row r="8" spans="1:13" ht="20.25" customHeight="1" x14ac:dyDescent="0.25">
      <c r="A8" s="9" t="s">
        <v>57</v>
      </c>
      <c r="B8" s="10">
        <v>45506</v>
      </c>
      <c r="C8" s="9" t="s">
        <v>54</v>
      </c>
      <c r="D8" s="9" t="s">
        <v>29</v>
      </c>
      <c r="E8" s="11" t="s">
        <v>58</v>
      </c>
      <c r="F8" s="11" t="s">
        <v>59</v>
      </c>
      <c r="G8" s="3">
        <v>150</v>
      </c>
      <c r="H8" s="3">
        <v>90</v>
      </c>
      <c r="I8" s="12">
        <v>1</v>
      </c>
      <c r="J8" s="9" t="s">
        <v>60</v>
      </c>
      <c r="K8" s="9" t="s">
        <v>49</v>
      </c>
      <c r="L8" s="13">
        <v>0</v>
      </c>
      <c r="M8" s="9" t="s">
        <v>34</v>
      </c>
    </row>
    <row r="9" spans="1:13" ht="20.25" customHeight="1" x14ac:dyDescent="0.25">
      <c r="A9" s="9" t="s">
        <v>61</v>
      </c>
      <c r="B9" s="10">
        <v>45507</v>
      </c>
      <c r="C9" s="9" t="s">
        <v>62</v>
      </c>
      <c r="D9" s="9" t="s">
        <v>51</v>
      </c>
      <c r="E9" s="11" t="s">
        <v>30</v>
      </c>
      <c r="F9" s="11" t="s">
        <v>63</v>
      </c>
      <c r="G9" s="3">
        <v>2400</v>
      </c>
      <c r="H9" s="3">
        <v>1700</v>
      </c>
      <c r="I9" s="12">
        <v>2</v>
      </c>
      <c r="J9" s="9" t="s">
        <v>64</v>
      </c>
      <c r="K9" s="9" t="s">
        <v>49</v>
      </c>
      <c r="L9" s="13">
        <v>0</v>
      </c>
      <c r="M9" s="9" t="s">
        <v>34</v>
      </c>
    </row>
    <row r="10" spans="1:13" ht="20.25" customHeight="1" x14ac:dyDescent="0.25">
      <c r="A10" s="9" t="s">
        <v>65</v>
      </c>
      <c r="B10" s="10">
        <v>45507</v>
      </c>
      <c r="C10" s="9" t="s">
        <v>36</v>
      </c>
      <c r="D10" s="9" t="s">
        <v>51</v>
      </c>
      <c r="E10" s="11" t="s">
        <v>30</v>
      </c>
      <c r="F10" s="11" t="s">
        <v>31</v>
      </c>
      <c r="G10" s="3">
        <v>650</v>
      </c>
      <c r="H10" s="3">
        <v>450</v>
      </c>
      <c r="I10" s="12">
        <v>1</v>
      </c>
      <c r="J10" s="9" t="s">
        <v>66</v>
      </c>
      <c r="K10" s="9" t="s">
        <v>49</v>
      </c>
      <c r="L10" s="13">
        <v>0</v>
      </c>
      <c r="M10" s="9" t="s">
        <v>34</v>
      </c>
    </row>
    <row r="11" spans="1:13" ht="20.25" customHeight="1" x14ac:dyDescent="0.25">
      <c r="A11" s="9" t="s">
        <v>67</v>
      </c>
      <c r="B11" s="10">
        <v>45507</v>
      </c>
      <c r="C11" s="9" t="s">
        <v>36</v>
      </c>
      <c r="D11" s="9" t="s">
        <v>42</v>
      </c>
      <c r="E11" s="11" t="s">
        <v>58</v>
      </c>
      <c r="F11" s="11" t="s">
        <v>68</v>
      </c>
      <c r="G11" s="3">
        <v>350</v>
      </c>
      <c r="H11" s="3">
        <v>220</v>
      </c>
      <c r="I11" s="12">
        <v>1</v>
      </c>
      <c r="J11" s="9" t="s">
        <v>69</v>
      </c>
      <c r="K11" s="9" t="s">
        <v>49</v>
      </c>
      <c r="L11" s="13">
        <v>0</v>
      </c>
      <c r="M11" s="9" t="s">
        <v>34</v>
      </c>
    </row>
    <row r="12" spans="1:13" ht="20.25" customHeight="1" x14ac:dyDescent="0.25">
      <c r="A12" s="9" t="s">
        <v>70</v>
      </c>
      <c r="B12" s="10">
        <v>45507</v>
      </c>
      <c r="C12" s="9" t="s">
        <v>71</v>
      </c>
      <c r="D12" s="9" t="s">
        <v>51</v>
      </c>
      <c r="E12" s="11" t="s">
        <v>37</v>
      </c>
      <c r="F12" s="11" t="s">
        <v>72</v>
      </c>
      <c r="G12" s="3">
        <v>660</v>
      </c>
      <c r="H12" s="3">
        <v>390</v>
      </c>
      <c r="I12" s="12">
        <v>3</v>
      </c>
      <c r="J12" s="9" t="s">
        <v>73</v>
      </c>
      <c r="K12" s="9" t="s">
        <v>49</v>
      </c>
      <c r="L12" s="13">
        <v>0</v>
      </c>
      <c r="M12" s="9" t="s">
        <v>34</v>
      </c>
    </row>
    <row r="13" spans="1:13" ht="20.25" customHeight="1" x14ac:dyDescent="0.25">
      <c r="A13" s="9" t="s">
        <v>74</v>
      </c>
      <c r="B13" s="10">
        <v>45508</v>
      </c>
      <c r="C13" s="9" t="s">
        <v>36</v>
      </c>
      <c r="D13" s="9" t="s">
        <v>42</v>
      </c>
      <c r="E13" s="11" t="s">
        <v>37</v>
      </c>
      <c r="F13" s="11" t="s">
        <v>55</v>
      </c>
      <c r="G13" s="3">
        <v>-180</v>
      </c>
      <c r="H13" s="3">
        <v>-110</v>
      </c>
      <c r="I13" s="12">
        <v>-2</v>
      </c>
      <c r="J13" s="9" t="s">
        <v>75</v>
      </c>
      <c r="K13" s="9" t="s">
        <v>49</v>
      </c>
      <c r="L13" s="13">
        <v>0</v>
      </c>
      <c r="M13" s="9" t="s">
        <v>76</v>
      </c>
    </row>
    <row r="14" spans="1:13" ht="20.25" customHeight="1" x14ac:dyDescent="0.25">
      <c r="A14" s="9" t="s">
        <v>77</v>
      </c>
      <c r="B14" s="10">
        <v>45508</v>
      </c>
      <c r="C14" s="9" t="s">
        <v>71</v>
      </c>
      <c r="D14" s="9" t="s">
        <v>29</v>
      </c>
      <c r="E14" s="11" t="s">
        <v>37</v>
      </c>
      <c r="F14" s="11" t="s">
        <v>55</v>
      </c>
      <c r="G14" s="3">
        <v>90</v>
      </c>
      <c r="H14" s="3">
        <v>55</v>
      </c>
      <c r="I14" s="12">
        <v>1</v>
      </c>
      <c r="J14" s="9" t="s">
        <v>78</v>
      </c>
      <c r="K14" s="9" t="s">
        <v>49</v>
      </c>
      <c r="L14" s="13">
        <v>0</v>
      </c>
      <c r="M14" s="9" t="s">
        <v>34</v>
      </c>
    </row>
    <row r="15" spans="1:13" ht="20.25" customHeight="1" x14ac:dyDescent="0.25">
      <c r="A15" s="9" t="s">
        <v>79</v>
      </c>
      <c r="B15" s="10">
        <v>45508</v>
      </c>
      <c r="C15" s="9" t="s">
        <v>41</v>
      </c>
      <c r="D15" s="9" t="s">
        <v>29</v>
      </c>
      <c r="E15" s="11" t="s">
        <v>30</v>
      </c>
      <c r="F15" s="11" t="s">
        <v>80</v>
      </c>
      <c r="G15" s="3">
        <v>1700</v>
      </c>
      <c r="H15" s="3">
        <v>1200</v>
      </c>
      <c r="I15" s="12">
        <v>2</v>
      </c>
      <c r="J15" s="9" t="s">
        <v>81</v>
      </c>
      <c r="K15" s="9" t="s">
        <v>49</v>
      </c>
      <c r="L15" s="13">
        <v>0</v>
      </c>
      <c r="M15" s="9" t="s">
        <v>34</v>
      </c>
    </row>
    <row r="16" spans="1:13" ht="20.25" customHeight="1" x14ac:dyDescent="0.25">
      <c r="A16" s="9" t="s">
        <v>82</v>
      </c>
      <c r="B16" s="10">
        <v>45508</v>
      </c>
      <c r="C16" s="9" t="s">
        <v>41</v>
      </c>
      <c r="D16" s="9" t="s">
        <v>29</v>
      </c>
      <c r="E16" s="11" t="s">
        <v>37</v>
      </c>
      <c r="F16" s="11" t="s">
        <v>38</v>
      </c>
      <c r="G16" s="3">
        <v>240</v>
      </c>
      <c r="H16" s="3">
        <v>140</v>
      </c>
      <c r="I16" s="12">
        <v>2</v>
      </c>
      <c r="J16" s="9" t="s">
        <v>83</v>
      </c>
      <c r="K16" s="9" t="s">
        <v>33</v>
      </c>
      <c r="L16" s="13">
        <v>1</v>
      </c>
      <c r="M16" s="9" t="s">
        <v>34</v>
      </c>
    </row>
    <row r="17" spans="1:13" ht="20.25" customHeight="1" x14ac:dyDescent="0.25">
      <c r="A17" s="9" t="s">
        <v>84</v>
      </c>
      <c r="B17" s="10">
        <v>45508</v>
      </c>
      <c r="C17" s="9" t="s">
        <v>36</v>
      </c>
      <c r="D17" s="9" t="s">
        <v>29</v>
      </c>
      <c r="E17" s="11" t="s">
        <v>30</v>
      </c>
      <c r="F17" s="11" t="s">
        <v>63</v>
      </c>
      <c r="G17" s="3">
        <v>1200</v>
      </c>
      <c r="H17" s="3">
        <v>850</v>
      </c>
      <c r="I17" s="12">
        <v>1</v>
      </c>
      <c r="J17" s="9" t="s">
        <v>85</v>
      </c>
      <c r="K17" s="9" t="s">
        <v>49</v>
      </c>
      <c r="L17" s="13">
        <v>0</v>
      </c>
      <c r="M17" s="9" t="s">
        <v>34</v>
      </c>
    </row>
    <row r="18" spans="1:13" ht="20.25" customHeight="1" x14ac:dyDescent="0.25">
      <c r="A18" s="9" t="s">
        <v>86</v>
      </c>
      <c r="B18" s="10">
        <v>45509</v>
      </c>
      <c r="C18" s="9" t="s">
        <v>28</v>
      </c>
      <c r="D18" s="9" t="s">
        <v>51</v>
      </c>
      <c r="E18" s="11" t="s">
        <v>58</v>
      </c>
      <c r="F18" s="11" t="s">
        <v>87</v>
      </c>
      <c r="G18" s="3">
        <v>180</v>
      </c>
      <c r="H18" s="3">
        <v>110</v>
      </c>
      <c r="I18" s="12">
        <v>1</v>
      </c>
      <c r="J18" s="9" t="s">
        <v>88</v>
      </c>
      <c r="K18" s="9" t="s">
        <v>49</v>
      </c>
      <c r="L18" s="13">
        <v>0</v>
      </c>
      <c r="M18" s="9" t="s">
        <v>34</v>
      </c>
    </row>
    <row r="19" spans="1:13" ht="20.25" customHeight="1" x14ac:dyDescent="0.25">
      <c r="A19" s="9" t="s">
        <v>89</v>
      </c>
      <c r="B19" s="10">
        <v>45509</v>
      </c>
      <c r="C19" s="9" t="s">
        <v>36</v>
      </c>
      <c r="D19" s="9" t="s">
        <v>51</v>
      </c>
      <c r="E19" s="11" t="s">
        <v>43</v>
      </c>
      <c r="F19" s="11" t="s">
        <v>90</v>
      </c>
      <c r="G19" s="3">
        <v>450</v>
      </c>
      <c r="H19" s="3">
        <v>270</v>
      </c>
      <c r="I19" s="12">
        <v>3</v>
      </c>
      <c r="J19" s="9" t="s">
        <v>91</v>
      </c>
      <c r="K19" s="9" t="s">
        <v>49</v>
      </c>
      <c r="L19" s="13">
        <v>0</v>
      </c>
      <c r="M19" s="9" t="s">
        <v>34</v>
      </c>
    </row>
    <row r="20" spans="1:13" ht="20.25" customHeight="1" x14ac:dyDescent="0.25">
      <c r="A20" s="9" t="s">
        <v>92</v>
      </c>
      <c r="B20" s="10">
        <v>45509</v>
      </c>
      <c r="C20" s="9" t="s">
        <v>28</v>
      </c>
      <c r="D20" s="9" t="s">
        <v>29</v>
      </c>
      <c r="E20" s="11" t="s">
        <v>37</v>
      </c>
      <c r="F20" s="11" t="s">
        <v>72</v>
      </c>
      <c r="G20" s="3">
        <v>220</v>
      </c>
      <c r="H20" s="3">
        <v>130</v>
      </c>
      <c r="I20" s="12">
        <v>1</v>
      </c>
      <c r="J20" s="9" t="s">
        <v>93</v>
      </c>
      <c r="K20" s="9" t="s">
        <v>49</v>
      </c>
      <c r="L20" s="13">
        <v>0</v>
      </c>
      <c r="M20" s="9" t="s">
        <v>34</v>
      </c>
    </row>
    <row r="21" spans="1:13" ht="20.25" customHeight="1" x14ac:dyDescent="0.25">
      <c r="A21" s="9" t="s">
        <v>94</v>
      </c>
      <c r="B21" s="10">
        <v>45509</v>
      </c>
      <c r="C21" s="9" t="s">
        <v>54</v>
      </c>
      <c r="D21" s="9" t="s">
        <v>42</v>
      </c>
      <c r="E21" s="11" t="s">
        <v>43</v>
      </c>
      <c r="F21" s="11" t="s">
        <v>47</v>
      </c>
      <c r="G21" s="3">
        <v>110</v>
      </c>
      <c r="H21" s="3">
        <v>65</v>
      </c>
      <c r="I21" s="12">
        <v>1</v>
      </c>
      <c r="J21" s="9" t="s">
        <v>95</v>
      </c>
      <c r="K21" s="9" t="s">
        <v>49</v>
      </c>
      <c r="L21" s="13">
        <v>0</v>
      </c>
      <c r="M21" s="9" t="s">
        <v>34</v>
      </c>
    </row>
    <row r="22" spans="1:13" ht="20.25" customHeight="1" x14ac:dyDescent="0.25">
      <c r="A22" s="9" t="s">
        <v>96</v>
      </c>
      <c r="B22" s="10">
        <v>45510</v>
      </c>
      <c r="C22" s="9" t="s">
        <v>36</v>
      </c>
      <c r="D22" s="9" t="s">
        <v>42</v>
      </c>
      <c r="E22" s="11" t="s">
        <v>30</v>
      </c>
      <c r="F22" s="11" t="s">
        <v>31</v>
      </c>
      <c r="G22" s="3">
        <v>650</v>
      </c>
      <c r="H22" s="3">
        <v>450</v>
      </c>
      <c r="I22" s="12">
        <v>1</v>
      </c>
      <c r="J22" s="9" t="s">
        <v>97</v>
      </c>
      <c r="K22" s="9" t="s">
        <v>49</v>
      </c>
      <c r="L22" s="13">
        <v>0</v>
      </c>
      <c r="M22" s="9" t="s">
        <v>34</v>
      </c>
    </row>
    <row r="23" spans="1:13" ht="20.25" customHeight="1" x14ac:dyDescent="0.25">
      <c r="A23" s="9" t="s">
        <v>98</v>
      </c>
      <c r="B23" s="10">
        <v>45510</v>
      </c>
      <c r="C23" s="9" t="s">
        <v>28</v>
      </c>
      <c r="D23" s="9" t="s">
        <v>29</v>
      </c>
      <c r="E23" s="11" t="s">
        <v>58</v>
      </c>
      <c r="F23" s="11" t="s">
        <v>59</v>
      </c>
      <c r="G23" s="3">
        <v>300</v>
      </c>
      <c r="H23" s="3">
        <v>180</v>
      </c>
      <c r="I23" s="12">
        <v>2</v>
      </c>
      <c r="J23" s="9" t="s">
        <v>99</v>
      </c>
      <c r="K23" s="9" t="s">
        <v>49</v>
      </c>
      <c r="L23" s="13">
        <v>0</v>
      </c>
      <c r="M23" s="9" t="s">
        <v>34</v>
      </c>
    </row>
    <row r="24" spans="1:13" ht="20.25" customHeight="1" x14ac:dyDescent="0.25">
      <c r="A24" s="9" t="s">
        <v>100</v>
      </c>
      <c r="B24" s="10">
        <v>45510</v>
      </c>
      <c r="C24" s="9" t="s">
        <v>28</v>
      </c>
      <c r="D24" s="9" t="s">
        <v>29</v>
      </c>
      <c r="E24" s="11" t="s">
        <v>58</v>
      </c>
      <c r="F24" s="11" t="s">
        <v>68</v>
      </c>
      <c r="G24" s="3">
        <v>350</v>
      </c>
      <c r="H24" s="3">
        <v>220</v>
      </c>
      <c r="I24" s="12">
        <v>1</v>
      </c>
      <c r="J24" s="9" t="s">
        <v>101</v>
      </c>
      <c r="K24" s="9" t="s">
        <v>49</v>
      </c>
      <c r="L24" s="13">
        <v>0</v>
      </c>
      <c r="M24" s="9" t="s">
        <v>34</v>
      </c>
    </row>
    <row r="25" spans="1:13" ht="20.25" customHeight="1" x14ac:dyDescent="0.25">
      <c r="A25" s="9" t="s">
        <v>102</v>
      </c>
      <c r="B25" s="10">
        <v>45510</v>
      </c>
      <c r="C25" s="9" t="s">
        <v>71</v>
      </c>
      <c r="D25" s="9" t="s">
        <v>29</v>
      </c>
      <c r="E25" s="11" t="s">
        <v>58</v>
      </c>
      <c r="F25" s="11" t="s">
        <v>87</v>
      </c>
      <c r="G25" s="3">
        <v>180</v>
      </c>
      <c r="H25" s="3">
        <v>110</v>
      </c>
      <c r="I25" s="12">
        <v>1</v>
      </c>
      <c r="J25" s="9" t="s">
        <v>103</v>
      </c>
      <c r="K25" s="9" t="s">
        <v>49</v>
      </c>
      <c r="L25" s="13">
        <v>0</v>
      </c>
      <c r="M25" s="9" t="s">
        <v>34</v>
      </c>
    </row>
    <row r="26" spans="1:13" ht="20.25" customHeight="1" x14ac:dyDescent="0.25">
      <c r="A26" s="9" t="s">
        <v>104</v>
      </c>
      <c r="B26" s="10">
        <v>45511</v>
      </c>
      <c r="C26" s="9" t="s">
        <v>71</v>
      </c>
      <c r="D26" s="9" t="s">
        <v>29</v>
      </c>
      <c r="E26" s="11" t="s">
        <v>43</v>
      </c>
      <c r="F26" s="11" t="s">
        <v>47</v>
      </c>
      <c r="G26" s="3">
        <v>110</v>
      </c>
      <c r="H26" s="3">
        <v>65</v>
      </c>
      <c r="I26" s="12">
        <v>1</v>
      </c>
      <c r="J26" s="9" t="s">
        <v>105</v>
      </c>
      <c r="K26" s="9" t="s">
        <v>49</v>
      </c>
      <c r="L26" s="13">
        <v>0</v>
      </c>
      <c r="M26" s="9" t="s">
        <v>34</v>
      </c>
    </row>
    <row r="27" spans="1:13" ht="20.25" customHeight="1" x14ac:dyDescent="0.25">
      <c r="A27" s="9" t="s">
        <v>106</v>
      </c>
      <c r="B27" s="10">
        <v>45511</v>
      </c>
      <c r="C27" s="9" t="s">
        <v>36</v>
      </c>
      <c r="D27" s="9" t="s">
        <v>29</v>
      </c>
      <c r="E27" s="11" t="s">
        <v>37</v>
      </c>
      <c r="F27" s="11" t="s">
        <v>55</v>
      </c>
      <c r="G27" s="3">
        <v>450</v>
      </c>
      <c r="H27" s="3">
        <v>275</v>
      </c>
      <c r="I27" s="12">
        <v>5</v>
      </c>
      <c r="J27" s="9" t="s">
        <v>107</v>
      </c>
      <c r="K27" s="9" t="s">
        <v>33</v>
      </c>
      <c r="L27" s="13">
        <v>1</v>
      </c>
      <c r="M27" s="9" t="s">
        <v>34</v>
      </c>
    </row>
    <row r="28" spans="1:13" ht="20.25" customHeight="1" x14ac:dyDescent="0.25">
      <c r="A28" s="9" t="s">
        <v>108</v>
      </c>
      <c r="B28" s="10">
        <v>45511</v>
      </c>
      <c r="C28" s="9" t="s">
        <v>28</v>
      </c>
      <c r="D28" s="9" t="s">
        <v>51</v>
      </c>
      <c r="E28" s="11" t="s">
        <v>43</v>
      </c>
      <c r="F28" s="11" t="s">
        <v>47</v>
      </c>
      <c r="G28" s="3">
        <v>110</v>
      </c>
      <c r="H28" s="3">
        <v>65</v>
      </c>
      <c r="I28" s="12">
        <v>1</v>
      </c>
      <c r="J28" s="9" t="s">
        <v>109</v>
      </c>
      <c r="K28" s="9" t="s">
        <v>33</v>
      </c>
      <c r="L28" s="13">
        <v>1</v>
      </c>
      <c r="M28" s="9" t="s">
        <v>34</v>
      </c>
    </row>
    <row r="29" spans="1:13" ht="20.25" customHeight="1" x14ac:dyDescent="0.25">
      <c r="A29" s="9" t="s">
        <v>110</v>
      </c>
      <c r="B29" s="10">
        <v>45511</v>
      </c>
      <c r="C29" s="9" t="s">
        <v>36</v>
      </c>
      <c r="D29" s="9" t="s">
        <v>29</v>
      </c>
      <c r="E29" s="11" t="s">
        <v>30</v>
      </c>
      <c r="F29" s="11" t="s">
        <v>80</v>
      </c>
      <c r="G29" s="3">
        <v>850</v>
      </c>
      <c r="H29" s="3">
        <v>600</v>
      </c>
      <c r="I29" s="12">
        <v>1</v>
      </c>
      <c r="J29" s="9" t="s">
        <v>111</v>
      </c>
      <c r="K29" s="9" t="s">
        <v>49</v>
      </c>
      <c r="L29" s="13">
        <v>0</v>
      </c>
      <c r="M29" s="9" t="s">
        <v>34</v>
      </c>
    </row>
    <row r="30" spans="1:13" ht="20.25" customHeight="1" x14ac:dyDescent="0.25">
      <c r="A30" s="9" t="s">
        <v>112</v>
      </c>
      <c r="B30" s="10">
        <v>45512</v>
      </c>
      <c r="C30" s="9" t="s">
        <v>36</v>
      </c>
      <c r="D30" s="9" t="s">
        <v>29</v>
      </c>
      <c r="E30" s="11" t="s">
        <v>43</v>
      </c>
      <c r="F30" s="11" t="s">
        <v>47</v>
      </c>
      <c r="G30" s="3">
        <v>330</v>
      </c>
      <c r="H30" s="3">
        <v>195</v>
      </c>
      <c r="I30" s="12">
        <v>3</v>
      </c>
      <c r="J30" s="9" t="s">
        <v>113</v>
      </c>
      <c r="K30" s="9" t="s">
        <v>49</v>
      </c>
      <c r="L30" s="13">
        <v>0</v>
      </c>
      <c r="M30" s="9" t="s">
        <v>34</v>
      </c>
    </row>
    <row r="31" spans="1:13" ht="20.25" customHeight="1" x14ac:dyDescent="0.25">
      <c r="A31" s="9" t="s">
        <v>114</v>
      </c>
      <c r="B31" s="10">
        <v>45512</v>
      </c>
      <c r="C31" s="9" t="s">
        <v>41</v>
      </c>
      <c r="D31" s="9" t="s">
        <v>42</v>
      </c>
      <c r="E31" s="11" t="s">
        <v>30</v>
      </c>
      <c r="F31" s="11" t="s">
        <v>31</v>
      </c>
      <c r="G31" s="3">
        <v>650</v>
      </c>
      <c r="H31" s="3">
        <v>450</v>
      </c>
      <c r="I31" s="12">
        <v>1</v>
      </c>
      <c r="J31" s="9" t="s">
        <v>115</v>
      </c>
      <c r="K31" s="9" t="s">
        <v>49</v>
      </c>
      <c r="L31" s="13">
        <v>0</v>
      </c>
      <c r="M31" s="9" t="s">
        <v>34</v>
      </c>
    </row>
    <row r="32" spans="1:13" ht="20.25" customHeight="1" x14ac:dyDescent="0.25">
      <c r="A32" s="9" t="s">
        <v>116</v>
      </c>
      <c r="B32" s="10">
        <v>45513</v>
      </c>
      <c r="C32" s="9" t="s">
        <v>71</v>
      </c>
      <c r="D32" s="9" t="s">
        <v>51</v>
      </c>
      <c r="E32" s="11" t="s">
        <v>43</v>
      </c>
      <c r="F32" s="11" t="s">
        <v>47</v>
      </c>
      <c r="G32" s="3">
        <v>440</v>
      </c>
      <c r="H32" s="3">
        <v>260</v>
      </c>
      <c r="I32" s="12">
        <v>4</v>
      </c>
      <c r="J32" s="9" t="s">
        <v>117</v>
      </c>
      <c r="K32" s="9" t="s">
        <v>49</v>
      </c>
      <c r="L32" s="13">
        <v>0</v>
      </c>
      <c r="M32" s="9" t="s">
        <v>34</v>
      </c>
    </row>
    <row r="33" spans="1:13" ht="20.25" customHeight="1" x14ac:dyDescent="0.25">
      <c r="A33" s="9" t="s">
        <v>118</v>
      </c>
      <c r="B33" s="10">
        <v>45513</v>
      </c>
      <c r="C33" s="9" t="s">
        <v>36</v>
      </c>
      <c r="D33" s="9" t="s">
        <v>42</v>
      </c>
      <c r="E33" s="11" t="s">
        <v>58</v>
      </c>
      <c r="F33" s="11" t="s">
        <v>68</v>
      </c>
      <c r="G33" s="3">
        <v>1050</v>
      </c>
      <c r="H33" s="3">
        <v>660</v>
      </c>
      <c r="I33" s="12">
        <v>3</v>
      </c>
      <c r="J33" s="9" t="s">
        <v>119</v>
      </c>
      <c r="K33" s="9" t="s">
        <v>49</v>
      </c>
      <c r="L33" s="13">
        <v>0</v>
      </c>
      <c r="M33" s="9" t="s">
        <v>34</v>
      </c>
    </row>
    <row r="34" spans="1:13" ht="20.25" customHeight="1" x14ac:dyDescent="0.25">
      <c r="A34" s="9" t="s">
        <v>120</v>
      </c>
      <c r="B34" s="10">
        <v>45513</v>
      </c>
      <c r="C34" s="9" t="s">
        <v>28</v>
      </c>
      <c r="D34" s="9" t="s">
        <v>29</v>
      </c>
      <c r="E34" s="11" t="s">
        <v>58</v>
      </c>
      <c r="F34" s="11" t="s">
        <v>59</v>
      </c>
      <c r="G34" s="3">
        <v>450</v>
      </c>
      <c r="H34" s="3">
        <v>270</v>
      </c>
      <c r="I34" s="12">
        <v>3</v>
      </c>
      <c r="J34" s="9" t="s">
        <v>121</v>
      </c>
      <c r="K34" s="9" t="s">
        <v>49</v>
      </c>
      <c r="L34" s="13">
        <v>0</v>
      </c>
      <c r="M34" s="9" t="s">
        <v>34</v>
      </c>
    </row>
    <row r="35" spans="1:13" ht="20.25" customHeight="1" x14ac:dyDescent="0.25">
      <c r="A35" s="9" t="s">
        <v>122</v>
      </c>
      <c r="B35" s="10">
        <v>45514</v>
      </c>
      <c r="C35" s="9" t="s">
        <v>62</v>
      </c>
      <c r="D35" s="9" t="s">
        <v>29</v>
      </c>
      <c r="E35" s="11" t="s">
        <v>58</v>
      </c>
      <c r="F35" s="11" t="s">
        <v>68</v>
      </c>
      <c r="G35" s="3">
        <v>350</v>
      </c>
      <c r="H35" s="3">
        <v>220</v>
      </c>
      <c r="I35" s="12">
        <v>1</v>
      </c>
      <c r="J35" s="9" t="s">
        <v>123</v>
      </c>
      <c r="K35" s="9" t="s">
        <v>49</v>
      </c>
      <c r="L35" s="13">
        <v>0</v>
      </c>
      <c r="M35" s="9" t="s">
        <v>34</v>
      </c>
    </row>
    <row r="36" spans="1:13" ht="20.25" customHeight="1" x14ac:dyDescent="0.25">
      <c r="A36" s="9" t="s">
        <v>124</v>
      </c>
      <c r="B36" s="10">
        <v>45514</v>
      </c>
      <c r="C36" s="9" t="s">
        <v>36</v>
      </c>
      <c r="D36" s="9" t="s">
        <v>51</v>
      </c>
      <c r="E36" s="11" t="s">
        <v>43</v>
      </c>
      <c r="F36" s="11" t="s">
        <v>90</v>
      </c>
      <c r="G36" s="3">
        <v>300</v>
      </c>
      <c r="H36" s="3">
        <v>180</v>
      </c>
      <c r="I36" s="12">
        <v>2</v>
      </c>
      <c r="J36" s="9" t="s">
        <v>125</v>
      </c>
      <c r="K36" s="9" t="s">
        <v>49</v>
      </c>
      <c r="L36" s="13">
        <v>0</v>
      </c>
      <c r="M36" s="9" t="s">
        <v>34</v>
      </c>
    </row>
    <row r="37" spans="1:13" ht="20.25" customHeight="1" x14ac:dyDescent="0.25">
      <c r="A37" s="9" t="s">
        <v>126</v>
      </c>
      <c r="B37" s="10">
        <v>45514</v>
      </c>
      <c r="C37" s="9" t="s">
        <v>41</v>
      </c>
      <c r="D37" s="9" t="s">
        <v>29</v>
      </c>
      <c r="E37" s="11" t="s">
        <v>30</v>
      </c>
      <c r="F37" s="11" t="s">
        <v>31</v>
      </c>
      <c r="G37" s="3">
        <v>1300</v>
      </c>
      <c r="H37" s="3">
        <v>900</v>
      </c>
      <c r="I37" s="12">
        <v>2</v>
      </c>
      <c r="J37" s="9" t="s">
        <v>127</v>
      </c>
      <c r="K37" s="9" t="s">
        <v>49</v>
      </c>
      <c r="L37" s="13">
        <v>0</v>
      </c>
      <c r="M37" s="9" t="s">
        <v>34</v>
      </c>
    </row>
    <row r="38" spans="1:13" ht="20.25" customHeight="1" x14ac:dyDescent="0.25">
      <c r="A38" s="9" t="s">
        <v>128</v>
      </c>
      <c r="B38" s="10">
        <v>45516</v>
      </c>
      <c r="C38" s="9" t="s">
        <v>28</v>
      </c>
      <c r="D38" s="9" t="s">
        <v>29</v>
      </c>
      <c r="E38" s="11" t="s">
        <v>58</v>
      </c>
      <c r="F38" s="11" t="s">
        <v>87</v>
      </c>
      <c r="G38" s="3">
        <v>900</v>
      </c>
      <c r="H38" s="3">
        <v>550</v>
      </c>
      <c r="I38" s="12">
        <v>5</v>
      </c>
      <c r="J38" s="9" t="s">
        <v>129</v>
      </c>
      <c r="K38" s="9" t="s">
        <v>33</v>
      </c>
      <c r="L38" s="13">
        <v>1</v>
      </c>
      <c r="M38" s="9" t="s">
        <v>34</v>
      </c>
    </row>
    <row r="39" spans="1:13" ht="20.25" customHeight="1" x14ac:dyDescent="0.25">
      <c r="A39" s="9" t="s">
        <v>130</v>
      </c>
      <c r="B39" s="10">
        <v>45516</v>
      </c>
      <c r="C39" s="9" t="s">
        <v>36</v>
      </c>
      <c r="D39" s="9" t="s">
        <v>51</v>
      </c>
      <c r="E39" s="11" t="s">
        <v>43</v>
      </c>
      <c r="F39" s="11" t="s">
        <v>47</v>
      </c>
      <c r="G39" s="3">
        <v>110</v>
      </c>
      <c r="H39" s="3">
        <v>65</v>
      </c>
      <c r="I39" s="12">
        <v>1</v>
      </c>
      <c r="J39" s="9" t="s">
        <v>131</v>
      </c>
      <c r="K39" s="9" t="s">
        <v>49</v>
      </c>
      <c r="L39" s="13">
        <v>0</v>
      </c>
      <c r="M39" s="9" t="s">
        <v>34</v>
      </c>
    </row>
    <row r="40" spans="1:13" ht="20.25" customHeight="1" x14ac:dyDescent="0.25">
      <c r="A40" s="9" t="s">
        <v>132</v>
      </c>
      <c r="B40" s="10">
        <v>45516</v>
      </c>
      <c r="C40" s="9" t="s">
        <v>28</v>
      </c>
      <c r="D40" s="9" t="s">
        <v>51</v>
      </c>
      <c r="E40" s="11" t="s">
        <v>58</v>
      </c>
      <c r="F40" s="11" t="s">
        <v>68</v>
      </c>
      <c r="G40" s="3">
        <v>700</v>
      </c>
      <c r="H40" s="3">
        <v>440</v>
      </c>
      <c r="I40" s="12">
        <v>2</v>
      </c>
      <c r="J40" s="9" t="s">
        <v>133</v>
      </c>
      <c r="K40" s="9" t="s">
        <v>49</v>
      </c>
      <c r="L40" s="13">
        <v>0</v>
      </c>
      <c r="M40" s="9" t="s">
        <v>34</v>
      </c>
    </row>
    <row r="41" spans="1:13" ht="20.25" customHeight="1" x14ac:dyDescent="0.25">
      <c r="A41" s="9" t="s">
        <v>134</v>
      </c>
      <c r="B41" s="10">
        <v>45516</v>
      </c>
      <c r="C41" s="9" t="s">
        <v>71</v>
      </c>
      <c r="D41" s="9" t="s">
        <v>29</v>
      </c>
      <c r="E41" s="11" t="s">
        <v>30</v>
      </c>
      <c r="F41" s="11" t="s">
        <v>80</v>
      </c>
      <c r="G41" s="3">
        <v>850</v>
      </c>
      <c r="H41" s="3">
        <v>600</v>
      </c>
      <c r="I41" s="12">
        <v>1</v>
      </c>
      <c r="J41" s="9" t="s">
        <v>135</v>
      </c>
      <c r="K41" s="9" t="s">
        <v>49</v>
      </c>
      <c r="L41" s="13">
        <v>0</v>
      </c>
      <c r="M41" s="9" t="s">
        <v>34</v>
      </c>
    </row>
    <row r="42" spans="1:13" ht="20.25" customHeight="1" x14ac:dyDescent="0.25">
      <c r="A42" s="9" t="s">
        <v>136</v>
      </c>
      <c r="B42" s="10">
        <v>45517</v>
      </c>
      <c r="C42" s="9" t="s">
        <v>62</v>
      </c>
      <c r="D42" s="9" t="s">
        <v>29</v>
      </c>
      <c r="E42" s="11" t="s">
        <v>58</v>
      </c>
      <c r="F42" s="11" t="s">
        <v>87</v>
      </c>
      <c r="G42" s="3">
        <v>180</v>
      </c>
      <c r="H42" s="3">
        <v>110</v>
      </c>
      <c r="I42" s="12">
        <v>1</v>
      </c>
      <c r="J42" s="9" t="s">
        <v>137</v>
      </c>
      <c r="K42" s="9" t="s">
        <v>33</v>
      </c>
      <c r="L42" s="13">
        <v>1</v>
      </c>
      <c r="M42" s="9" t="s">
        <v>34</v>
      </c>
    </row>
    <row r="43" spans="1:13" ht="20.25" customHeight="1" x14ac:dyDescent="0.25">
      <c r="A43" s="9" t="s">
        <v>138</v>
      </c>
      <c r="B43" s="10">
        <v>45517</v>
      </c>
      <c r="C43" s="9" t="s">
        <v>36</v>
      </c>
      <c r="D43" s="9" t="s">
        <v>29</v>
      </c>
      <c r="E43" s="11" t="s">
        <v>58</v>
      </c>
      <c r="F43" s="11" t="s">
        <v>87</v>
      </c>
      <c r="G43" s="3">
        <v>180</v>
      </c>
      <c r="H43" s="3">
        <v>110</v>
      </c>
      <c r="I43" s="12">
        <v>1</v>
      </c>
      <c r="J43" s="9" t="s">
        <v>139</v>
      </c>
      <c r="K43" s="9" t="s">
        <v>33</v>
      </c>
      <c r="L43" s="13">
        <v>1</v>
      </c>
      <c r="M43" s="9" t="s">
        <v>34</v>
      </c>
    </row>
    <row r="44" spans="1:13" ht="20.25" customHeight="1" x14ac:dyDescent="0.25">
      <c r="A44" s="9" t="s">
        <v>140</v>
      </c>
      <c r="B44" s="10">
        <v>45518</v>
      </c>
      <c r="C44" s="9" t="s">
        <v>28</v>
      </c>
      <c r="D44" s="9" t="s">
        <v>29</v>
      </c>
      <c r="E44" s="11" t="s">
        <v>43</v>
      </c>
      <c r="F44" s="11" t="s">
        <v>47</v>
      </c>
      <c r="G44" s="3">
        <v>-220</v>
      </c>
      <c r="H44" s="3">
        <v>-130</v>
      </c>
      <c r="I44" s="12">
        <v>-2</v>
      </c>
      <c r="J44" s="9" t="s">
        <v>141</v>
      </c>
      <c r="K44" s="9" t="s">
        <v>49</v>
      </c>
      <c r="L44" s="13">
        <v>0</v>
      </c>
      <c r="M44" s="9" t="s">
        <v>76</v>
      </c>
    </row>
    <row r="45" spans="1:13" ht="20.25" customHeight="1" x14ac:dyDescent="0.25">
      <c r="A45" s="9" t="s">
        <v>142</v>
      </c>
      <c r="B45" s="10">
        <v>45518</v>
      </c>
      <c r="C45" s="9" t="s">
        <v>28</v>
      </c>
      <c r="D45" s="9" t="s">
        <v>29</v>
      </c>
      <c r="E45" s="11" t="s">
        <v>43</v>
      </c>
      <c r="F45" s="11" t="s">
        <v>90</v>
      </c>
      <c r="G45" s="3">
        <v>150</v>
      </c>
      <c r="H45" s="3">
        <v>90</v>
      </c>
      <c r="I45" s="12">
        <v>1</v>
      </c>
      <c r="J45" s="9" t="s">
        <v>143</v>
      </c>
      <c r="K45" s="9" t="s">
        <v>33</v>
      </c>
      <c r="L45" s="13">
        <v>1</v>
      </c>
      <c r="M45" s="9" t="s">
        <v>34</v>
      </c>
    </row>
    <row r="46" spans="1:13" ht="20.25" customHeight="1" x14ac:dyDescent="0.25">
      <c r="A46" s="9" t="s">
        <v>144</v>
      </c>
      <c r="B46" s="10">
        <v>45518</v>
      </c>
      <c r="C46" s="9" t="s">
        <v>36</v>
      </c>
      <c r="D46" s="9" t="s">
        <v>29</v>
      </c>
      <c r="E46" s="11" t="s">
        <v>58</v>
      </c>
      <c r="F46" s="11" t="s">
        <v>87</v>
      </c>
      <c r="G46" s="3">
        <v>180</v>
      </c>
      <c r="H46" s="3">
        <v>110</v>
      </c>
      <c r="I46" s="12">
        <v>1</v>
      </c>
      <c r="J46" s="9" t="s">
        <v>145</v>
      </c>
      <c r="K46" s="9" t="s">
        <v>33</v>
      </c>
      <c r="L46" s="13">
        <v>1</v>
      </c>
      <c r="M46" s="9" t="s">
        <v>34</v>
      </c>
    </row>
    <row r="47" spans="1:13" ht="20.25" customHeight="1" x14ac:dyDescent="0.25">
      <c r="A47" s="9" t="s">
        <v>146</v>
      </c>
      <c r="B47" s="10">
        <v>45519</v>
      </c>
      <c r="C47" s="9" t="s">
        <v>28</v>
      </c>
      <c r="D47" s="9" t="s">
        <v>29</v>
      </c>
      <c r="E47" s="11" t="s">
        <v>43</v>
      </c>
      <c r="F47" s="11" t="s">
        <v>47</v>
      </c>
      <c r="G47" s="3">
        <v>550</v>
      </c>
      <c r="H47" s="3">
        <v>325</v>
      </c>
      <c r="I47" s="12">
        <v>5</v>
      </c>
      <c r="J47" s="9" t="s">
        <v>147</v>
      </c>
      <c r="K47" s="9" t="s">
        <v>49</v>
      </c>
      <c r="L47" s="13">
        <v>0</v>
      </c>
      <c r="M47" s="9" t="s">
        <v>34</v>
      </c>
    </row>
    <row r="48" spans="1:13" ht="20.25" customHeight="1" x14ac:dyDescent="0.25">
      <c r="A48" s="9" t="s">
        <v>148</v>
      </c>
      <c r="B48" s="10">
        <v>45519</v>
      </c>
      <c r="C48" s="9" t="s">
        <v>28</v>
      </c>
      <c r="D48" s="9" t="s">
        <v>42</v>
      </c>
      <c r="E48" s="11" t="s">
        <v>58</v>
      </c>
      <c r="F48" s="11" t="s">
        <v>68</v>
      </c>
      <c r="G48" s="3">
        <v>350</v>
      </c>
      <c r="H48" s="3">
        <v>220</v>
      </c>
      <c r="I48" s="12">
        <v>1</v>
      </c>
      <c r="J48" s="9" t="s">
        <v>149</v>
      </c>
      <c r="K48" s="9" t="s">
        <v>49</v>
      </c>
      <c r="L48" s="13">
        <v>0</v>
      </c>
      <c r="M48" s="9" t="s">
        <v>34</v>
      </c>
    </row>
    <row r="49" spans="1:13" ht="20.25" customHeight="1" x14ac:dyDescent="0.25">
      <c r="A49" s="9" t="s">
        <v>150</v>
      </c>
      <c r="B49" s="10">
        <v>45519</v>
      </c>
      <c r="C49" s="9" t="s">
        <v>41</v>
      </c>
      <c r="D49" s="9" t="s">
        <v>51</v>
      </c>
      <c r="E49" s="11" t="s">
        <v>30</v>
      </c>
      <c r="F49" s="11" t="s">
        <v>80</v>
      </c>
      <c r="G49" s="3">
        <v>1700</v>
      </c>
      <c r="H49" s="3">
        <v>1200</v>
      </c>
      <c r="I49" s="12">
        <v>2</v>
      </c>
      <c r="J49" s="9" t="s">
        <v>151</v>
      </c>
      <c r="K49" s="9" t="s">
        <v>33</v>
      </c>
      <c r="L49" s="13">
        <v>1</v>
      </c>
      <c r="M49" s="9" t="s">
        <v>34</v>
      </c>
    </row>
    <row r="50" spans="1:13" ht="20.25" customHeight="1" x14ac:dyDescent="0.25">
      <c r="A50" s="9" t="s">
        <v>152</v>
      </c>
      <c r="B50" s="10">
        <v>45519</v>
      </c>
      <c r="C50" s="9" t="s">
        <v>36</v>
      </c>
      <c r="D50" s="9" t="s">
        <v>51</v>
      </c>
      <c r="E50" s="11" t="s">
        <v>30</v>
      </c>
      <c r="F50" s="11" t="s">
        <v>31</v>
      </c>
      <c r="G50" s="3">
        <v>650</v>
      </c>
      <c r="H50" s="3">
        <v>450</v>
      </c>
      <c r="I50" s="12">
        <v>1</v>
      </c>
      <c r="J50" s="9" t="s">
        <v>153</v>
      </c>
      <c r="K50" s="9" t="s">
        <v>33</v>
      </c>
      <c r="L50" s="13">
        <v>1</v>
      </c>
      <c r="M50" s="9" t="s">
        <v>34</v>
      </c>
    </row>
    <row r="51" spans="1:13" ht="20.25" customHeight="1" x14ac:dyDescent="0.25">
      <c r="A51" s="9" t="s">
        <v>154</v>
      </c>
      <c r="B51" s="10">
        <v>45520</v>
      </c>
      <c r="C51" s="9" t="s">
        <v>28</v>
      </c>
      <c r="D51" s="9" t="s">
        <v>29</v>
      </c>
      <c r="E51" s="11" t="s">
        <v>58</v>
      </c>
      <c r="F51" s="11" t="s">
        <v>59</v>
      </c>
      <c r="G51" s="3">
        <v>150</v>
      </c>
      <c r="H51" s="3">
        <v>90</v>
      </c>
      <c r="I51" s="12">
        <v>1</v>
      </c>
      <c r="J51" s="9" t="s">
        <v>155</v>
      </c>
      <c r="K51" s="9" t="s">
        <v>49</v>
      </c>
      <c r="L51" s="13">
        <v>0</v>
      </c>
      <c r="M51" s="9" t="s">
        <v>34</v>
      </c>
    </row>
    <row r="52" spans="1:13" ht="20.25" customHeight="1" x14ac:dyDescent="0.25">
      <c r="A52" s="9" t="s">
        <v>156</v>
      </c>
      <c r="B52" s="10">
        <v>45521</v>
      </c>
      <c r="C52" s="9" t="s">
        <v>62</v>
      </c>
      <c r="D52" s="9" t="s">
        <v>29</v>
      </c>
      <c r="E52" s="11" t="s">
        <v>30</v>
      </c>
      <c r="F52" s="11" t="s">
        <v>31</v>
      </c>
      <c r="G52" s="3">
        <v>1300</v>
      </c>
      <c r="H52" s="3">
        <v>900</v>
      </c>
      <c r="I52" s="12">
        <v>2</v>
      </c>
      <c r="J52" s="9" t="s">
        <v>157</v>
      </c>
      <c r="K52" s="9" t="s">
        <v>33</v>
      </c>
      <c r="L52" s="13">
        <v>1</v>
      </c>
      <c r="M52" s="9" t="s">
        <v>34</v>
      </c>
    </row>
    <row r="53" spans="1:13" ht="20.25" customHeight="1" x14ac:dyDescent="0.25">
      <c r="A53" s="9" t="s">
        <v>158</v>
      </c>
      <c r="B53" s="10">
        <v>45521</v>
      </c>
      <c r="C53" s="9" t="s">
        <v>28</v>
      </c>
      <c r="D53" s="9" t="s">
        <v>29</v>
      </c>
      <c r="E53" s="11" t="s">
        <v>43</v>
      </c>
      <c r="F53" s="11" t="s">
        <v>47</v>
      </c>
      <c r="G53" s="3">
        <v>330</v>
      </c>
      <c r="H53" s="3">
        <v>195</v>
      </c>
      <c r="I53" s="12">
        <v>3</v>
      </c>
      <c r="J53" s="9" t="s">
        <v>159</v>
      </c>
      <c r="K53" s="9" t="s">
        <v>33</v>
      </c>
      <c r="L53" s="13">
        <v>1</v>
      </c>
      <c r="M53" s="9" t="s">
        <v>34</v>
      </c>
    </row>
    <row r="54" spans="1:13" ht="20.25" customHeight="1" x14ac:dyDescent="0.25">
      <c r="A54" s="9" t="s">
        <v>160</v>
      </c>
      <c r="B54" s="10">
        <v>45521</v>
      </c>
      <c r="C54" s="9" t="s">
        <v>62</v>
      </c>
      <c r="D54" s="9" t="s">
        <v>29</v>
      </c>
      <c r="E54" s="11" t="s">
        <v>43</v>
      </c>
      <c r="F54" s="11" t="s">
        <v>90</v>
      </c>
      <c r="G54" s="3">
        <v>150</v>
      </c>
      <c r="H54" s="3">
        <v>90</v>
      </c>
      <c r="I54" s="12">
        <v>1</v>
      </c>
      <c r="J54" s="9" t="s">
        <v>161</v>
      </c>
      <c r="K54" s="9" t="s">
        <v>49</v>
      </c>
      <c r="L54" s="13">
        <v>0</v>
      </c>
      <c r="M54" s="9" t="s">
        <v>34</v>
      </c>
    </row>
    <row r="55" spans="1:13" ht="20.25" customHeight="1" x14ac:dyDescent="0.25">
      <c r="A55" s="9" t="s">
        <v>162</v>
      </c>
      <c r="B55" s="10">
        <v>45522</v>
      </c>
      <c r="C55" s="9" t="s">
        <v>36</v>
      </c>
      <c r="D55" s="9" t="s">
        <v>29</v>
      </c>
      <c r="E55" s="11" t="s">
        <v>30</v>
      </c>
      <c r="F55" s="11" t="s">
        <v>63</v>
      </c>
      <c r="G55" s="3">
        <v>2400</v>
      </c>
      <c r="H55" s="3">
        <v>1700</v>
      </c>
      <c r="I55" s="12">
        <v>2</v>
      </c>
      <c r="J55" s="9" t="s">
        <v>163</v>
      </c>
      <c r="K55" s="9" t="s">
        <v>49</v>
      </c>
      <c r="L55" s="13">
        <v>0</v>
      </c>
      <c r="M55" s="9" t="s">
        <v>34</v>
      </c>
    </row>
    <row r="56" spans="1:13" ht="20.25" customHeight="1" x14ac:dyDescent="0.25">
      <c r="A56" s="9" t="s">
        <v>164</v>
      </c>
      <c r="B56" s="10">
        <v>45522</v>
      </c>
      <c r="C56" s="9" t="s">
        <v>54</v>
      </c>
      <c r="D56" s="9" t="s">
        <v>51</v>
      </c>
      <c r="E56" s="11" t="s">
        <v>37</v>
      </c>
      <c r="F56" s="11" t="s">
        <v>55</v>
      </c>
      <c r="G56" s="3">
        <v>90</v>
      </c>
      <c r="H56" s="3">
        <v>55</v>
      </c>
      <c r="I56" s="12">
        <v>1</v>
      </c>
      <c r="J56" s="9" t="s">
        <v>165</v>
      </c>
      <c r="K56" s="9" t="s">
        <v>49</v>
      </c>
      <c r="L56" s="13">
        <v>0</v>
      </c>
      <c r="M56" s="9" t="s">
        <v>34</v>
      </c>
    </row>
    <row r="57" spans="1:13" ht="20.25" customHeight="1" x14ac:dyDescent="0.25">
      <c r="A57" s="9" t="s">
        <v>166</v>
      </c>
      <c r="B57" s="10">
        <v>45522</v>
      </c>
      <c r="C57" s="9" t="s">
        <v>71</v>
      </c>
      <c r="D57" s="9" t="s">
        <v>51</v>
      </c>
      <c r="E57" s="11" t="s">
        <v>37</v>
      </c>
      <c r="F57" s="11" t="s">
        <v>55</v>
      </c>
      <c r="G57" s="3">
        <v>90</v>
      </c>
      <c r="H57" s="3">
        <v>55</v>
      </c>
      <c r="I57" s="12">
        <v>1</v>
      </c>
      <c r="J57" s="9" t="s">
        <v>167</v>
      </c>
      <c r="K57" s="9" t="s">
        <v>49</v>
      </c>
      <c r="L57" s="13">
        <v>0</v>
      </c>
      <c r="M57" s="9" t="s">
        <v>34</v>
      </c>
    </row>
    <row r="58" spans="1:13" ht="20.25" customHeight="1" x14ac:dyDescent="0.25">
      <c r="A58" s="9" t="s">
        <v>168</v>
      </c>
      <c r="B58" s="10">
        <v>45522</v>
      </c>
      <c r="C58" s="9" t="s">
        <v>54</v>
      </c>
      <c r="D58" s="9" t="s">
        <v>51</v>
      </c>
      <c r="E58" s="11" t="s">
        <v>43</v>
      </c>
      <c r="F58" s="11" t="s">
        <v>47</v>
      </c>
      <c r="G58" s="3">
        <v>110</v>
      </c>
      <c r="H58" s="3">
        <v>65</v>
      </c>
      <c r="I58" s="12">
        <v>1</v>
      </c>
      <c r="J58" s="9" t="s">
        <v>169</v>
      </c>
      <c r="K58" s="9" t="s">
        <v>33</v>
      </c>
      <c r="L58" s="13">
        <v>1</v>
      </c>
      <c r="M58" s="9" t="s">
        <v>34</v>
      </c>
    </row>
    <row r="59" spans="1:13" ht="20.25" customHeight="1" x14ac:dyDescent="0.25">
      <c r="A59" s="9" t="s">
        <v>170</v>
      </c>
      <c r="B59" s="10">
        <v>45523</v>
      </c>
      <c r="C59" s="9" t="s">
        <v>62</v>
      </c>
      <c r="D59" s="9" t="s">
        <v>29</v>
      </c>
      <c r="E59" s="11" t="s">
        <v>43</v>
      </c>
      <c r="F59" s="11" t="s">
        <v>47</v>
      </c>
      <c r="G59" s="3">
        <v>110</v>
      </c>
      <c r="H59" s="3">
        <v>65</v>
      </c>
      <c r="I59" s="12">
        <v>1</v>
      </c>
      <c r="J59" s="9" t="s">
        <v>171</v>
      </c>
      <c r="K59" s="9" t="s">
        <v>49</v>
      </c>
      <c r="L59" s="13">
        <v>0</v>
      </c>
      <c r="M59" s="9" t="s">
        <v>34</v>
      </c>
    </row>
    <row r="60" spans="1:13" ht="20.25" customHeight="1" x14ac:dyDescent="0.25">
      <c r="A60" s="9" t="s">
        <v>172</v>
      </c>
      <c r="B60" s="10">
        <v>45523</v>
      </c>
      <c r="C60" s="9" t="s">
        <v>28</v>
      </c>
      <c r="D60" s="9" t="s">
        <v>42</v>
      </c>
      <c r="E60" s="11" t="s">
        <v>58</v>
      </c>
      <c r="F60" s="11" t="s">
        <v>87</v>
      </c>
      <c r="G60" s="3">
        <v>180</v>
      </c>
      <c r="H60" s="3">
        <v>110</v>
      </c>
      <c r="I60" s="12">
        <v>1</v>
      </c>
      <c r="J60" s="9" t="s">
        <v>173</v>
      </c>
      <c r="K60" s="9" t="s">
        <v>49</v>
      </c>
      <c r="L60" s="13">
        <v>0</v>
      </c>
      <c r="M60" s="9" t="s">
        <v>34</v>
      </c>
    </row>
    <row r="61" spans="1:13" ht="20.25" customHeight="1" x14ac:dyDescent="0.25">
      <c r="A61" s="9" t="s">
        <v>174</v>
      </c>
      <c r="B61" s="10">
        <v>45523</v>
      </c>
      <c r="C61" s="9" t="s">
        <v>62</v>
      </c>
      <c r="D61" s="9" t="s">
        <v>29</v>
      </c>
      <c r="E61" s="11" t="s">
        <v>43</v>
      </c>
      <c r="F61" s="11" t="s">
        <v>47</v>
      </c>
      <c r="G61" s="3">
        <v>110</v>
      </c>
      <c r="H61" s="3">
        <v>65</v>
      </c>
      <c r="I61" s="12">
        <v>1</v>
      </c>
      <c r="J61" s="9" t="s">
        <v>175</v>
      </c>
      <c r="K61" s="9" t="s">
        <v>33</v>
      </c>
      <c r="L61" s="13">
        <v>1</v>
      </c>
      <c r="M61" s="9" t="s">
        <v>34</v>
      </c>
    </row>
    <row r="62" spans="1:13" ht="20.25" customHeight="1" x14ac:dyDescent="0.25">
      <c r="A62" s="9" t="s">
        <v>176</v>
      </c>
      <c r="B62" s="10">
        <v>45523</v>
      </c>
      <c r="C62" s="9" t="s">
        <v>36</v>
      </c>
      <c r="D62" s="9" t="s">
        <v>29</v>
      </c>
      <c r="E62" s="11" t="s">
        <v>37</v>
      </c>
      <c r="F62" s="11" t="s">
        <v>55</v>
      </c>
      <c r="G62" s="3">
        <v>-90</v>
      </c>
      <c r="H62" s="3">
        <v>-55</v>
      </c>
      <c r="I62" s="12">
        <v>-1</v>
      </c>
      <c r="J62" s="9" t="s">
        <v>177</v>
      </c>
      <c r="K62" s="9" t="s">
        <v>33</v>
      </c>
      <c r="L62" s="13">
        <v>1</v>
      </c>
      <c r="M62" s="9" t="s">
        <v>76</v>
      </c>
    </row>
    <row r="63" spans="1:13" ht="20.25" customHeight="1" x14ac:dyDescent="0.25">
      <c r="A63" s="9" t="s">
        <v>178</v>
      </c>
      <c r="B63" s="10">
        <v>45523</v>
      </c>
      <c r="C63" s="9" t="s">
        <v>36</v>
      </c>
      <c r="D63" s="9" t="s">
        <v>29</v>
      </c>
      <c r="E63" s="11" t="s">
        <v>37</v>
      </c>
      <c r="F63" s="11" t="s">
        <v>72</v>
      </c>
      <c r="G63" s="3">
        <v>220</v>
      </c>
      <c r="H63" s="3">
        <v>130</v>
      </c>
      <c r="I63" s="12">
        <v>1</v>
      </c>
      <c r="J63" s="9" t="s">
        <v>179</v>
      </c>
      <c r="K63" s="9" t="s">
        <v>49</v>
      </c>
      <c r="L63" s="13">
        <v>0</v>
      </c>
      <c r="M63" s="9" t="s">
        <v>34</v>
      </c>
    </row>
    <row r="64" spans="1:13" ht="20.25" customHeight="1" x14ac:dyDescent="0.25">
      <c r="A64" s="9" t="s">
        <v>180</v>
      </c>
      <c r="B64" s="10">
        <v>45524</v>
      </c>
      <c r="C64" s="9" t="s">
        <v>36</v>
      </c>
      <c r="D64" s="9" t="s">
        <v>51</v>
      </c>
      <c r="E64" s="11" t="s">
        <v>30</v>
      </c>
      <c r="F64" s="11" t="s">
        <v>63</v>
      </c>
      <c r="G64" s="3">
        <v>1200</v>
      </c>
      <c r="H64" s="3">
        <v>850</v>
      </c>
      <c r="I64" s="12">
        <v>1</v>
      </c>
      <c r="J64" s="9" t="s">
        <v>181</v>
      </c>
      <c r="K64" s="9" t="s">
        <v>33</v>
      </c>
      <c r="L64" s="13">
        <v>1</v>
      </c>
      <c r="M64" s="9" t="s">
        <v>34</v>
      </c>
    </row>
    <row r="65" spans="1:13" ht="20.25" customHeight="1" x14ac:dyDescent="0.25">
      <c r="A65" s="9" t="s">
        <v>182</v>
      </c>
      <c r="B65" s="10">
        <v>45524</v>
      </c>
      <c r="C65" s="9" t="s">
        <v>71</v>
      </c>
      <c r="D65" s="9" t="s">
        <v>42</v>
      </c>
      <c r="E65" s="11" t="s">
        <v>30</v>
      </c>
      <c r="F65" s="11" t="s">
        <v>80</v>
      </c>
      <c r="G65" s="3">
        <v>850</v>
      </c>
      <c r="H65" s="3">
        <v>600</v>
      </c>
      <c r="I65" s="12">
        <v>1</v>
      </c>
      <c r="J65" s="9" t="s">
        <v>183</v>
      </c>
      <c r="K65" s="9" t="s">
        <v>49</v>
      </c>
      <c r="L65" s="13">
        <v>0</v>
      </c>
      <c r="M65" s="9" t="s">
        <v>34</v>
      </c>
    </row>
    <row r="66" spans="1:13" ht="20.25" customHeight="1" x14ac:dyDescent="0.25">
      <c r="A66" s="9" t="s">
        <v>184</v>
      </c>
      <c r="B66" s="10">
        <v>45524</v>
      </c>
      <c r="C66" s="9" t="s">
        <v>28</v>
      </c>
      <c r="D66" s="9" t="s">
        <v>29</v>
      </c>
      <c r="E66" s="11" t="s">
        <v>58</v>
      </c>
      <c r="F66" s="11" t="s">
        <v>87</v>
      </c>
      <c r="G66" s="3">
        <v>540</v>
      </c>
      <c r="H66" s="3">
        <v>330</v>
      </c>
      <c r="I66" s="12">
        <v>3</v>
      </c>
      <c r="J66" s="9" t="s">
        <v>185</v>
      </c>
      <c r="K66" s="9" t="s">
        <v>49</v>
      </c>
      <c r="L66" s="13">
        <v>0</v>
      </c>
      <c r="M66" s="9" t="s">
        <v>34</v>
      </c>
    </row>
    <row r="67" spans="1:13" ht="20.25" customHeight="1" x14ac:dyDescent="0.25">
      <c r="A67" s="9" t="s">
        <v>186</v>
      </c>
      <c r="B67" s="10">
        <v>45525</v>
      </c>
      <c r="C67" s="9" t="s">
        <v>71</v>
      </c>
      <c r="D67" s="9" t="s">
        <v>42</v>
      </c>
      <c r="E67" s="11" t="s">
        <v>30</v>
      </c>
      <c r="F67" s="11" t="s">
        <v>31</v>
      </c>
      <c r="G67" s="3">
        <v>1300</v>
      </c>
      <c r="H67" s="3">
        <v>900</v>
      </c>
      <c r="I67" s="12">
        <v>2</v>
      </c>
      <c r="J67" s="9" t="s">
        <v>187</v>
      </c>
      <c r="K67" s="9" t="s">
        <v>49</v>
      </c>
      <c r="L67" s="13">
        <v>0</v>
      </c>
      <c r="M67" s="9" t="s">
        <v>34</v>
      </c>
    </row>
    <row r="68" spans="1:13" ht="20.25" customHeight="1" x14ac:dyDescent="0.25">
      <c r="A68" s="9" t="s">
        <v>188</v>
      </c>
      <c r="B68" s="10">
        <v>45525</v>
      </c>
      <c r="C68" s="9" t="s">
        <v>71</v>
      </c>
      <c r="D68" s="9" t="s">
        <v>42</v>
      </c>
      <c r="E68" s="11" t="s">
        <v>30</v>
      </c>
      <c r="F68" s="11" t="s">
        <v>63</v>
      </c>
      <c r="G68" s="3">
        <v>1200</v>
      </c>
      <c r="H68" s="3">
        <v>850</v>
      </c>
      <c r="I68" s="12">
        <v>1</v>
      </c>
      <c r="J68" s="9" t="s">
        <v>189</v>
      </c>
      <c r="K68" s="9" t="s">
        <v>49</v>
      </c>
      <c r="L68" s="13">
        <v>0</v>
      </c>
      <c r="M68" s="9" t="s">
        <v>34</v>
      </c>
    </row>
    <row r="69" spans="1:13" ht="20.25" customHeight="1" x14ac:dyDescent="0.25">
      <c r="A69" s="9" t="s">
        <v>190</v>
      </c>
      <c r="B69" s="10">
        <v>45525</v>
      </c>
      <c r="C69" s="9" t="s">
        <v>41</v>
      </c>
      <c r="D69" s="9" t="s">
        <v>29</v>
      </c>
      <c r="E69" s="11" t="s">
        <v>37</v>
      </c>
      <c r="F69" s="11" t="s">
        <v>38</v>
      </c>
      <c r="G69" s="3">
        <v>360</v>
      </c>
      <c r="H69" s="3">
        <v>210</v>
      </c>
      <c r="I69" s="12">
        <v>3</v>
      </c>
      <c r="J69" s="9" t="s">
        <v>191</v>
      </c>
      <c r="K69" s="9" t="s">
        <v>49</v>
      </c>
      <c r="L69" s="13">
        <v>0</v>
      </c>
      <c r="M69" s="9" t="s">
        <v>34</v>
      </c>
    </row>
    <row r="70" spans="1:13" ht="20.25" customHeight="1" x14ac:dyDescent="0.25">
      <c r="A70" s="9" t="s">
        <v>192</v>
      </c>
      <c r="B70" s="10">
        <v>45526</v>
      </c>
      <c r="C70" s="9" t="s">
        <v>54</v>
      </c>
      <c r="D70" s="9" t="s">
        <v>29</v>
      </c>
      <c r="E70" s="11" t="s">
        <v>30</v>
      </c>
      <c r="F70" s="11" t="s">
        <v>63</v>
      </c>
      <c r="G70" s="3">
        <v>2400</v>
      </c>
      <c r="H70" s="3">
        <v>1700</v>
      </c>
      <c r="I70" s="12">
        <v>2</v>
      </c>
      <c r="J70" s="9" t="s">
        <v>193</v>
      </c>
      <c r="K70" s="9" t="s">
        <v>49</v>
      </c>
      <c r="L70" s="13">
        <v>0</v>
      </c>
      <c r="M70" s="9" t="s">
        <v>34</v>
      </c>
    </row>
    <row r="71" spans="1:13" ht="20.25" customHeight="1" x14ac:dyDescent="0.25">
      <c r="A71" s="9" t="s">
        <v>194</v>
      </c>
      <c r="B71" s="10">
        <v>45526</v>
      </c>
      <c r="C71" s="9" t="s">
        <v>36</v>
      </c>
      <c r="D71" s="9" t="s">
        <v>29</v>
      </c>
      <c r="E71" s="11" t="s">
        <v>37</v>
      </c>
      <c r="F71" s="11" t="s">
        <v>38</v>
      </c>
      <c r="G71" s="3">
        <v>120</v>
      </c>
      <c r="H71" s="3">
        <v>70</v>
      </c>
      <c r="I71" s="12">
        <v>1</v>
      </c>
      <c r="J71" s="9" t="s">
        <v>195</v>
      </c>
      <c r="K71" s="9" t="s">
        <v>33</v>
      </c>
      <c r="L71" s="13">
        <v>1</v>
      </c>
      <c r="M71" s="9" t="s">
        <v>34</v>
      </c>
    </row>
    <row r="72" spans="1:13" ht="20.25" customHeight="1" x14ac:dyDescent="0.25">
      <c r="A72" s="9" t="s">
        <v>196</v>
      </c>
      <c r="B72" s="10">
        <v>45526</v>
      </c>
      <c r="C72" s="9" t="s">
        <v>36</v>
      </c>
      <c r="D72" s="9" t="s">
        <v>42</v>
      </c>
      <c r="E72" s="11" t="s">
        <v>58</v>
      </c>
      <c r="F72" s="11" t="s">
        <v>59</v>
      </c>
      <c r="G72" s="3">
        <v>150</v>
      </c>
      <c r="H72" s="3">
        <v>90</v>
      </c>
      <c r="I72" s="12">
        <v>1</v>
      </c>
      <c r="J72" s="9" t="s">
        <v>197</v>
      </c>
      <c r="K72" s="9" t="s">
        <v>33</v>
      </c>
      <c r="L72" s="13">
        <v>1</v>
      </c>
      <c r="M72" s="9" t="s">
        <v>34</v>
      </c>
    </row>
    <row r="73" spans="1:13" ht="20.25" customHeight="1" x14ac:dyDescent="0.25">
      <c r="A73" s="9" t="s">
        <v>198</v>
      </c>
      <c r="B73" s="10">
        <v>45526</v>
      </c>
      <c r="C73" s="9" t="s">
        <v>28</v>
      </c>
      <c r="D73" s="9" t="s">
        <v>29</v>
      </c>
      <c r="E73" s="11" t="s">
        <v>43</v>
      </c>
      <c r="F73" s="11" t="s">
        <v>47</v>
      </c>
      <c r="G73" s="3">
        <v>-220</v>
      </c>
      <c r="H73" s="3">
        <v>-130</v>
      </c>
      <c r="I73" s="12">
        <v>-2</v>
      </c>
      <c r="J73" s="9" t="s">
        <v>199</v>
      </c>
      <c r="K73" s="9" t="s">
        <v>49</v>
      </c>
      <c r="L73" s="13">
        <v>0</v>
      </c>
      <c r="M73" s="9" t="s">
        <v>76</v>
      </c>
    </row>
    <row r="74" spans="1:13" ht="20.25" customHeight="1" x14ac:dyDescent="0.25">
      <c r="A74" s="9" t="s">
        <v>200</v>
      </c>
      <c r="B74" s="10">
        <v>45527</v>
      </c>
      <c r="C74" s="9" t="s">
        <v>28</v>
      </c>
      <c r="D74" s="9" t="s">
        <v>51</v>
      </c>
      <c r="E74" s="11" t="s">
        <v>58</v>
      </c>
      <c r="F74" s="11" t="s">
        <v>68</v>
      </c>
      <c r="G74" s="3">
        <v>-350</v>
      </c>
      <c r="H74" s="3">
        <v>-220</v>
      </c>
      <c r="I74" s="12">
        <v>-1</v>
      </c>
      <c r="J74" s="9" t="s">
        <v>201</v>
      </c>
      <c r="K74" s="9" t="s">
        <v>49</v>
      </c>
      <c r="L74" s="13">
        <v>0</v>
      </c>
      <c r="M74" s="9" t="s">
        <v>76</v>
      </c>
    </row>
    <row r="75" spans="1:13" ht="20.25" customHeight="1" x14ac:dyDescent="0.25">
      <c r="A75" s="9" t="s">
        <v>202</v>
      </c>
      <c r="B75" s="10">
        <v>45527</v>
      </c>
      <c r="C75" s="9" t="s">
        <v>28</v>
      </c>
      <c r="D75" s="9" t="s">
        <v>29</v>
      </c>
      <c r="E75" s="11" t="s">
        <v>30</v>
      </c>
      <c r="F75" s="11" t="s">
        <v>80</v>
      </c>
      <c r="G75" s="3">
        <v>1700</v>
      </c>
      <c r="H75" s="3">
        <v>1200</v>
      </c>
      <c r="I75" s="12">
        <v>2</v>
      </c>
      <c r="J75" s="9" t="s">
        <v>203</v>
      </c>
      <c r="K75" s="9" t="s">
        <v>49</v>
      </c>
      <c r="L75" s="13">
        <v>0</v>
      </c>
      <c r="M75" s="9" t="s">
        <v>34</v>
      </c>
    </row>
    <row r="76" spans="1:13" ht="20.25" customHeight="1" x14ac:dyDescent="0.25">
      <c r="A76" s="9" t="s">
        <v>204</v>
      </c>
      <c r="B76" s="10">
        <v>45528</v>
      </c>
      <c r="C76" s="9" t="s">
        <v>36</v>
      </c>
      <c r="D76" s="9" t="s">
        <v>51</v>
      </c>
      <c r="E76" s="11" t="s">
        <v>37</v>
      </c>
      <c r="F76" s="11" t="s">
        <v>72</v>
      </c>
      <c r="G76" s="3">
        <v>440</v>
      </c>
      <c r="H76" s="3">
        <v>260</v>
      </c>
      <c r="I76" s="12">
        <v>2</v>
      </c>
      <c r="J76" s="9" t="s">
        <v>205</v>
      </c>
      <c r="K76" s="9" t="s">
        <v>49</v>
      </c>
      <c r="L76" s="13">
        <v>0</v>
      </c>
      <c r="M76" s="9" t="s">
        <v>34</v>
      </c>
    </row>
    <row r="77" spans="1:13" ht="20.25" customHeight="1" x14ac:dyDescent="0.25">
      <c r="A77" s="9" t="s">
        <v>206</v>
      </c>
      <c r="B77" s="10">
        <v>45528</v>
      </c>
      <c r="C77" s="9" t="s">
        <v>28</v>
      </c>
      <c r="D77" s="9" t="s">
        <v>29</v>
      </c>
      <c r="E77" s="11" t="s">
        <v>43</v>
      </c>
      <c r="F77" s="11" t="s">
        <v>90</v>
      </c>
      <c r="G77" s="3">
        <v>300</v>
      </c>
      <c r="H77" s="3">
        <v>180</v>
      </c>
      <c r="I77" s="12">
        <v>2</v>
      </c>
      <c r="J77" s="9" t="s">
        <v>207</v>
      </c>
      <c r="K77" s="9" t="s">
        <v>49</v>
      </c>
      <c r="L77" s="13">
        <v>0</v>
      </c>
      <c r="M77" s="9" t="s">
        <v>34</v>
      </c>
    </row>
    <row r="78" spans="1:13" ht="20.25" customHeight="1" x14ac:dyDescent="0.25">
      <c r="A78" s="9" t="s">
        <v>208</v>
      </c>
      <c r="B78" s="10">
        <v>45528</v>
      </c>
      <c r="C78" s="9" t="s">
        <v>62</v>
      </c>
      <c r="D78" s="9" t="s">
        <v>51</v>
      </c>
      <c r="E78" s="11" t="s">
        <v>43</v>
      </c>
      <c r="F78" s="11" t="s">
        <v>47</v>
      </c>
      <c r="G78" s="3">
        <v>550</v>
      </c>
      <c r="H78" s="3">
        <v>325</v>
      </c>
      <c r="I78" s="12">
        <v>5</v>
      </c>
      <c r="J78" s="9" t="s">
        <v>209</v>
      </c>
      <c r="K78" s="9" t="s">
        <v>49</v>
      </c>
      <c r="L78" s="13">
        <v>0</v>
      </c>
      <c r="M78" s="9" t="s">
        <v>34</v>
      </c>
    </row>
    <row r="79" spans="1:13" ht="20.25" customHeight="1" x14ac:dyDescent="0.25">
      <c r="A79" s="9" t="s">
        <v>210</v>
      </c>
      <c r="B79" s="10">
        <v>45528</v>
      </c>
      <c r="C79" s="9" t="s">
        <v>71</v>
      </c>
      <c r="D79" s="9" t="s">
        <v>42</v>
      </c>
      <c r="E79" s="11" t="s">
        <v>58</v>
      </c>
      <c r="F79" s="11" t="s">
        <v>87</v>
      </c>
      <c r="G79" s="3">
        <v>180</v>
      </c>
      <c r="H79" s="3">
        <v>110</v>
      </c>
      <c r="I79" s="12">
        <v>1</v>
      </c>
      <c r="J79" s="9" t="s">
        <v>211</v>
      </c>
      <c r="K79" s="9" t="s">
        <v>33</v>
      </c>
      <c r="L79" s="13">
        <v>1</v>
      </c>
      <c r="M79" s="9" t="s">
        <v>34</v>
      </c>
    </row>
    <row r="80" spans="1:13" ht="20.25" customHeight="1" x14ac:dyDescent="0.25">
      <c r="A80" s="9" t="s">
        <v>212</v>
      </c>
      <c r="B80" s="10">
        <v>45529</v>
      </c>
      <c r="C80" s="9" t="s">
        <v>36</v>
      </c>
      <c r="D80" s="9" t="s">
        <v>42</v>
      </c>
      <c r="E80" s="11" t="s">
        <v>58</v>
      </c>
      <c r="F80" s="11" t="s">
        <v>59</v>
      </c>
      <c r="G80" s="3">
        <v>-150</v>
      </c>
      <c r="H80" s="3">
        <v>-90</v>
      </c>
      <c r="I80" s="12">
        <v>-1</v>
      </c>
      <c r="J80" s="9" t="s">
        <v>213</v>
      </c>
      <c r="K80" s="9" t="s">
        <v>49</v>
      </c>
      <c r="L80" s="13">
        <v>0</v>
      </c>
      <c r="M80" s="9" t="s">
        <v>76</v>
      </c>
    </row>
    <row r="81" spans="1:13" ht="20.25" customHeight="1" x14ac:dyDescent="0.25">
      <c r="A81" s="9" t="s">
        <v>214</v>
      </c>
      <c r="B81" s="10">
        <v>45530</v>
      </c>
      <c r="C81" s="9" t="s">
        <v>71</v>
      </c>
      <c r="D81" s="9" t="s">
        <v>42</v>
      </c>
      <c r="E81" s="11" t="s">
        <v>43</v>
      </c>
      <c r="F81" s="11" t="s">
        <v>90</v>
      </c>
      <c r="G81" s="3">
        <v>300</v>
      </c>
      <c r="H81" s="3">
        <v>180</v>
      </c>
      <c r="I81" s="12">
        <v>2</v>
      </c>
      <c r="J81" s="9" t="s">
        <v>215</v>
      </c>
      <c r="K81" s="9" t="s">
        <v>33</v>
      </c>
      <c r="L81" s="13">
        <v>1</v>
      </c>
      <c r="M81" s="9" t="s">
        <v>34</v>
      </c>
    </row>
    <row r="82" spans="1:13" ht="20.25" customHeight="1" x14ac:dyDescent="0.25">
      <c r="A82" s="9" t="s">
        <v>216</v>
      </c>
      <c r="B82" s="10">
        <v>45530</v>
      </c>
      <c r="C82" s="9" t="s">
        <v>28</v>
      </c>
      <c r="D82" s="9" t="s">
        <v>29</v>
      </c>
      <c r="E82" s="11" t="s">
        <v>30</v>
      </c>
      <c r="F82" s="11" t="s">
        <v>80</v>
      </c>
      <c r="G82" s="3">
        <v>850</v>
      </c>
      <c r="H82" s="3">
        <v>600</v>
      </c>
      <c r="I82" s="12">
        <v>1</v>
      </c>
      <c r="J82" s="9" t="s">
        <v>217</v>
      </c>
      <c r="K82" s="9" t="s">
        <v>49</v>
      </c>
      <c r="L82" s="13">
        <v>0</v>
      </c>
      <c r="M82" s="9" t="s">
        <v>34</v>
      </c>
    </row>
    <row r="83" spans="1:13" ht="20.25" customHeight="1" x14ac:dyDescent="0.25">
      <c r="A83" s="9" t="s">
        <v>218</v>
      </c>
      <c r="B83" s="10">
        <v>45530</v>
      </c>
      <c r="C83" s="9" t="s">
        <v>36</v>
      </c>
      <c r="D83" s="9" t="s">
        <v>51</v>
      </c>
      <c r="E83" s="11" t="s">
        <v>37</v>
      </c>
      <c r="F83" s="11" t="s">
        <v>38</v>
      </c>
      <c r="G83" s="3">
        <v>240</v>
      </c>
      <c r="H83" s="3">
        <v>140</v>
      </c>
      <c r="I83" s="12">
        <v>2</v>
      </c>
      <c r="J83" s="9" t="s">
        <v>219</v>
      </c>
      <c r="K83" s="9" t="s">
        <v>33</v>
      </c>
      <c r="L83" s="13">
        <v>1</v>
      </c>
      <c r="M83" s="9" t="s">
        <v>34</v>
      </c>
    </row>
    <row r="84" spans="1:13" ht="20.25" customHeight="1" x14ac:dyDescent="0.25">
      <c r="A84" s="9" t="s">
        <v>220</v>
      </c>
      <c r="B84" s="10">
        <v>45530</v>
      </c>
      <c r="C84" s="9" t="s">
        <v>71</v>
      </c>
      <c r="D84" s="9" t="s">
        <v>29</v>
      </c>
      <c r="E84" s="11" t="s">
        <v>58</v>
      </c>
      <c r="F84" s="11" t="s">
        <v>68</v>
      </c>
      <c r="G84" s="3">
        <v>1400</v>
      </c>
      <c r="H84" s="3">
        <v>880</v>
      </c>
      <c r="I84" s="12">
        <v>4</v>
      </c>
      <c r="J84" s="9" t="s">
        <v>221</v>
      </c>
      <c r="K84" s="9" t="s">
        <v>49</v>
      </c>
      <c r="L84" s="13">
        <v>0</v>
      </c>
      <c r="M84" s="9" t="s">
        <v>34</v>
      </c>
    </row>
    <row r="85" spans="1:13" ht="20.25" customHeight="1" x14ac:dyDescent="0.25">
      <c r="A85" s="9" t="s">
        <v>222</v>
      </c>
      <c r="B85" s="10">
        <v>45531</v>
      </c>
      <c r="C85" s="9" t="s">
        <v>36</v>
      </c>
      <c r="D85" s="9" t="s">
        <v>29</v>
      </c>
      <c r="E85" s="11" t="s">
        <v>30</v>
      </c>
      <c r="F85" s="11" t="s">
        <v>63</v>
      </c>
      <c r="G85" s="3">
        <v>2400</v>
      </c>
      <c r="H85" s="3">
        <v>1700</v>
      </c>
      <c r="I85" s="12">
        <v>2</v>
      </c>
      <c r="J85" s="9" t="s">
        <v>223</v>
      </c>
      <c r="K85" s="9" t="s">
        <v>49</v>
      </c>
      <c r="L85" s="13">
        <v>0</v>
      </c>
      <c r="M85" s="9" t="s">
        <v>34</v>
      </c>
    </row>
    <row r="86" spans="1:13" ht="20.25" customHeight="1" x14ac:dyDescent="0.25">
      <c r="A86" s="9" t="s">
        <v>224</v>
      </c>
      <c r="B86" s="10">
        <v>45531</v>
      </c>
      <c r="C86" s="9" t="s">
        <v>36</v>
      </c>
      <c r="D86" s="9" t="s">
        <v>51</v>
      </c>
      <c r="E86" s="11" t="s">
        <v>58</v>
      </c>
      <c r="F86" s="11" t="s">
        <v>59</v>
      </c>
      <c r="G86" s="3">
        <v>150</v>
      </c>
      <c r="H86" s="3">
        <v>90</v>
      </c>
      <c r="I86" s="12">
        <v>1</v>
      </c>
      <c r="J86" s="9" t="s">
        <v>225</v>
      </c>
      <c r="K86" s="9" t="s">
        <v>33</v>
      </c>
      <c r="L86" s="13">
        <v>1</v>
      </c>
      <c r="M86" s="9" t="s">
        <v>34</v>
      </c>
    </row>
    <row r="87" spans="1:13" ht="20.25" customHeight="1" x14ac:dyDescent="0.25">
      <c r="A87" s="9" t="s">
        <v>226</v>
      </c>
      <c r="B87" s="10">
        <v>45532</v>
      </c>
      <c r="C87" s="9" t="s">
        <v>62</v>
      </c>
      <c r="D87" s="9" t="s">
        <v>29</v>
      </c>
      <c r="E87" s="11" t="s">
        <v>30</v>
      </c>
      <c r="F87" s="11" t="s">
        <v>63</v>
      </c>
      <c r="G87" s="3">
        <v>1200</v>
      </c>
      <c r="H87" s="3">
        <v>850</v>
      </c>
      <c r="I87" s="12">
        <v>1</v>
      </c>
      <c r="J87" s="9" t="s">
        <v>227</v>
      </c>
      <c r="K87" s="9" t="s">
        <v>49</v>
      </c>
      <c r="L87" s="13">
        <v>0</v>
      </c>
      <c r="M87" s="9" t="s">
        <v>34</v>
      </c>
    </row>
    <row r="88" spans="1:13" ht="20.25" customHeight="1" x14ac:dyDescent="0.25">
      <c r="A88" s="9" t="s">
        <v>228</v>
      </c>
      <c r="B88" s="10">
        <v>45532</v>
      </c>
      <c r="C88" s="9" t="s">
        <v>54</v>
      </c>
      <c r="D88" s="9" t="s">
        <v>51</v>
      </c>
      <c r="E88" s="11" t="s">
        <v>37</v>
      </c>
      <c r="F88" s="11" t="s">
        <v>55</v>
      </c>
      <c r="G88" s="3">
        <v>90</v>
      </c>
      <c r="H88" s="3">
        <v>55</v>
      </c>
      <c r="I88" s="12">
        <v>1</v>
      </c>
      <c r="J88" s="9" t="s">
        <v>229</v>
      </c>
      <c r="K88" s="9" t="s">
        <v>49</v>
      </c>
      <c r="L88" s="13">
        <v>0</v>
      </c>
      <c r="M88" s="9" t="s">
        <v>34</v>
      </c>
    </row>
    <row r="89" spans="1:13" ht="20.25" customHeight="1" x14ac:dyDescent="0.25">
      <c r="A89" s="9" t="s">
        <v>230</v>
      </c>
      <c r="B89" s="10">
        <v>45532</v>
      </c>
      <c r="C89" s="9" t="s">
        <v>71</v>
      </c>
      <c r="D89" s="9" t="s">
        <v>42</v>
      </c>
      <c r="E89" s="11" t="s">
        <v>43</v>
      </c>
      <c r="F89" s="11" t="s">
        <v>47</v>
      </c>
      <c r="G89" s="3">
        <v>110</v>
      </c>
      <c r="H89" s="3">
        <v>65</v>
      </c>
      <c r="I89" s="12">
        <v>1</v>
      </c>
      <c r="J89" s="9" t="s">
        <v>231</v>
      </c>
      <c r="K89" s="9" t="s">
        <v>49</v>
      </c>
      <c r="L89" s="13">
        <v>0</v>
      </c>
      <c r="M89" s="9" t="s">
        <v>34</v>
      </c>
    </row>
    <row r="90" spans="1:13" ht="20.25" customHeight="1" x14ac:dyDescent="0.25">
      <c r="A90" s="9" t="s">
        <v>232</v>
      </c>
      <c r="B90" s="10">
        <v>45532</v>
      </c>
      <c r="C90" s="9" t="s">
        <v>71</v>
      </c>
      <c r="D90" s="9" t="s">
        <v>29</v>
      </c>
      <c r="E90" s="11" t="s">
        <v>30</v>
      </c>
      <c r="F90" s="11" t="s">
        <v>31</v>
      </c>
      <c r="G90" s="3">
        <v>1300</v>
      </c>
      <c r="H90" s="3">
        <v>900</v>
      </c>
      <c r="I90" s="12">
        <v>2</v>
      </c>
      <c r="J90" s="9" t="s">
        <v>233</v>
      </c>
      <c r="K90" s="9" t="s">
        <v>33</v>
      </c>
      <c r="L90" s="13">
        <v>1</v>
      </c>
      <c r="M90" s="9" t="s">
        <v>34</v>
      </c>
    </row>
    <row r="91" spans="1:13" ht="20.25" customHeight="1" x14ac:dyDescent="0.25">
      <c r="A91" s="9" t="s">
        <v>234</v>
      </c>
      <c r="B91" s="10">
        <v>45533</v>
      </c>
      <c r="C91" s="9" t="s">
        <v>71</v>
      </c>
      <c r="D91" s="9" t="s">
        <v>51</v>
      </c>
      <c r="E91" s="11" t="s">
        <v>43</v>
      </c>
      <c r="F91" s="11" t="s">
        <v>47</v>
      </c>
      <c r="G91" s="3">
        <v>220</v>
      </c>
      <c r="H91" s="3">
        <v>130</v>
      </c>
      <c r="I91" s="12">
        <v>2</v>
      </c>
      <c r="J91" s="9" t="s">
        <v>235</v>
      </c>
      <c r="K91" s="9" t="s">
        <v>33</v>
      </c>
      <c r="L91" s="13">
        <v>1</v>
      </c>
      <c r="M91" s="9" t="s">
        <v>34</v>
      </c>
    </row>
    <row r="92" spans="1:13" ht="20.25" customHeight="1" x14ac:dyDescent="0.25">
      <c r="A92" s="9" t="s">
        <v>236</v>
      </c>
      <c r="B92" s="10">
        <v>45533</v>
      </c>
      <c r="C92" s="9" t="s">
        <v>28</v>
      </c>
      <c r="D92" s="9" t="s">
        <v>29</v>
      </c>
      <c r="E92" s="11" t="s">
        <v>30</v>
      </c>
      <c r="F92" s="11" t="s">
        <v>80</v>
      </c>
      <c r="G92" s="3">
        <v>1700</v>
      </c>
      <c r="H92" s="3">
        <v>1200</v>
      </c>
      <c r="I92" s="12">
        <v>2</v>
      </c>
      <c r="J92" s="9" t="s">
        <v>237</v>
      </c>
      <c r="K92" s="9" t="s">
        <v>49</v>
      </c>
      <c r="L92" s="13">
        <v>0</v>
      </c>
      <c r="M92" s="9" t="s">
        <v>34</v>
      </c>
    </row>
    <row r="93" spans="1:13" ht="20.25" customHeight="1" x14ac:dyDescent="0.25">
      <c r="A93" s="9" t="s">
        <v>238</v>
      </c>
      <c r="B93" s="10">
        <v>45533</v>
      </c>
      <c r="C93" s="9" t="s">
        <v>36</v>
      </c>
      <c r="D93" s="9" t="s">
        <v>29</v>
      </c>
      <c r="E93" s="11" t="s">
        <v>58</v>
      </c>
      <c r="F93" s="11" t="s">
        <v>68</v>
      </c>
      <c r="G93" s="3">
        <v>350</v>
      </c>
      <c r="H93" s="3">
        <v>220</v>
      </c>
      <c r="I93" s="12">
        <v>1</v>
      </c>
      <c r="J93" s="9" t="s">
        <v>239</v>
      </c>
      <c r="K93" s="9" t="s">
        <v>49</v>
      </c>
      <c r="L93" s="13">
        <v>0</v>
      </c>
      <c r="M93" s="9" t="s">
        <v>34</v>
      </c>
    </row>
    <row r="94" spans="1:13" ht="20.25" customHeight="1" x14ac:dyDescent="0.25">
      <c r="A94" s="9" t="s">
        <v>240</v>
      </c>
      <c r="B94" s="10">
        <v>45533</v>
      </c>
      <c r="C94" s="9" t="s">
        <v>28</v>
      </c>
      <c r="D94" s="9" t="s">
        <v>29</v>
      </c>
      <c r="E94" s="11" t="s">
        <v>30</v>
      </c>
      <c r="F94" s="11" t="s">
        <v>80</v>
      </c>
      <c r="G94" s="3">
        <v>850</v>
      </c>
      <c r="H94" s="3">
        <v>600</v>
      </c>
      <c r="I94" s="12">
        <v>1</v>
      </c>
      <c r="J94" s="9" t="s">
        <v>241</v>
      </c>
      <c r="K94" s="9" t="s">
        <v>49</v>
      </c>
      <c r="L94" s="13">
        <v>0</v>
      </c>
      <c r="M94" s="9" t="s">
        <v>34</v>
      </c>
    </row>
    <row r="95" spans="1:13" ht="20.25" customHeight="1" x14ac:dyDescent="0.25">
      <c r="A95" s="9" t="s">
        <v>242</v>
      </c>
      <c r="B95" s="10">
        <v>45533</v>
      </c>
      <c r="C95" s="9" t="s">
        <v>36</v>
      </c>
      <c r="D95" s="9" t="s">
        <v>42</v>
      </c>
      <c r="E95" s="11" t="s">
        <v>43</v>
      </c>
      <c r="F95" s="11" t="s">
        <v>90</v>
      </c>
      <c r="G95" s="3">
        <v>300</v>
      </c>
      <c r="H95" s="3">
        <v>180</v>
      </c>
      <c r="I95" s="12">
        <v>2</v>
      </c>
      <c r="J95" s="9" t="s">
        <v>243</v>
      </c>
      <c r="K95" s="9" t="s">
        <v>49</v>
      </c>
      <c r="L95" s="13">
        <v>0</v>
      </c>
      <c r="M95" s="9" t="s">
        <v>34</v>
      </c>
    </row>
    <row r="96" spans="1:13" ht="20.25" customHeight="1" x14ac:dyDescent="0.25">
      <c r="A96" s="9" t="s">
        <v>244</v>
      </c>
      <c r="B96" s="10">
        <v>45534</v>
      </c>
      <c r="C96" s="9" t="s">
        <v>71</v>
      </c>
      <c r="D96" s="9" t="s">
        <v>42</v>
      </c>
      <c r="E96" s="11" t="s">
        <v>43</v>
      </c>
      <c r="F96" s="11" t="s">
        <v>44</v>
      </c>
      <c r="G96" s="3">
        <v>45</v>
      </c>
      <c r="H96" s="3">
        <v>20</v>
      </c>
      <c r="I96" s="12">
        <v>1</v>
      </c>
      <c r="J96" s="9" t="s">
        <v>245</v>
      </c>
      <c r="K96" s="9" t="s">
        <v>49</v>
      </c>
      <c r="L96" s="13">
        <v>0</v>
      </c>
      <c r="M96" s="9" t="s">
        <v>34</v>
      </c>
    </row>
    <row r="97" spans="1:13" ht="20.25" customHeight="1" x14ac:dyDescent="0.25">
      <c r="A97" s="9" t="s">
        <v>246</v>
      </c>
      <c r="B97" s="10">
        <v>45534</v>
      </c>
      <c r="C97" s="9" t="s">
        <v>28</v>
      </c>
      <c r="D97" s="9" t="s">
        <v>42</v>
      </c>
      <c r="E97" s="11" t="s">
        <v>37</v>
      </c>
      <c r="F97" s="11" t="s">
        <v>72</v>
      </c>
      <c r="G97" s="3">
        <v>220</v>
      </c>
      <c r="H97" s="3">
        <v>130</v>
      </c>
      <c r="I97" s="12">
        <v>1</v>
      </c>
      <c r="J97" s="9" t="s">
        <v>247</v>
      </c>
      <c r="K97" s="9" t="s">
        <v>49</v>
      </c>
      <c r="L97" s="13">
        <v>0</v>
      </c>
      <c r="M97" s="9" t="s">
        <v>34</v>
      </c>
    </row>
    <row r="98" spans="1:13" ht="20.25" customHeight="1" x14ac:dyDescent="0.25">
      <c r="A98" s="9" t="s">
        <v>248</v>
      </c>
      <c r="B98" s="10">
        <v>45534</v>
      </c>
      <c r="C98" s="9" t="s">
        <v>62</v>
      </c>
      <c r="D98" s="9" t="s">
        <v>42</v>
      </c>
      <c r="E98" s="11" t="s">
        <v>43</v>
      </c>
      <c r="F98" s="11" t="s">
        <v>44</v>
      </c>
      <c r="G98" s="3">
        <v>90</v>
      </c>
      <c r="H98" s="3">
        <v>40</v>
      </c>
      <c r="I98" s="12">
        <v>2</v>
      </c>
      <c r="J98" s="9" t="s">
        <v>81</v>
      </c>
      <c r="K98" s="9" t="s">
        <v>49</v>
      </c>
      <c r="L98" s="13">
        <v>0</v>
      </c>
      <c r="M98" s="9" t="s">
        <v>34</v>
      </c>
    </row>
    <row r="99" spans="1:13" ht="20.25" customHeight="1" x14ac:dyDescent="0.25">
      <c r="A99" s="9" t="s">
        <v>249</v>
      </c>
      <c r="B99" s="10">
        <v>45534</v>
      </c>
      <c r="C99" s="9" t="s">
        <v>62</v>
      </c>
      <c r="D99" s="9" t="s">
        <v>29</v>
      </c>
      <c r="E99" s="11" t="s">
        <v>37</v>
      </c>
      <c r="F99" s="11" t="s">
        <v>72</v>
      </c>
      <c r="G99" s="3">
        <v>440</v>
      </c>
      <c r="H99" s="3">
        <v>260</v>
      </c>
      <c r="I99" s="12">
        <v>2</v>
      </c>
      <c r="J99" s="9" t="s">
        <v>250</v>
      </c>
      <c r="K99" s="9" t="s">
        <v>49</v>
      </c>
      <c r="L99" s="13">
        <v>0</v>
      </c>
      <c r="M99" s="9" t="s">
        <v>34</v>
      </c>
    </row>
    <row r="100" spans="1:13" ht="20.25" customHeight="1" x14ac:dyDescent="0.25">
      <c r="A100" s="9" t="s">
        <v>251</v>
      </c>
      <c r="B100" s="10">
        <v>45535</v>
      </c>
      <c r="C100" s="9" t="s">
        <v>41</v>
      </c>
      <c r="D100" s="9" t="s">
        <v>29</v>
      </c>
      <c r="E100" s="11" t="s">
        <v>43</v>
      </c>
      <c r="F100" s="11" t="s">
        <v>44</v>
      </c>
      <c r="G100" s="3">
        <v>45</v>
      </c>
      <c r="H100" s="3">
        <v>20</v>
      </c>
      <c r="I100" s="12">
        <v>1</v>
      </c>
      <c r="J100" s="9" t="s">
        <v>252</v>
      </c>
      <c r="K100" s="9" t="s">
        <v>49</v>
      </c>
      <c r="L100" s="13">
        <v>0</v>
      </c>
      <c r="M100" s="9" t="s">
        <v>34</v>
      </c>
    </row>
    <row r="101" spans="1:13" ht="20.25" customHeight="1" x14ac:dyDescent="0.25">
      <c r="A101" s="9" t="s">
        <v>253</v>
      </c>
      <c r="B101" s="10">
        <v>45535</v>
      </c>
      <c r="C101" s="9" t="s">
        <v>71</v>
      </c>
      <c r="D101" s="9" t="s">
        <v>51</v>
      </c>
      <c r="E101" s="11" t="s">
        <v>37</v>
      </c>
      <c r="F101" s="11" t="s">
        <v>38</v>
      </c>
      <c r="G101" s="3">
        <v>360</v>
      </c>
      <c r="H101" s="3">
        <v>210</v>
      </c>
      <c r="I101" s="12">
        <v>3</v>
      </c>
      <c r="J101" s="9" t="s">
        <v>254</v>
      </c>
      <c r="K101" s="9" t="s">
        <v>49</v>
      </c>
      <c r="L101" s="13">
        <v>0</v>
      </c>
      <c r="M101" s="9" t="s">
        <v>34</v>
      </c>
    </row>
    <row r="102" spans="1:13" ht="20.25" customHeight="1" x14ac:dyDescent="0.25">
      <c r="A102" s="9" t="s">
        <v>255</v>
      </c>
      <c r="B102" s="10">
        <v>45536</v>
      </c>
      <c r="C102" s="9" t="s">
        <v>54</v>
      </c>
      <c r="D102" s="9" t="s">
        <v>29</v>
      </c>
      <c r="E102" s="11" t="s">
        <v>43</v>
      </c>
      <c r="F102" s="11" t="s">
        <v>44</v>
      </c>
      <c r="G102" s="3">
        <v>45</v>
      </c>
      <c r="H102" s="3">
        <v>20</v>
      </c>
      <c r="I102" s="12">
        <v>1</v>
      </c>
      <c r="J102" s="9" t="s">
        <v>256</v>
      </c>
      <c r="K102" s="9" t="s">
        <v>49</v>
      </c>
      <c r="L102" s="13">
        <v>0</v>
      </c>
      <c r="M102" s="9" t="s">
        <v>34</v>
      </c>
    </row>
    <row r="103" spans="1:13" ht="20.25" customHeight="1" x14ac:dyDescent="0.25">
      <c r="A103" s="9" t="s">
        <v>257</v>
      </c>
      <c r="B103" s="10">
        <v>45536</v>
      </c>
      <c r="C103" s="9" t="s">
        <v>28</v>
      </c>
      <c r="D103" s="9" t="s">
        <v>29</v>
      </c>
      <c r="E103" s="11" t="s">
        <v>58</v>
      </c>
      <c r="F103" s="11" t="s">
        <v>68</v>
      </c>
      <c r="G103" s="3">
        <v>1750</v>
      </c>
      <c r="H103" s="3">
        <v>1100</v>
      </c>
      <c r="I103" s="12">
        <v>5</v>
      </c>
      <c r="J103" s="9" t="s">
        <v>258</v>
      </c>
      <c r="K103" s="9" t="s">
        <v>49</v>
      </c>
      <c r="L103" s="13">
        <v>0</v>
      </c>
      <c r="M103" s="9" t="s">
        <v>34</v>
      </c>
    </row>
    <row r="104" spans="1:13" ht="20.25" customHeight="1" x14ac:dyDescent="0.25">
      <c r="A104" s="9" t="s">
        <v>259</v>
      </c>
      <c r="B104" s="10">
        <v>45536</v>
      </c>
      <c r="C104" s="9" t="s">
        <v>41</v>
      </c>
      <c r="D104" s="9" t="s">
        <v>29</v>
      </c>
      <c r="E104" s="11" t="s">
        <v>30</v>
      </c>
      <c r="F104" s="11" t="s">
        <v>31</v>
      </c>
      <c r="G104" s="3">
        <v>650</v>
      </c>
      <c r="H104" s="3">
        <v>450</v>
      </c>
      <c r="I104" s="12">
        <v>1</v>
      </c>
      <c r="J104" s="9" t="s">
        <v>260</v>
      </c>
      <c r="K104" s="9" t="s">
        <v>49</v>
      </c>
      <c r="L104" s="13">
        <v>0</v>
      </c>
      <c r="M104" s="9" t="s">
        <v>34</v>
      </c>
    </row>
    <row r="105" spans="1:13" ht="20.25" customHeight="1" x14ac:dyDescent="0.25">
      <c r="A105" s="9" t="s">
        <v>261</v>
      </c>
      <c r="B105" s="10">
        <v>45536</v>
      </c>
      <c r="C105" s="9" t="s">
        <v>28</v>
      </c>
      <c r="D105" s="9" t="s">
        <v>51</v>
      </c>
      <c r="E105" s="11" t="s">
        <v>58</v>
      </c>
      <c r="F105" s="11" t="s">
        <v>59</v>
      </c>
      <c r="G105" s="3">
        <v>150</v>
      </c>
      <c r="H105" s="3">
        <v>90</v>
      </c>
      <c r="I105" s="12">
        <v>1</v>
      </c>
      <c r="J105" s="9" t="s">
        <v>262</v>
      </c>
      <c r="K105" s="9" t="s">
        <v>33</v>
      </c>
      <c r="L105" s="13">
        <v>1</v>
      </c>
      <c r="M105" s="9" t="s">
        <v>34</v>
      </c>
    </row>
    <row r="106" spans="1:13" ht="20.25" customHeight="1" x14ac:dyDescent="0.25">
      <c r="A106" s="9" t="s">
        <v>263</v>
      </c>
      <c r="B106" s="10">
        <v>45537</v>
      </c>
      <c r="C106" s="9" t="s">
        <v>41</v>
      </c>
      <c r="D106" s="9" t="s">
        <v>51</v>
      </c>
      <c r="E106" s="11" t="s">
        <v>30</v>
      </c>
      <c r="F106" s="11" t="s">
        <v>63</v>
      </c>
      <c r="G106" s="3">
        <v>3600</v>
      </c>
      <c r="H106" s="3">
        <v>2550</v>
      </c>
      <c r="I106" s="12">
        <v>3</v>
      </c>
      <c r="J106" s="9" t="s">
        <v>264</v>
      </c>
      <c r="K106" s="9" t="s">
        <v>49</v>
      </c>
      <c r="L106" s="13">
        <v>0</v>
      </c>
      <c r="M106" s="9" t="s">
        <v>34</v>
      </c>
    </row>
    <row r="107" spans="1:13" ht="20.25" customHeight="1" x14ac:dyDescent="0.25">
      <c r="A107" s="9" t="s">
        <v>265</v>
      </c>
      <c r="B107" s="10">
        <v>45537</v>
      </c>
      <c r="C107" s="9" t="s">
        <v>28</v>
      </c>
      <c r="D107" s="9" t="s">
        <v>29</v>
      </c>
      <c r="E107" s="11" t="s">
        <v>37</v>
      </c>
      <c r="F107" s="11" t="s">
        <v>72</v>
      </c>
      <c r="G107" s="3">
        <v>220</v>
      </c>
      <c r="H107" s="3">
        <v>130</v>
      </c>
      <c r="I107" s="12">
        <v>1</v>
      </c>
      <c r="J107" s="9" t="s">
        <v>266</v>
      </c>
      <c r="K107" s="9" t="s">
        <v>49</v>
      </c>
      <c r="L107" s="13">
        <v>0</v>
      </c>
      <c r="M107" s="9" t="s">
        <v>34</v>
      </c>
    </row>
    <row r="108" spans="1:13" ht="20.25" customHeight="1" x14ac:dyDescent="0.25">
      <c r="A108" s="9" t="s">
        <v>267</v>
      </c>
      <c r="B108" s="10">
        <v>45538</v>
      </c>
      <c r="C108" s="9" t="s">
        <v>54</v>
      </c>
      <c r="D108" s="9" t="s">
        <v>29</v>
      </c>
      <c r="E108" s="11" t="s">
        <v>58</v>
      </c>
      <c r="F108" s="11" t="s">
        <v>59</v>
      </c>
      <c r="G108" s="3">
        <v>300</v>
      </c>
      <c r="H108" s="3">
        <v>180</v>
      </c>
      <c r="I108" s="12">
        <v>2</v>
      </c>
      <c r="J108" s="9" t="s">
        <v>268</v>
      </c>
      <c r="K108" s="9" t="s">
        <v>49</v>
      </c>
      <c r="L108" s="13">
        <v>0</v>
      </c>
      <c r="M108" s="9" t="s">
        <v>34</v>
      </c>
    </row>
    <row r="109" spans="1:13" ht="20.25" customHeight="1" x14ac:dyDescent="0.25">
      <c r="A109" s="9" t="s">
        <v>269</v>
      </c>
      <c r="B109" s="10">
        <v>45538</v>
      </c>
      <c r="C109" s="9" t="s">
        <v>62</v>
      </c>
      <c r="D109" s="9" t="s">
        <v>51</v>
      </c>
      <c r="E109" s="11" t="s">
        <v>37</v>
      </c>
      <c r="F109" s="11" t="s">
        <v>55</v>
      </c>
      <c r="G109" s="3">
        <v>180</v>
      </c>
      <c r="H109" s="3">
        <v>110</v>
      </c>
      <c r="I109" s="12">
        <v>2</v>
      </c>
      <c r="J109" s="9" t="s">
        <v>270</v>
      </c>
      <c r="K109" s="9" t="s">
        <v>49</v>
      </c>
      <c r="L109" s="13">
        <v>0</v>
      </c>
      <c r="M109" s="9" t="s">
        <v>34</v>
      </c>
    </row>
    <row r="110" spans="1:13" ht="20.25" customHeight="1" x14ac:dyDescent="0.25">
      <c r="A110" s="9" t="s">
        <v>271</v>
      </c>
      <c r="B110" s="10">
        <v>45538</v>
      </c>
      <c r="C110" s="9" t="s">
        <v>28</v>
      </c>
      <c r="D110" s="9" t="s">
        <v>51</v>
      </c>
      <c r="E110" s="11" t="s">
        <v>30</v>
      </c>
      <c r="F110" s="11" t="s">
        <v>63</v>
      </c>
      <c r="G110" s="3">
        <v>3600</v>
      </c>
      <c r="H110" s="3">
        <v>2550</v>
      </c>
      <c r="I110" s="12">
        <v>3</v>
      </c>
      <c r="J110" s="9" t="s">
        <v>272</v>
      </c>
      <c r="K110" s="9" t="s">
        <v>49</v>
      </c>
      <c r="L110" s="13">
        <v>0</v>
      </c>
      <c r="M110" s="9" t="s">
        <v>34</v>
      </c>
    </row>
    <row r="111" spans="1:13" ht="20.25" customHeight="1" x14ac:dyDescent="0.25">
      <c r="A111" s="9" t="s">
        <v>273</v>
      </c>
      <c r="B111" s="10">
        <v>45539</v>
      </c>
      <c r="C111" s="9" t="s">
        <v>36</v>
      </c>
      <c r="D111" s="9" t="s">
        <v>29</v>
      </c>
      <c r="E111" s="11" t="s">
        <v>30</v>
      </c>
      <c r="F111" s="11" t="s">
        <v>80</v>
      </c>
      <c r="G111" s="3">
        <v>4250</v>
      </c>
      <c r="H111" s="3">
        <v>3000</v>
      </c>
      <c r="I111" s="12">
        <v>5</v>
      </c>
      <c r="J111" s="9" t="s">
        <v>274</v>
      </c>
      <c r="K111" s="9" t="s">
        <v>49</v>
      </c>
      <c r="L111" s="13">
        <v>0</v>
      </c>
      <c r="M111" s="9" t="s">
        <v>34</v>
      </c>
    </row>
    <row r="112" spans="1:13" ht="20.25" customHeight="1" x14ac:dyDescent="0.25">
      <c r="A112" s="9" t="s">
        <v>275</v>
      </c>
      <c r="B112" s="10">
        <v>45540</v>
      </c>
      <c r="C112" s="9" t="s">
        <v>62</v>
      </c>
      <c r="D112" s="9" t="s">
        <v>51</v>
      </c>
      <c r="E112" s="11" t="s">
        <v>58</v>
      </c>
      <c r="F112" s="11" t="s">
        <v>68</v>
      </c>
      <c r="G112" s="3">
        <v>350</v>
      </c>
      <c r="H112" s="3">
        <v>220</v>
      </c>
      <c r="I112" s="12">
        <v>1</v>
      </c>
      <c r="J112" s="9" t="s">
        <v>276</v>
      </c>
      <c r="K112" s="9" t="s">
        <v>33</v>
      </c>
      <c r="L112" s="13">
        <v>1</v>
      </c>
      <c r="M112" s="9" t="s">
        <v>34</v>
      </c>
    </row>
    <row r="113" spans="1:13" ht="20.25" customHeight="1" x14ac:dyDescent="0.25">
      <c r="A113" s="9" t="s">
        <v>277</v>
      </c>
      <c r="B113" s="10">
        <v>45540</v>
      </c>
      <c r="C113" s="9" t="s">
        <v>36</v>
      </c>
      <c r="D113" s="9" t="s">
        <v>29</v>
      </c>
      <c r="E113" s="11" t="s">
        <v>43</v>
      </c>
      <c r="F113" s="11" t="s">
        <v>47</v>
      </c>
      <c r="G113" s="3">
        <v>220</v>
      </c>
      <c r="H113" s="3">
        <v>130</v>
      </c>
      <c r="I113" s="12">
        <v>2</v>
      </c>
      <c r="J113" s="9" t="s">
        <v>278</v>
      </c>
      <c r="K113" s="9" t="s">
        <v>33</v>
      </c>
      <c r="L113" s="13">
        <v>1</v>
      </c>
      <c r="M113" s="9" t="s">
        <v>34</v>
      </c>
    </row>
    <row r="114" spans="1:13" ht="20.25" customHeight="1" x14ac:dyDescent="0.25">
      <c r="A114" s="9" t="s">
        <v>279</v>
      </c>
      <c r="B114" s="10">
        <v>45540</v>
      </c>
      <c r="C114" s="9" t="s">
        <v>54</v>
      </c>
      <c r="D114" s="9" t="s">
        <v>29</v>
      </c>
      <c r="E114" s="11" t="s">
        <v>58</v>
      </c>
      <c r="F114" s="11" t="s">
        <v>68</v>
      </c>
      <c r="G114" s="3">
        <v>-350</v>
      </c>
      <c r="H114" s="3">
        <v>-220</v>
      </c>
      <c r="I114" s="12">
        <v>-1</v>
      </c>
      <c r="J114" s="9" t="s">
        <v>280</v>
      </c>
      <c r="K114" s="9" t="s">
        <v>49</v>
      </c>
      <c r="L114" s="13">
        <v>0</v>
      </c>
      <c r="M114" s="9" t="s">
        <v>76</v>
      </c>
    </row>
    <row r="115" spans="1:13" ht="20.25" customHeight="1" x14ac:dyDescent="0.25">
      <c r="A115" s="9" t="s">
        <v>281</v>
      </c>
      <c r="B115" s="10">
        <v>45540</v>
      </c>
      <c r="C115" s="9" t="s">
        <v>71</v>
      </c>
      <c r="D115" s="9" t="s">
        <v>51</v>
      </c>
      <c r="E115" s="11" t="s">
        <v>58</v>
      </c>
      <c r="F115" s="11" t="s">
        <v>87</v>
      </c>
      <c r="G115" s="3">
        <v>180</v>
      </c>
      <c r="H115" s="3">
        <v>110</v>
      </c>
      <c r="I115" s="12">
        <v>1</v>
      </c>
      <c r="J115" s="9" t="s">
        <v>282</v>
      </c>
      <c r="K115" s="9" t="s">
        <v>49</v>
      </c>
      <c r="L115" s="13">
        <v>0</v>
      </c>
      <c r="M115" s="9" t="s">
        <v>34</v>
      </c>
    </row>
    <row r="116" spans="1:13" ht="20.25" customHeight="1" x14ac:dyDescent="0.25">
      <c r="A116" s="9" t="s">
        <v>283</v>
      </c>
      <c r="B116" s="10">
        <v>45540</v>
      </c>
      <c r="C116" s="9" t="s">
        <v>36</v>
      </c>
      <c r="D116" s="9" t="s">
        <v>51</v>
      </c>
      <c r="E116" s="11" t="s">
        <v>37</v>
      </c>
      <c r="F116" s="11" t="s">
        <v>55</v>
      </c>
      <c r="G116" s="3">
        <v>180</v>
      </c>
      <c r="H116" s="3">
        <v>110</v>
      </c>
      <c r="I116" s="12">
        <v>2</v>
      </c>
      <c r="J116" s="9" t="s">
        <v>284</v>
      </c>
      <c r="K116" s="9" t="s">
        <v>49</v>
      </c>
      <c r="L116" s="13">
        <v>0</v>
      </c>
      <c r="M116" s="9" t="s">
        <v>34</v>
      </c>
    </row>
    <row r="117" spans="1:13" ht="20.25" customHeight="1" x14ac:dyDescent="0.25">
      <c r="A117" s="9" t="s">
        <v>285</v>
      </c>
      <c r="B117" s="10">
        <v>45540</v>
      </c>
      <c r="C117" s="9" t="s">
        <v>28</v>
      </c>
      <c r="D117" s="9" t="s">
        <v>29</v>
      </c>
      <c r="E117" s="11" t="s">
        <v>37</v>
      </c>
      <c r="F117" s="11" t="s">
        <v>72</v>
      </c>
      <c r="G117" s="3">
        <v>220</v>
      </c>
      <c r="H117" s="3">
        <v>130</v>
      </c>
      <c r="I117" s="12">
        <v>1</v>
      </c>
      <c r="J117" s="9" t="s">
        <v>286</v>
      </c>
      <c r="K117" s="9" t="s">
        <v>49</v>
      </c>
      <c r="L117" s="13">
        <v>0</v>
      </c>
      <c r="M117" s="9" t="s">
        <v>34</v>
      </c>
    </row>
    <row r="118" spans="1:13" ht="20.25" customHeight="1" x14ac:dyDescent="0.25">
      <c r="A118" s="9" t="s">
        <v>287</v>
      </c>
      <c r="B118" s="10">
        <v>45540</v>
      </c>
      <c r="C118" s="9" t="s">
        <v>28</v>
      </c>
      <c r="D118" s="9" t="s">
        <v>51</v>
      </c>
      <c r="E118" s="11" t="s">
        <v>30</v>
      </c>
      <c r="F118" s="11" t="s">
        <v>80</v>
      </c>
      <c r="G118" s="3">
        <v>850</v>
      </c>
      <c r="H118" s="3">
        <v>600</v>
      </c>
      <c r="I118" s="12">
        <v>1</v>
      </c>
      <c r="J118" s="9" t="s">
        <v>288</v>
      </c>
      <c r="K118" s="9" t="s">
        <v>49</v>
      </c>
      <c r="L118" s="13">
        <v>0</v>
      </c>
      <c r="M118" s="9" t="s">
        <v>34</v>
      </c>
    </row>
    <row r="119" spans="1:13" ht="20.25" customHeight="1" x14ac:dyDescent="0.25">
      <c r="A119" s="9" t="s">
        <v>289</v>
      </c>
      <c r="B119" s="10">
        <v>45541</v>
      </c>
      <c r="C119" s="9" t="s">
        <v>41</v>
      </c>
      <c r="D119" s="9" t="s">
        <v>51</v>
      </c>
      <c r="E119" s="11" t="s">
        <v>58</v>
      </c>
      <c r="F119" s="11" t="s">
        <v>59</v>
      </c>
      <c r="G119" s="3">
        <v>-150</v>
      </c>
      <c r="H119" s="3">
        <v>-90</v>
      </c>
      <c r="I119" s="12">
        <v>-1</v>
      </c>
      <c r="J119" s="9" t="s">
        <v>290</v>
      </c>
      <c r="K119" s="9" t="s">
        <v>49</v>
      </c>
      <c r="L119" s="13">
        <v>0</v>
      </c>
      <c r="M119" s="9" t="s">
        <v>76</v>
      </c>
    </row>
    <row r="120" spans="1:13" ht="20.25" customHeight="1" x14ac:dyDescent="0.25">
      <c r="A120" s="9" t="s">
        <v>291</v>
      </c>
      <c r="B120" s="10">
        <v>45541</v>
      </c>
      <c r="C120" s="9" t="s">
        <v>36</v>
      </c>
      <c r="D120" s="9" t="s">
        <v>51</v>
      </c>
      <c r="E120" s="11" t="s">
        <v>30</v>
      </c>
      <c r="F120" s="11" t="s">
        <v>80</v>
      </c>
      <c r="G120" s="3">
        <v>1700</v>
      </c>
      <c r="H120" s="3">
        <v>1200</v>
      </c>
      <c r="I120" s="12">
        <v>2</v>
      </c>
      <c r="J120" s="9" t="s">
        <v>292</v>
      </c>
      <c r="K120" s="9" t="s">
        <v>49</v>
      </c>
      <c r="L120" s="13">
        <v>0</v>
      </c>
      <c r="M120" s="9" t="s">
        <v>34</v>
      </c>
    </row>
    <row r="121" spans="1:13" ht="20.25" customHeight="1" x14ac:dyDescent="0.25">
      <c r="A121" s="9" t="s">
        <v>293</v>
      </c>
      <c r="B121" s="10">
        <v>45543</v>
      </c>
      <c r="C121" s="9" t="s">
        <v>71</v>
      </c>
      <c r="D121" s="9" t="s">
        <v>51</v>
      </c>
      <c r="E121" s="11" t="s">
        <v>43</v>
      </c>
      <c r="F121" s="11" t="s">
        <v>47</v>
      </c>
      <c r="G121" s="3">
        <v>440</v>
      </c>
      <c r="H121" s="3">
        <v>260</v>
      </c>
      <c r="I121" s="12">
        <v>4</v>
      </c>
      <c r="J121" s="9" t="s">
        <v>294</v>
      </c>
      <c r="K121" s="9" t="s">
        <v>33</v>
      </c>
      <c r="L121" s="13">
        <v>1</v>
      </c>
      <c r="M121" s="9" t="s">
        <v>34</v>
      </c>
    </row>
    <row r="122" spans="1:13" ht="20.25" customHeight="1" x14ac:dyDescent="0.25">
      <c r="A122" s="9" t="s">
        <v>295</v>
      </c>
      <c r="B122" s="10">
        <v>45543</v>
      </c>
      <c r="C122" s="9" t="s">
        <v>36</v>
      </c>
      <c r="D122" s="9" t="s">
        <v>51</v>
      </c>
      <c r="E122" s="11" t="s">
        <v>30</v>
      </c>
      <c r="F122" s="11" t="s">
        <v>80</v>
      </c>
      <c r="G122" s="3">
        <v>850</v>
      </c>
      <c r="H122" s="3">
        <v>600</v>
      </c>
      <c r="I122" s="12">
        <v>1</v>
      </c>
      <c r="J122" s="9" t="s">
        <v>296</v>
      </c>
      <c r="K122" s="9" t="s">
        <v>33</v>
      </c>
      <c r="L122" s="13">
        <v>1</v>
      </c>
      <c r="M122" s="9" t="s">
        <v>34</v>
      </c>
    </row>
    <row r="123" spans="1:13" ht="20.25" customHeight="1" x14ac:dyDescent="0.25">
      <c r="A123" s="9" t="s">
        <v>297</v>
      </c>
      <c r="B123" s="10">
        <v>45544</v>
      </c>
      <c r="C123" s="9" t="s">
        <v>71</v>
      </c>
      <c r="D123" s="9" t="s">
        <v>29</v>
      </c>
      <c r="E123" s="11" t="s">
        <v>58</v>
      </c>
      <c r="F123" s="11" t="s">
        <v>87</v>
      </c>
      <c r="G123" s="3">
        <v>180</v>
      </c>
      <c r="H123" s="3">
        <v>110</v>
      </c>
      <c r="I123" s="12">
        <v>1</v>
      </c>
      <c r="J123" s="9" t="s">
        <v>298</v>
      </c>
      <c r="K123" s="9" t="s">
        <v>49</v>
      </c>
      <c r="L123" s="13">
        <v>0</v>
      </c>
      <c r="M123" s="9" t="s">
        <v>34</v>
      </c>
    </row>
    <row r="124" spans="1:13" ht="20.25" customHeight="1" x14ac:dyDescent="0.25">
      <c r="A124" s="9" t="s">
        <v>299</v>
      </c>
      <c r="B124" s="10">
        <v>45544</v>
      </c>
      <c r="C124" s="9" t="s">
        <v>54</v>
      </c>
      <c r="D124" s="9" t="s">
        <v>29</v>
      </c>
      <c r="E124" s="11" t="s">
        <v>30</v>
      </c>
      <c r="F124" s="11" t="s">
        <v>63</v>
      </c>
      <c r="G124" s="3">
        <v>3600</v>
      </c>
      <c r="H124" s="3">
        <v>2550</v>
      </c>
      <c r="I124" s="12">
        <v>3</v>
      </c>
      <c r="J124" s="9" t="s">
        <v>300</v>
      </c>
      <c r="K124" s="9" t="s">
        <v>49</v>
      </c>
      <c r="L124" s="13">
        <v>0</v>
      </c>
      <c r="M124" s="9" t="s">
        <v>34</v>
      </c>
    </row>
    <row r="125" spans="1:13" ht="20.25" customHeight="1" x14ac:dyDescent="0.25">
      <c r="A125" s="9" t="s">
        <v>301</v>
      </c>
      <c r="B125" s="10">
        <v>45545</v>
      </c>
      <c r="C125" s="9" t="s">
        <v>62</v>
      </c>
      <c r="D125" s="9" t="s">
        <v>29</v>
      </c>
      <c r="E125" s="11" t="s">
        <v>30</v>
      </c>
      <c r="F125" s="11" t="s">
        <v>31</v>
      </c>
      <c r="G125" s="3">
        <v>650</v>
      </c>
      <c r="H125" s="3">
        <v>450</v>
      </c>
      <c r="I125" s="12">
        <v>1</v>
      </c>
      <c r="J125" s="9" t="s">
        <v>302</v>
      </c>
      <c r="K125" s="9" t="s">
        <v>49</v>
      </c>
      <c r="L125" s="13">
        <v>0</v>
      </c>
      <c r="M125" s="9" t="s">
        <v>34</v>
      </c>
    </row>
    <row r="126" spans="1:13" ht="20.25" customHeight="1" x14ac:dyDescent="0.25">
      <c r="A126" s="9" t="s">
        <v>303</v>
      </c>
      <c r="B126" s="10">
        <v>45545</v>
      </c>
      <c r="C126" s="9" t="s">
        <v>36</v>
      </c>
      <c r="D126" s="9" t="s">
        <v>29</v>
      </c>
      <c r="E126" s="11" t="s">
        <v>43</v>
      </c>
      <c r="F126" s="11" t="s">
        <v>47</v>
      </c>
      <c r="G126" s="3">
        <v>110</v>
      </c>
      <c r="H126" s="3">
        <v>65</v>
      </c>
      <c r="I126" s="12">
        <v>1</v>
      </c>
      <c r="J126" s="9" t="s">
        <v>304</v>
      </c>
      <c r="K126" s="9" t="s">
        <v>49</v>
      </c>
      <c r="L126" s="13">
        <v>0</v>
      </c>
      <c r="M126" s="9" t="s">
        <v>34</v>
      </c>
    </row>
    <row r="127" spans="1:13" ht="20.25" customHeight="1" x14ac:dyDescent="0.25">
      <c r="A127" s="9" t="s">
        <v>305</v>
      </c>
      <c r="B127" s="10">
        <v>45545</v>
      </c>
      <c r="C127" s="9" t="s">
        <v>54</v>
      </c>
      <c r="D127" s="9" t="s">
        <v>51</v>
      </c>
      <c r="E127" s="11" t="s">
        <v>30</v>
      </c>
      <c r="F127" s="11" t="s">
        <v>80</v>
      </c>
      <c r="G127" s="3">
        <v>850</v>
      </c>
      <c r="H127" s="3">
        <v>600</v>
      </c>
      <c r="I127" s="12">
        <v>1</v>
      </c>
      <c r="J127" s="9" t="s">
        <v>306</v>
      </c>
      <c r="K127" s="9" t="s">
        <v>49</v>
      </c>
      <c r="L127" s="13">
        <v>0</v>
      </c>
      <c r="M127" s="9" t="s">
        <v>34</v>
      </c>
    </row>
    <row r="128" spans="1:13" ht="20.25" customHeight="1" x14ac:dyDescent="0.25">
      <c r="A128" s="9" t="s">
        <v>307</v>
      </c>
      <c r="B128" s="10">
        <v>45546</v>
      </c>
      <c r="C128" s="9" t="s">
        <v>41</v>
      </c>
      <c r="D128" s="9" t="s">
        <v>51</v>
      </c>
      <c r="E128" s="11" t="s">
        <v>30</v>
      </c>
      <c r="F128" s="11" t="s">
        <v>31</v>
      </c>
      <c r="G128" s="3">
        <v>650</v>
      </c>
      <c r="H128" s="3">
        <v>450</v>
      </c>
      <c r="I128" s="12">
        <v>1</v>
      </c>
      <c r="J128" s="9" t="s">
        <v>308</v>
      </c>
      <c r="K128" s="9" t="s">
        <v>33</v>
      </c>
      <c r="L128" s="13">
        <v>1</v>
      </c>
      <c r="M128" s="9" t="s">
        <v>34</v>
      </c>
    </row>
    <row r="129" spans="1:13" ht="20.25" customHeight="1" x14ac:dyDescent="0.25">
      <c r="A129" s="9" t="s">
        <v>309</v>
      </c>
      <c r="B129" s="10">
        <v>45546</v>
      </c>
      <c r="C129" s="9" t="s">
        <v>71</v>
      </c>
      <c r="D129" s="9" t="s">
        <v>29</v>
      </c>
      <c r="E129" s="11" t="s">
        <v>58</v>
      </c>
      <c r="F129" s="11" t="s">
        <v>68</v>
      </c>
      <c r="G129" s="3">
        <v>350</v>
      </c>
      <c r="H129" s="3">
        <v>220</v>
      </c>
      <c r="I129" s="12">
        <v>1</v>
      </c>
      <c r="J129" s="9" t="s">
        <v>310</v>
      </c>
      <c r="K129" s="9" t="s">
        <v>33</v>
      </c>
      <c r="L129" s="13">
        <v>1</v>
      </c>
      <c r="M129" s="9" t="s">
        <v>34</v>
      </c>
    </row>
    <row r="130" spans="1:13" ht="20.25" customHeight="1" x14ac:dyDescent="0.25">
      <c r="A130" s="9" t="s">
        <v>311</v>
      </c>
      <c r="B130" s="10">
        <v>45546</v>
      </c>
      <c r="C130" s="9" t="s">
        <v>62</v>
      </c>
      <c r="D130" s="9" t="s">
        <v>29</v>
      </c>
      <c r="E130" s="11" t="s">
        <v>30</v>
      </c>
      <c r="F130" s="11" t="s">
        <v>63</v>
      </c>
      <c r="G130" s="3">
        <v>2400</v>
      </c>
      <c r="H130" s="3">
        <v>1700</v>
      </c>
      <c r="I130" s="12">
        <v>2</v>
      </c>
      <c r="J130" s="9" t="s">
        <v>312</v>
      </c>
      <c r="K130" s="9" t="s">
        <v>49</v>
      </c>
      <c r="L130" s="13">
        <v>0</v>
      </c>
      <c r="M130" s="9" t="s">
        <v>34</v>
      </c>
    </row>
    <row r="131" spans="1:13" ht="20.25" customHeight="1" x14ac:dyDescent="0.25">
      <c r="A131" s="9" t="s">
        <v>313</v>
      </c>
      <c r="B131" s="10">
        <v>45547</v>
      </c>
      <c r="C131" s="9" t="s">
        <v>28</v>
      </c>
      <c r="D131" s="9" t="s">
        <v>29</v>
      </c>
      <c r="E131" s="11" t="s">
        <v>30</v>
      </c>
      <c r="F131" s="11" t="s">
        <v>63</v>
      </c>
      <c r="G131" s="3">
        <v>1200</v>
      </c>
      <c r="H131" s="3">
        <v>850</v>
      </c>
      <c r="I131" s="12">
        <v>1</v>
      </c>
      <c r="J131" s="9" t="s">
        <v>314</v>
      </c>
      <c r="K131" s="9" t="s">
        <v>49</v>
      </c>
      <c r="L131" s="13">
        <v>0</v>
      </c>
      <c r="M131" s="9" t="s">
        <v>34</v>
      </c>
    </row>
    <row r="132" spans="1:13" ht="20.25" customHeight="1" x14ac:dyDescent="0.25">
      <c r="A132" s="9" t="s">
        <v>315</v>
      </c>
      <c r="B132" s="10">
        <v>45547</v>
      </c>
      <c r="C132" s="9" t="s">
        <v>28</v>
      </c>
      <c r="D132" s="9" t="s">
        <v>29</v>
      </c>
      <c r="E132" s="11" t="s">
        <v>43</v>
      </c>
      <c r="F132" s="11" t="s">
        <v>47</v>
      </c>
      <c r="G132" s="3">
        <v>330</v>
      </c>
      <c r="H132" s="3">
        <v>195</v>
      </c>
      <c r="I132" s="12">
        <v>3</v>
      </c>
      <c r="J132" s="9" t="s">
        <v>316</v>
      </c>
      <c r="K132" s="9" t="s">
        <v>33</v>
      </c>
      <c r="L132" s="13">
        <v>1</v>
      </c>
      <c r="M132" s="9" t="s">
        <v>34</v>
      </c>
    </row>
    <row r="133" spans="1:13" ht="20.25" customHeight="1" x14ac:dyDescent="0.25">
      <c r="A133" s="9" t="s">
        <v>317</v>
      </c>
      <c r="B133" s="10">
        <v>45547</v>
      </c>
      <c r="C133" s="9" t="s">
        <v>54</v>
      </c>
      <c r="D133" s="9" t="s">
        <v>51</v>
      </c>
      <c r="E133" s="11" t="s">
        <v>43</v>
      </c>
      <c r="F133" s="11" t="s">
        <v>47</v>
      </c>
      <c r="G133" s="3">
        <v>220</v>
      </c>
      <c r="H133" s="3">
        <v>130</v>
      </c>
      <c r="I133" s="12">
        <v>2</v>
      </c>
      <c r="J133" s="9" t="s">
        <v>318</v>
      </c>
      <c r="K133" s="9" t="s">
        <v>49</v>
      </c>
      <c r="L133" s="13">
        <v>0</v>
      </c>
      <c r="M133" s="9" t="s">
        <v>34</v>
      </c>
    </row>
    <row r="134" spans="1:13" ht="20.25" customHeight="1" x14ac:dyDescent="0.25">
      <c r="A134" s="9" t="s">
        <v>319</v>
      </c>
      <c r="B134" s="10">
        <v>45547</v>
      </c>
      <c r="C134" s="9" t="s">
        <v>36</v>
      </c>
      <c r="D134" s="9" t="s">
        <v>29</v>
      </c>
      <c r="E134" s="11" t="s">
        <v>43</v>
      </c>
      <c r="F134" s="11" t="s">
        <v>47</v>
      </c>
      <c r="G134" s="3">
        <v>220</v>
      </c>
      <c r="H134" s="3">
        <v>130</v>
      </c>
      <c r="I134" s="12">
        <v>2</v>
      </c>
      <c r="J134" s="9" t="s">
        <v>320</v>
      </c>
      <c r="K134" s="9" t="s">
        <v>49</v>
      </c>
      <c r="L134" s="13">
        <v>0</v>
      </c>
      <c r="M134" s="9" t="s">
        <v>34</v>
      </c>
    </row>
    <row r="135" spans="1:13" ht="20.25" customHeight="1" x14ac:dyDescent="0.25">
      <c r="A135" s="9" t="s">
        <v>321</v>
      </c>
      <c r="B135" s="10">
        <v>45547</v>
      </c>
      <c r="C135" s="9" t="s">
        <v>54</v>
      </c>
      <c r="D135" s="9" t="s">
        <v>51</v>
      </c>
      <c r="E135" s="11" t="s">
        <v>43</v>
      </c>
      <c r="F135" s="11" t="s">
        <v>44</v>
      </c>
      <c r="G135" s="3">
        <v>45</v>
      </c>
      <c r="H135" s="3">
        <v>20</v>
      </c>
      <c r="I135" s="12">
        <v>1</v>
      </c>
      <c r="J135" s="9" t="s">
        <v>322</v>
      </c>
      <c r="K135" s="9" t="s">
        <v>49</v>
      </c>
      <c r="L135" s="13">
        <v>0</v>
      </c>
      <c r="M135" s="9" t="s">
        <v>34</v>
      </c>
    </row>
    <row r="136" spans="1:13" ht="20.25" customHeight="1" x14ac:dyDescent="0.25">
      <c r="A136" s="9" t="s">
        <v>323</v>
      </c>
      <c r="B136" s="10">
        <v>45547</v>
      </c>
      <c r="C136" s="9" t="s">
        <v>54</v>
      </c>
      <c r="D136" s="9" t="s">
        <v>42</v>
      </c>
      <c r="E136" s="11" t="s">
        <v>37</v>
      </c>
      <c r="F136" s="11" t="s">
        <v>55</v>
      </c>
      <c r="G136" s="3">
        <v>90</v>
      </c>
      <c r="H136" s="3">
        <v>55</v>
      </c>
      <c r="I136" s="12">
        <v>1</v>
      </c>
      <c r="J136" s="9" t="s">
        <v>324</v>
      </c>
      <c r="K136" s="9" t="s">
        <v>49</v>
      </c>
      <c r="L136" s="13">
        <v>0</v>
      </c>
      <c r="M136" s="9" t="s">
        <v>34</v>
      </c>
    </row>
    <row r="137" spans="1:13" ht="20.25" customHeight="1" x14ac:dyDescent="0.25">
      <c r="A137" s="9" t="s">
        <v>325</v>
      </c>
      <c r="B137" s="10">
        <v>45548</v>
      </c>
      <c r="C137" s="9" t="s">
        <v>28</v>
      </c>
      <c r="D137" s="9" t="s">
        <v>29</v>
      </c>
      <c r="E137" s="11" t="s">
        <v>30</v>
      </c>
      <c r="F137" s="11" t="s">
        <v>80</v>
      </c>
      <c r="G137" s="3">
        <v>850</v>
      </c>
      <c r="H137" s="3">
        <v>600</v>
      </c>
      <c r="I137" s="12">
        <v>1</v>
      </c>
      <c r="J137" s="9" t="s">
        <v>326</v>
      </c>
      <c r="K137" s="9" t="s">
        <v>33</v>
      </c>
      <c r="L137" s="13">
        <v>1</v>
      </c>
      <c r="M137" s="9" t="s">
        <v>34</v>
      </c>
    </row>
    <row r="138" spans="1:13" ht="20.25" customHeight="1" x14ac:dyDescent="0.25">
      <c r="A138" s="9" t="s">
        <v>327</v>
      </c>
      <c r="B138" s="10">
        <v>45549</v>
      </c>
      <c r="C138" s="9" t="s">
        <v>54</v>
      </c>
      <c r="D138" s="9" t="s">
        <v>29</v>
      </c>
      <c r="E138" s="11" t="s">
        <v>43</v>
      </c>
      <c r="F138" s="11" t="s">
        <v>44</v>
      </c>
      <c r="G138" s="3">
        <v>135</v>
      </c>
      <c r="H138" s="3">
        <v>60</v>
      </c>
      <c r="I138" s="12">
        <v>3</v>
      </c>
      <c r="J138" s="9" t="s">
        <v>328</v>
      </c>
      <c r="K138" s="9" t="s">
        <v>49</v>
      </c>
      <c r="L138" s="13">
        <v>0</v>
      </c>
      <c r="M138" s="9" t="s">
        <v>34</v>
      </c>
    </row>
    <row r="139" spans="1:13" ht="20.25" customHeight="1" x14ac:dyDescent="0.25">
      <c r="A139" s="9" t="s">
        <v>329</v>
      </c>
      <c r="B139" s="10">
        <v>45549</v>
      </c>
      <c r="C139" s="9" t="s">
        <v>36</v>
      </c>
      <c r="D139" s="9" t="s">
        <v>29</v>
      </c>
      <c r="E139" s="11" t="s">
        <v>43</v>
      </c>
      <c r="F139" s="11" t="s">
        <v>90</v>
      </c>
      <c r="G139" s="3">
        <v>150</v>
      </c>
      <c r="H139" s="3">
        <v>90</v>
      </c>
      <c r="I139" s="12">
        <v>1</v>
      </c>
      <c r="J139" s="9" t="s">
        <v>330</v>
      </c>
      <c r="K139" s="9" t="s">
        <v>33</v>
      </c>
      <c r="L139" s="13">
        <v>1</v>
      </c>
      <c r="M139" s="9" t="s">
        <v>34</v>
      </c>
    </row>
    <row r="140" spans="1:13" ht="20.25" customHeight="1" x14ac:dyDescent="0.25">
      <c r="A140" s="9" t="s">
        <v>331</v>
      </c>
      <c r="B140" s="10">
        <v>45550</v>
      </c>
      <c r="C140" s="9" t="s">
        <v>71</v>
      </c>
      <c r="D140" s="9" t="s">
        <v>51</v>
      </c>
      <c r="E140" s="11" t="s">
        <v>43</v>
      </c>
      <c r="F140" s="11" t="s">
        <v>47</v>
      </c>
      <c r="G140" s="3">
        <v>-110</v>
      </c>
      <c r="H140" s="3">
        <v>-65</v>
      </c>
      <c r="I140" s="12">
        <v>-1</v>
      </c>
      <c r="J140" s="9" t="s">
        <v>332</v>
      </c>
      <c r="K140" s="9" t="s">
        <v>49</v>
      </c>
      <c r="L140" s="13">
        <v>0</v>
      </c>
      <c r="M140" s="9" t="s">
        <v>76</v>
      </c>
    </row>
    <row r="141" spans="1:13" ht="20.25" customHeight="1" x14ac:dyDescent="0.25">
      <c r="A141" s="9" t="s">
        <v>333</v>
      </c>
      <c r="B141" s="10">
        <v>45550</v>
      </c>
      <c r="C141" s="9" t="s">
        <v>71</v>
      </c>
      <c r="D141" s="9" t="s">
        <v>51</v>
      </c>
      <c r="E141" s="11" t="s">
        <v>58</v>
      </c>
      <c r="F141" s="11" t="s">
        <v>68</v>
      </c>
      <c r="G141" s="3">
        <v>350</v>
      </c>
      <c r="H141" s="3">
        <v>220</v>
      </c>
      <c r="I141" s="12">
        <v>1</v>
      </c>
      <c r="J141" s="9" t="s">
        <v>334</v>
      </c>
      <c r="K141" s="9" t="s">
        <v>33</v>
      </c>
      <c r="L141" s="13">
        <v>1</v>
      </c>
      <c r="M141" s="9" t="s">
        <v>34</v>
      </c>
    </row>
    <row r="142" spans="1:13" ht="20.25" customHeight="1" x14ac:dyDescent="0.25">
      <c r="A142" s="9" t="s">
        <v>335</v>
      </c>
      <c r="B142" s="10">
        <v>45550</v>
      </c>
      <c r="C142" s="9" t="s">
        <v>62</v>
      </c>
      <c r="D142" s="9" t="s">
        <v>29</v>
      </c>
      <c r="E142" s="11" t="s">
        <v>30</v>
      </c>
      <c r="F142" s="11" t="s">
        <v>31</v>
      </c>
      <c r="G142" s="3">
        <v>650</v>
      </c>
      <c r="H142" s="3">
        <v>450</v>
      </c>
      <c r="I142" s="12">
        <v>1</v>
      </c>
      <c r="J142" s="9" t="s">
        <v>336</v>
      </c>
      <c r="K142" s="9" t="s">
        <v>49</v>
      </c>
      <c r="L142" s="13">
        <v>0</v>
      </c>
      <c r="M142" s="9" t="s">
        <v>34</v>
      </c>
    </row>
    <row r="143" spans="1:13" ht="20.25" customHeight="1" x14ac:dyDescent="0.25">
      <c r="A143" s="9" t="s">
        <v>337</v>
      </c>
      <c r="B143" s="10">
        <v>45550</v>
      </c>
      <c r="C143" s="9" t="s">
        <v>28</v>
      </c>
      <c r="D143" s="9" t="s">
        <v>51</v>
      </c>
      <c r="E143" s="11" t="s">
        <v>43</v>
      </c>
      <c r="F143" s="11" t="s">
        <v>44</v>
      </c>
      <c r="G143" s="3">
        <v>45</v>
      </c>
      <c r="H143" s="3">
        <v>20</v>
      </c>
      <c r="I143" s="12">
        <v>1</v>
      </c>
      <c r="J143" s="9" t="s">
        <v>338</v>
      </c>
      <c r="K143" s="9" t="s">
        <v>49</v>
      </c>
      <c r="L143" s="13">
        <v>0</v>
      </c>
      <c r="M143" s="9" t="s">
        <v>34</v>
      </c>
    </row>
    <row r="144" spans="1:13" ht="20.25" customHeight="1" x14ac:dyDescent="0.25">
      <c r="A144" s="9" t="s">
        <v>339</v>
      </c>
      <c r="B144" s="10">
        <v>45551</v>
      </c>
      <c r="C144" s="9" t="s">
        <v>36</v>
      </c>
      <c r="D144" s="9" t="s">
        <v>42</v>
      </c>
      <c r="E144" s="11" t="s">
        <v>37</v>
      </c>
      <c r="F144" s="11" t="s">
        <v>38</v>
      </c>
      <c r="G144" s="3">
        <v>120</v>
      </c>
      <c r="H144" s="3">
        <v>70</v>
      </c>
      <c r="I144" s="12">
        <v>1</v>
      </c>
      <c r="J144" s="9" t="s">
        <v>340</v>
      </c>
      <c r="K144" s="9" t="s">
        <v>49</v>
      </c>
      <c r="L144" s="13">
        <v>0</v>
      </c>
      <c r="M144" s="9" t="s">
        <v>34</v>
      </c>
    </row>
    <row r="145" spans="1:13" ht="20.25" customHeight="1" x14ac:dyDescent="0.25">
      <c r="A145" s="9" t="s">
        <v>341</v>
      </c>
      <c r="B145" s="10">
        <v>45552</v>
      </c>
      <c r="C145" s="9" t="s">
        <v>41</v>
      </c>
      <c r="D145" s="9" t="s">
        <v>29</v>
      </c>
      <c r="E145" s="11" t="s">
        <v>43</v>
      </c>
      <c r="F145" s="11" t="s">
        <v>90</v>
      </c>
      <c r="G145" s="3">
        <v>150</v>
      </c>
      <c r="H145" s="3">
        <v>90</v>
      </c>
      <c r="I145" s="12">
        <v>1</v>
      </c>
      <c r="J145" s="9" t="s">
        <v>342</v>
      </c>
      <c r="K145" s="9" t="s">
        <v>49</v>
      </c>
      <c r="L145" s="13">
        <v>0</v>
      </c>
      <c r="M145" s="9" t="s">
        <v>34</v>
      </c>
    </row>
    <row r="146" spans="1:13" ht="20.25" customHeight="1" x14ac:dyDescent="0.25">
      <c r="A146" s="9" t="s">
        <v>343</v>
      </c>
      <c r="B146" s="10">
        <v>45552</v>
      </c>
      <c r="C146" s="9" t="s">
        <v>41</v>
      </c>
      <c r="D146" s="9" t="s">
        <v>29</v>
      </c>
      <c r="E146" s="11" t="s">
        <v>30</v>
      </c>
      <c r="F146" s="11" t="s">
        <v>31</v>
      </c>
      <c r="G146" s="3">
        <v>650</v>
      </c>
      <c r="H146" s="3">
        <v>450</v>
      </c>
      <c r="I146" s="12">
        <v>1</v>
      </c>
      <c r="J146" s="9" t="s">
        <v>344</v>
      </c>
      <c r="K146" s="9" t="s">
        <v>49</v>
      </c>
      <c r="L146" s="13">
        <v>0</v>
      </c>
      <c r="M146" s="9" t="s">
        <v>34</v>
      </c>
    </row>
    <row r="147" spans="1:13" ht="20.25" customHeight="1" x14ac:dyDescent="0.25">
      <c r="A147" s="9" t="s">
        <v>345</v>
      </c>
      <c r="B147" s="10">
        <v>45553</v>
      </c>
      <c r="C147" s="9" t="s">
        <v>41</v>
      </c>
      <c r="D147" s="9" t="s">
        <v>42</v>
      </c>
      <c r="E147" s="11" t="s">
        <v>30</v>
      </c>
      <c r="F147" s="11" t="s">
        <v>80</v>
      </c>
      <c r="G147" s="3">
        <v>850</v>
      </c>
      <c r="H147" s="3">
        <v>600</v>
      </c>
      <c r="I147" s="12">
        <v>1</v>
      </c>
      <c r="J147" s="9" t="s">
        <v>346</v>
      </c>
      <c r="K147" s="9" t="s">
        <v>49</v>
      </c>
      <c r="L147" s="13">
        <v>0</v>
      </c>
      <c r="M147" s="9" t="s">
        <v>34</v>
      </c>
    </row>
    <row r="148" spans="1:13" ht="20.25" customHeight="1" x14ac:dyDescent="0.25">
      <c r="A148" s="9" t="s">
        <v>347</v>
      </c>
      <c r="B148" s="10">
        <v>45555</v>
      </c>
      <c r="C148" s="9" t="s">
        <v>28</v>
      </c>
      <c r="D148" s="9" t="s">
        <v>51</v>
      </c>
      <c r="E148" s="11" t="s">
        <v>30</v>
      </c>
      <c r="F148" s="11" t="s">
        <v>63</v>
      </c>
      <c r="G148" s="3">
        <v>2400</v>
      </c>
      <c r="H148" s="3">
        <v>1700</v>
      </c>
      <c r="I148" s="12">
        <v>2</v>
      </c>
      <c r="J148" s="9" t="s">
        <v>326</v>
      </c>
      <c r="K148" s="9" t="s">
        <v>33</v>
      </c>
      <c r="L148" s="13">
        <v>1</v>
      </c>
      <c r="M148" s="9" t="s">
        <v>34</v>
      </c>
    </row>
    <row r="149" spans="1:13" ht="20.25" customHeight="1" x14ac:dyDescent="0.25">
      <c r="A149" s="9" t="s">
        <v>348</v>
      </c>
      <c r="B149" s="10">
        <v>45555</v>
      </c>
      <c r="C149" s="9" t="s">
        <v>28</v>
      </c>
      <c r="D149" s="9" t="s">
        <v>42</v>
      </c>
      <c r="E149" s="11" t="s">
        <v>43</v>
      </c>
      <c r="F149" s="11" t="s">
        <v>47</v>
      </c>
      <c r="G149" s="3">
        <v>110</v>
      </c>
      <c r="H149" s="3">
        <v>65</v>
      </c>
      <c r="I149" s="12">
        <v>1</v>
      </c>
      <c r="J149" s="9" t="s">
        <v>349</v>
      </c>
      <c r="K149" s="9" t="s">
        <v>49</v>
      </c>
      <c r="L149" s="13">
        <v>0</v>
      </c>
      <c r="M149" s="9" t="s">
        <v>34</v>
      </c>
    </row>
    <row r="150" spans="1:13" ht="20.25" customHeight="1" x14ac:dyDescent="0.25">
      <c r="A150" s="9" t="s">
        <v>350</v>
      </c>
      <c r="B150" s="10">
        <v>45555</v>
      </c>
      <c r="C150" s="9" t="s">
        <v>36</v>
      </c>
      <c r="D150" s="9" t="s">
        <v>51</v>
      </c>
      <c r="E150" s="11" t="s">
        <v>30</v>
      </c>
      <c r="F150" s="11" t="s">
        <v>80</v>
      </c>
      <c r="G150" s="3">
        <v>850</v>
      </c>
      <c r="H150" s="3">
        <v>600</v>
      </c>
      <c r="I150" s="12">
        <v>1</v>
      </c>
      <c r="J150" s="9" t="s">
        <v>351</v>
      </c>
      <c r="K150" s="9" t="s">
        <v>49</v>
      </c>
      <c r="L150" s="13">
        <v>0</v>
      </c>
      <c r="M150" s="9" t="s">
        <v>34</v>
      </c>
    </row>
    <row r="151" spans="1:13" ht="20.25" customHeight="1" x14ac:dyDescent="0.25">
      <c r="A151" s="9" t="s">
        <v>352</v>
      </c>
      <c r="B151" s="10">
        <v>45555</v>
      </c>
      <c r="C151" s="9" t="s">
        <v>54</v>
      </c>
      <c r="D151" s="9" t="s">
        <v>42</v>
      </c>
      <c r="E151" s="11" t="s">
        <v>30</v>
      </c>
      <c r="F151" s="11" t="s">
        <v>31</v>
      </c>
      <c r="G151" s="3">
        <v>650</v>
      </c>
      <c r="H151" s="3">
        <v>450</v>
      </c>
      <c r="I151" s="12">
        <v>1</v>
      </c>
      <c r="J151" s="9" t="s">
        <v>145</v>
      </c>
      <c r="K151" s="9" t="s">
        <v>49</v>
      </c>
      <c r="L151" s="13">
        <v>0</v>
      </c>
      <c r="M151" s="9" t="s">
        <v>34</v>
      </c>
    </row>
    <row r="152" spans="1:13" ht="20.25" customHeight="1" x14ac:dyDescent="0.25">
      <c r="A152" s="9" t="s">
        <v>353</v>
      </c>
      <c r="B152" s="10">
        <v>45557</v>
      </c>
      <c r="C152" s="9" t="s">
        <v>28</v>
      </c>
      <c r="D152" s="9" t="s">
        <v>29</v>
      </c>
      <c r="E152" s="11" t="s">
        <v>43</v>
      </c>
      <c r="F152" s="11" t="s">
        <v>90</v>
      </c>
      <c r="G152" s="3">
        <v>150</v>
      </c>
      <c r="H152" s="3">
        <v>90</v>
      </c>
      <c r="I152" s="12">
        <v>1</v>
      </c>
      <c r="J152" s="9" t="s">
        <v>354</v>
      </c>
      <c r="K152" s="9" t="s">
        <v>33</v>
      </c>
      <c r="L152" s="13">
        <v>1</v>
      </c>
      <c r="M152" s="9" t="s">
        <v>34</v>
      </c>
    </row>
    <row r="153" spans="1:13" ht="20.25" customHeight="1" x14ac:dyDescent="0.25">
      <c r="A153" s="9" t="s">
        <v>355</v>
      </c>
      <c r="B153" s="10">
        <v>45557</v>
      </c>
      <c r="C153" s="9" t="s">
        <v>28</v>
      </c>
      <c r="D153" s="9" t="s">
        <v>51</v>
      </c>
      <c r="E153" s="11" t="s">
        <v>30</v>
      </c>
      <c r="F153" s="11" t="s">
        <v>80</v>
      </c>
      <c r="G153" s="3">
        <v>2550</v>
      </c>
      <c r="H153" s="3">
        <v>1800</v>
      </c>
      <c r="I153" s="12">
        <v>3</v>
      </c>
      <c r="J153" s="9" t="s">
        <v>356</v>
      </c>
      <c r="K153" s="9" t="s">
        <v>33</v>
      </c>
      <c r="L153" s="13">
        <v>1</v>
      </c>
      <c r="M153" s="9" t="s">
        <v>34</v>
      </c>
    </row>
    <row r="154" spans="1:13" ht="20.25" customHeight="1" x14ac:dyDescent="0.25">
      <c r="A154" s="9" t="s">
        <v>357</v>
      </c>
      <c r="B154" s="10">
        <v>45558</v>
      </c>
      <c r="C154" s="9" t="s">
        <v>62</v>
      </c>
      <c r="D154" s="9" t="s">
        <v>42</v>
      </c>
      <c r="E154" s="11" t="s">
        <v>43</v>
      </c>
      <c r="F154" s="11" t="s">
        <v>90</v>
      </c>
      <c r="G154" s="3">
        <v>150</v>
      </c>
      <c r="H154" s="3">
        <v>90</v>
      </c>
      <c r="I154" s="12">
        <v>1</v>
      </c>
      <c r="J154" s="9" t="s">
        <v>358</v>
      </c>
      <c r="K154" s="9" t="s">
        <v>33</v>
      </c>
      <c r="L154" s="13">
        <v>1</v>
      </c>
      <c r="M154" s="9" t="s">
        <v>34</v>
      </c>
    </row>
    <row r="155" spans="1:13" ht="20.25" customHeight="1" x14ac:dyDescent="0.25">
      <c r="A155" s="9" t="s">
        <v>359</v>
      </c>
      <c r="B155" s="10">
        <v>45558</v>
      </c>
      <c r="C155" s="9" t="s">
        <v>28</v>
      </c>
      <c r="D155" s="9" t="s">
        <v>51</v>
      </c>
      <c r="E155" s="11" t="s">
        <v>58</v>
      </c>
      <c r="F155" s="11" t="s">
        <v>59</v>
      </c>
      <c r="G155" s="3">
        <v>300</v>
      </c>
      <c r="H155" s="3">
        <v>180</v>
      </c>
      <c r="I155" s="12">
        <v>2</v>
      </c>
      <c r="J155" s="9" t="s">
        <v>360</v>
      </c>
      <c r="K155" s="9" t="s">
        <v>49</v>
      </c>
      <c r="L155" s="13">
        <v>0</v>
      </c>
      <c r="M155" s="9" t="s">
        <v>34</v>
      </c>
    </row>
    <row r="156" spans="1:13" ht="20.25" customHeight="1" x14ac:dyDescent="0.25">
      <c r="A156" s="9" t="s">
        <v>361</v>
      </c>
      <c r="B156" s="10">
        <v>45559</v>
      </c>
      <c r="C156" s="9" t="s">
        <v>62</v>
      </c>
      <c r="D156" s="9" t="s">
        <v>29</v>
      </c>
      <c r="E156" s="11" t="s">
        <v>43</v>
      </c>
      <c r="F156" s="11" t="s">
        <v>90</v>
      </c>
      <c r="G156" s="3">
        <v>450</v>
      </c>
      <c r="H156" s="3">
        <v>270</v>
      </c>
      <c r="I156" s="12">
        <v>3</v>
      </c>
      <c r="J156" s="9" t="s">
        <v>362</v>
      </c>
      <c r="K156" s="9" t="s">
        <v>33</v>
      </c>
      <c r="L156" s="13">
        <v>1</v>
      </c>
      <c r="M156" s="9" t="s">
        <v>34</v>
      </c>
    </row>
    <row r="157" spans="1:13" ht="20.25" customHeight="1" x14ac:dyDescent="0.25">
      <c r="A157" s="9" t="s">
        <v>363</v>
      </c>
      <c r="B157" s="10">
        <v>45559</v>
      </c>
      <c r="C157" s="9" t="s">
        <v>41</v>
      </c>
      <c r="D157" s="9" t="s">
        <v>29</v>
      </c>
      <c r="E157" s="11" t="s">
        <v>37</v>
      </c>
      <c r="F157" s="11" t="s">
        <v>55</v>
      </c>
      <c r="G157" s="3">
        <v>180</v>
      </c>
      <c r="H157" s="3">
        <v>110</v>
      </c>
      <c r="I157" s="12">
        <v>2</v>
      </c>
      <c r="J157" s="9" t="s">
        <v>364</v>
      </c>
      <c r="K157" s="9" t="s">
        <v>49</v>
      </c>
      <c r="L157" s="13">
        <v>0</v>
      </c>
      <c r="M157" s="9" t="s">
        <v>34</v>
      </c>
    </row>
    <row r="158" spans="1:13" ht="20.25" customHeight="1" x14ac:dyDescent="0.25">
      <c r="A158" s="9" t="s">
        <v>365</v>
      </c>
      <c r="B158" s="10">
        <v>45559</v>
      </c>
      <c r="C158" s="9" t="s">
        <v>54</v>
      </c>
      <c r="D158" s="9" t="s">
        <v>29</v>
      </c>
      <c r="E158" s="11" t="s">
        <v>43</v>
      </c>
      <c r="F158" s="11" t="s">
        <v>90</v>
      </c>
      <c r="G158" s="3">
        <v>150</v>
      </c>
      <c r="H158" s="3">
        <v>90</v>
      </c>
      <c r="I158" s="12">
        <v>1</v>
      </c>
      <c r="J158" s="9" t="s">
        <v>366</v>
      </c>
      <c r="K158" s="9" t="s">
        <v>49</v>
      </c>
      <c r="L158" s="13">
        <v>0</v>
      </c>
      <c r="M158" s="9" t="s">
        <v>34</v>
      </c>
    </row>
    <row r="159" spans="1:13" ht="20.25" customHeight="1" x14ac:dyDescent="0.25">
      <c r="A159" s="9" t="s">
        <v>367</v>
      </c>
      <c r="B159" s="10">
        <v>45560</v>
      </c>
      <c r="C159" s="9" t="s">
        <v>28</v>
      </c>
      <c r="D159" s="9" t="s">
        <v>29</v>
      </c>
      <c r="E159" s="11" t="s">
        <v>43</v>
      </c>
      <c r="F159" s="11" t="s">
        <v>47</v>
      </c>
      <c r="G159" s="3">
        <v>110</v>
      </c>
      <c r="H159" s="3">
        <v>65</v>
      </c>
      <c r="I159" s="12">
        <v>1</v>
      </c>
      <c r="J159" s="9" t="s">
        <v>368</v>
      </c>
      <c r="K159" s="9" t="s">
        <v>49</v>
      </c>
      <c r="L159" s="13">
        <v>0</v>
      </c>
      <c r="M159" s="9" t="s">
        <v>34</v>
      </c>
    </row>
    <row r="160" spans="1:13" ht="20.25" customHeight="1" x14ac:dyDescent="0.25">
      <c r="A160" s="9" t="s">
        <v>369</v>
      </c>
      <c r="B160" s="10">
        <v>45560</v>
      </c>
      <c r="C160" s="9" t="s">
        <v>28</v>
      </c>
      <c r="D160" s="9" t="s">
        <v>29</v>
      </c>
      <c r="E160" s="11" t="s">
        <v>30</v>
      </c>
      <c r="F160" s="11" t="s">
        <v>80</v>
      </c>
      <c r="G160" s="3">
        <v>1700</v>
      </c>
      <c r="H160" s="3">
        <v>1200</v>
      </c>
      <c r="I160" s="12">
        <v>2</v>
      </c>
      <c r="J160" s="9" t="s">
        <v>370</v>
      </c>
      <c r="K160" s="9" t="s">
        <v>33</v>
      </c>
      <c r="L160" s="13">
        <v>1</v>
      </c>
      <c r="M160" s="9" t="s">
        <v>34</v>
      </c>
    </row>
    <row r="161" spans="1:13" ht="20.25" customHeight="1" x14ac:dyDescent="0.25">
      <c r="A161" s="9" t="s">
        <v>371</v>
      </c>
      <c r="B161" s="10">
        <v>45560</v>
      </c>
      <c r="C161" s="9" t="s">
        <v>41</v>
      </c>
      <c r="D161" s="9" t="s">
        <v>51</v>
      </c>
      <c r="E161" s="11" t="s">
        <v>30</v>
      </c>
      <c r="F161" s="11" t="s">
        <v>80</v>
      </c>
      <c r="G161" s="3">
        <v>850</v>
      </c>
      <c r="H161" s="3">
        <v>600</v>
      </c>
      <c r="I161" s="12">
        <v>1</v>
      </c>
      <c r="J161" s="9" t="s">
        <v>372</v>
      </c>
      <c r="K161" s="9" t="s">
        <v>33</v>
      </c>
      <c r="L161" s="13">
        <v>1</v>
      </c>
      <c r="M161" s="9" t="s">
        <v>34</v>
      </c>
    </row>
    <row r="162" spans="1:13" ht="20.25" customHeight="1" x14ac:dyDescent="0.25">
      <c r="A162" s="9" t="s">
        <v>373</v>
      </c>
      <c r="B162" s="10">
        <v>45560</v>
      </c>
      <c r="C162" s="9" t="s">
        <v>54</v>
      </c>
      <c r="D162" s="9" t="s">
        <v>51</v>
      </c>
      <c r="E162" s="11" t="s">
        <v>30</v>
      </c>
      <c r="F162" s="11" t="s">
        <v>31</v>
      </c>
      <c r="G162" s="3">
        <v>1300</v>
      </c>
      <c r="H162" s="3">
        <v>900</v>
      </c>
      <c r="I162" s="12">
        <v>2</v>
      </c>
      <c r="J162" s="9" t="s">
        <v>374</v>
      </c>
      <c r="K162" s="9" t="s">
        <v>33</v>
      </c>
      <c r="L162" s="13">
        <v>1</v>
      </c>
      <c r="M162" s="9" t="s">
        <v>34</v>
      </c>
    </row>
    <row r="163" spans="1:13" ht="20.25" customHeight="1" x14ac:dyDescent="0.25">
      <c r="A163" s="9" t="s">
        <v>375</v>
      </c>
      <c r="B163" s="10">
        <v>45561</v>
      </c>
      <c r="C163" s="9" t="s">
        <v>41</v>
      </c>
      <c r="D163" s="9" t="s">
        <v>29</v>
      </c>
      <c r="E163" s="11" t="s">
        <v>37</v>
      </c>
      <c r="F163" s="11" t="s">
        <v>38</v>
      </c>
      <c r="G163" s="3">
        <v>240</v>
      </c>
      <c r="H163" s="3">
        <v>140</v>
      </c>
      <c r="I163" s="12">
        <v>2</v>
      </c>
      <c r="J163" s="9" t="s">
        <v>376</v>
      </c>
      <c r="K163" s="9" t="s">
        <v>49</v>
      </c>
      <c r="L163" s="13">
        <v>0</v>
      </c>
      <c r="M163" s="9" t="s">
        <v>34</v>
      </c>
    </row>
    <row r="164" spans="1:13" ht="20.25" customHeight="1" x14ac:dyDescent="0.25">
      <c r="A164" s="9" t="s">
        <v>377</v>
      </c>
      <c r="B164" s="10">
        <v>45562</v>
      </c>
      <c r="C164" s="9" t="s">
        <v>28</v>
      </c>
      <c r="D164" s="9" t="s">
        <v>51</v>
      </c>
      <c r="E164" s="11" t="s">
        <v>43</v>
      </c>
      <c r="F164" s="11" t="s">
        <v>90</v>
      </c>
      <c r="G164" s="3">
        <v>300</v>
      </c>
      <c r="H164" s="3">
        <v>180</v>
      </c>
      <c r="I164" s="12">
        <v>2</v>
      </c>
      <c r="J164" s="9" t="s">
        <v>378</v>
      </c>
      <c r="K164" s="9" t="s">
        <v>33</v>
      </c>
      <c r="L164" s="13">
        <v>1</v>
      </c>
      <c r="M164" s="9" t="s">
        <v>34</v>
      </c>
    </row>
    <row r="165" spans="1:13" ht="20.25" customHeight="1" x14ac:dyDescent="0.25">
      <c r="A165" s="9" t="s">
        <v>379</v>
      </c>
      <c r="B165" s="10">
        <v>45563</v>
      </c>
      <c r="C165" s="9" t="s">
        <v>41</v>
      </c>
      <c r="D165" s="9" t="s">
        <v>29</v>
      </c>
      <c r="E165" s="11" t="s">
        <v>58</v>
      </c>
      <c r="F165" s="11" t="s">
        <v>68</v>
      </c>
      <c r="G165" s="3">
        <v>350</v>
      </c>
      <c r="H165" s="3">
        <v>220</v>
      </c>
      <c r="I165" s="12">
        <v>1</v>
      </c>
      <c r="J165" s="9" t="s">
        <v>380</v>
      </c>
      <c r="K165" s="9" t="s">
        <v>49</v>
      </c>
      <c r="L165" s="13">
        <v>0</v>
      </c>
      <c r="M165" s="9" t="s">
        <v>34</v>
      </c>
    </row>
    <row r="166" spans="1:13" ht="20.25" customHeight="1" x14ac:dyDescent="0.25">
      <c r="A166" s="9" t="s">
        <v>381</v>
      </c>
      <c r="B166" s="10">
        <v>45563</v>
      </c>
      <c r="C166" s="9" t="s">
        <v>41</v>
      </c>
      <c r="D166" s="9" t="s">
        <v>29</v>
      </c>
      <c r="E166" s="11" t="s">
        <v>37</v>
      </c>
      <c r="F166" s="11" t="s">
        <v>72</v>
      </c>
      <c r="G166" s="3">
        <v>440</v>
      </c>
      <c r="H166" s="3">
        <v>260</v>
      </c>
      <c r="I166" s="12">
        <v>2</v>
      </c>
      <c r="J166" s="9" t="s">
        <v>382</v>
      </c>
      <c r="K166" s="9" t="s">
        <v>33</v>
      </c>
      <c r="L166" s="13">
        <v>1</v>
      </c>
      <c r="M166" s="9" t="s">
        <v>34</v>
      </c>
    </row>
    <row r="167" spans="1:13" ht="20.25" customHeight="1" x14ac:dyDescent="0.25">
      <c r="A167" s="9" t="s">
        <v>383</v>
      </c>
      <c r="B167" s="10">
        <v>45563</v>
      </c>
      <c r="C167" s="9" t="s">
        <v>41</v>
      </c>
      <c r="D167" s="9" t="s">
        <v>29</v>
      </c>
      <c r="E167" s="11" t="s">
        <v>30</v>
      </c>
      <c r="F167" s="11" t="s">
        <v>80</v>
      </c>
      <c r="G167" s="3">
        <v>1700</v>
      </c>
      <c r="H167" s="3">
        <v>1200</v>
      </c>
      <c r="I167" s="12">
        <v>2</v>
      </c>
      <c r="J167" s="9" t="s">
        <v>384</v>
      </c>
      <c r="K167" s="9" t="s">
        <v>49</v>
      </c>
      <c r="L167" s="13">
        <v>0</v>
      </c>
      <c r="M167" s="9" t="s">
        <v>34</v>
      </c>
    </row>
    <row r="168" spans="1:13" ht="20.25" customHeight="1" x14ac:dyDescent="0.25">
      <c r="A168" s="9" t="s">
        <v>385</v>
      </c>
      <c r="B168" s="10">
        <v>45564</v>
      </c>
      <c r="C168" s="9" t="s">
        <v>41</v>
      </c>
      <c r="D168" s="9" t="s">
        <v>51</v>
      </c>
      <c r="E168" s="11" t="s">
        <v>43</v>
      </c>
      <c r="F168" s="11" t="s">
        <v>44</v>
      </c>
      <c r="G168" s="3">
        <v>90</v>
      </c>
      <c r="H168" s="3">
        <v>40</v>
      </c>
      <c r="I168" s="12">
        <v>2</v>
      </c>
      <c r="J168" s="9" t="s">
        <v>386</v>
      </c>
      <c r="K168" s="9" t="s">
        <v>33</v>
      </c>
      <c r="L168" s="13">
        <v>1</v>
      </c>
      <c r="M168" s="9" t="s">
        <v>34</v>
      </c>
    </row>
    <row r="169" spans="1:13" ht="20.25" customHeight="1" x14ac:dyDescent="0.25">
      <c r="A169" s="9" t="s">
        <v>387</v>
      </c>
      <c r="B169" s="10">
        <v>45564</v>
      </c>
      <c r="C169" s="9" t="s">
        <v>54</v>
      </c>
      <c r="D169" s="9" t="s">
        <v>29</v>
      </c>
      <c r="E169" s="11" t="s">
        <v>43</v>
      </c>
      <c r="F169" s="11" t="s">
        <v>47</v>
      </c>
      <c r="G169" s="3">
        <v>110</v>
      </c>
      <c r="H169" s="3">
        <v>65</v>
      </c>
      <c r="I169" s="12">
        <v>1</v>
      </c>
      <c r="J169" s="9" t="s">
        <v>388</v>
      </c>
      <c r="K169" s="9" t="s">
        <v>49</v>
      </c>
      <c r="L169" s="13">
        <v>0</v>
      </c>
      <c r="M169" s="9" t="s">
        <v>34</v>
      </c>
    </row>
    <row r="170" spans="1:13" ht="20.25" customHeight="1" x14ac:dyDescent="0.25">
      <c r="A170" s="9" t="s">
        <v>389</v>
      </c>
      <c r="B170" s="10">
        <v>45564</v>
      </c>
      <c r="C170" s="9" t="s">
        <v>71</v>
      </c>
      <c r="D170" s="9" t="s">
        <v>29</v>
      </c>
      <c r="E170" s="11" t="s">
        <v>30</v>
      </c>
      <c r="F170" s="11" t="s">
        <v>80</v>
      </c>
      <c r="G170" s="3">
        <v>850</v>
      </c>
      <c r="H170" s="3">
        <v>600</v>
      </c>
      <c r="I170" s="12">
        <v>1</v>
      </c>
      <c r="J170" s="9" t="s">
        <v>390</v>
      </c>
      <c r="K170" s="9" t="s">
        <v>49</v>
      </c>
      <c r="L170" s="13">
        <v>0</v>
      </c>
      <c r="M170" s="9" t="s">
        <v>34</v>
      </c>
    </row>
    <row r="171" spans="1:13" ht="20.25" customHeight="1" x14ac:dyDescent="0.25">
      <c r="A171" s="9" t="s">
        <v>391</v>
      </c>
      <c r="B171" s="10">
        <v>45565</v>
      </c>
      <c r="C171" s="9" t="s">
        <v>28</v>
      </c>
      <c r="D171" s="9" t="s">
        <v>29</v>
      </c>
      <c r="E171" s="11" t="s">
        <v>58</v>
      </c>
      <c r="F171" s="11" t="s">
        <v>87</v>
      </c>
      <c r="G171" s="3">
        <v>-180</v>
      </c>
      <c r="H171" s="3">
        <v>-110</v>
      </c>
      <c r="I171" s="12">
        <v>-1</v>
      </c>
      <c r="J171" s="9" t="s">
        <v>392</v>
      </c>
      <c r="K171" s="9" t="s">
        <v>49</v>
      </c>
      <c r="L171" s="13">
        <v>0</v>
      </c>
      <c r="M171" s="9" t="s">
        <v>76</v>
      </c>
    </row>
    <row r="172" spans="1:13" ht="20.25" customHeight="1" x14ac:dyDescent="0.25">
      <c r="A172" s="9" t="s">
        <v>393</v>
      </c>
      <c r="B172" s="10">
        <v>45566</v>
      </c>
      <c r="C172" s="9" t="s">
        <v>36</v>
      </c>
      <c r="D172" s="9" t="s">
        <v>42</v>
      </c>
      <c r="E172" s="11" t="s">
        <v>30</v>
      </c>
      <c r="F172" s="11" t="s">
        <v>80</v>
      </c>
      <c r="G172" s="3">
        <v>850</v>
      </c>
      <c r="H172" s="3">
        <v>600</v>
      </c>
      <c r="I172" s="12">
        <v>1</v>
      </c>
      <c r="J172" s="9" t="s">
        <v>394</v>
      </c>
      <c r="K172" s="9" t="s">
        <v>33</v>
      </c>
      <c r="L172" s="13">
        <v>1</v>
      </c>
      <c r="M172" s="9" t="s">
        <v>34</v>
      </c>
    </row>
    <row r="173" spans="1:13" ht="20.25" customHeight="1" x14ac:dyDescent="0.25">
      <c r="A173" s="9" t="s">
        <v>395</v>
      </c>
      <c r="B173" s="10">
        <v>45566</v>
      </c>
      <c r="C173" s="9" t="s">
        <v>28</v>
      </c>
      <c r="D173" s="9" t="s">
        <v>29</v>
      </c>
      <c r="E173" s="11" t="s">
        <v>37</v>
      </c>
      <c r="F173" s="11" t="s">
        <v>72</v>
      </c>
      <c r="G173" s="3">
        <v>220</v>
      </c>
      <c r="H173" s="3">
        <v>130</v>
      </c>
      <c r="I173" s="12">
        <v>1</v>
      </c>
      <c r="J173" s="9" t="s">
        <v>197</v>
      </c>
      <c r="K173" s="9" t="s">
        <v>33</v>
      </c>
      <c r="L173" s="13">
        <v>1</v>
      </c>
      <c r="M173" s="9" t="s">
        <v>34</v>
      </c>
    </row>
    <row r="174" spans="1:13" ht="20.25" customHeight="1" x14ac:dyDescent="0.25">
      <c r="A174" s="9" t="s">
        <v>396</v>
      </c>
      <c r="B174" s="10">
        <v>45566</v>
      </c>
      <c r="C174" s="9" t="s">
        <v>36</v>
      </c>
      <c r="D174" s="9" t="s">
        <v>51</v>
      </c>
      <c r="E174" s="11" t="s">
        <v>58</v>
      </c>
      <c r="F174" s="11" t="s">
        <v>59</v>
      </c>
      <c r="G174" s="3">
        <v>450</v>
      </c>
      <c r="H174" s="3">
        <v>270</v>
      </c>
      <c r="I174" s="12">
        <v>3</v>
      </c>
      <c r="J174" s="9" t="s">
        <v>397</v>
      </c>
      <c r="K174" s="9" t="s">
        <v>33</v>
      </c>
      <c r="L174" s="13">
        <v>1</v>
      </c>
      <c r="M174" s="9" t="s">
        <v>34</v>
      </c>
    </row>
    <row r="175" spans="1:13" ht="20.25" customHeight="1" x14ac:dyDescent="0.25">
      <c r="A175" s="9" t="s">
        <v>398</v>
      </c>
      <c r="B175" s="10">
        <v>45566</v>
      </c>
      <c r="C175" s="9" t="s">
        <v>36</v>
      </c>
      <c r="D175" s="9" t="s">
        <v>51</v>
      </c>
      <c r="E175" s="11" t="s">
        <v>30</v>
      </c>
      <c r="F175" s="11" t="s">
        <v>80</v>
      </c>
      <c r="G175" s="3">
        <v>850</v>
      </c>
      <c r="H175" s="3">
        <v>600</v>
      </c>
      <c r="I175" s="12">
        <v>1</v>
      </c>
      <c r="J175" s="9" t="s">
        <v>399</v>
      </c>
      <c r="K175" s="9" t="s">
        <v>33</v>
      </c>
      <c r="L175" s="13">
        <v>1</v>
      </c>
      <c r="M175" s="9" t="s">
        <v>34</v>
      </c>
    </row>
    <row r="176" spans="1:13" ht="20.25" customHeight="1" x14ac:dyDescent="0.25">
      <c r="A176" s="9" t="s">
        <v>400</v>
      </c>
      <c r="B176" s="10">
        <v>45566</v>
      </c>
      <c r="C176" s="9" t="s">
        <v>28</v>
      </c>
      <c r="D176" s="9" t="s">
        <v>51</v>
      </c>
      <c r="E176" s="11" t="s">
        <v>58</v>
      </c>
      <c r="F176" s="11" t="s">
        <v>68</v>
      </c>
      <c r="G176" s="3">
        <v>700</v>
      </c>
      <c r="H176" s="3">
        <v>440</v>
      </c>
      <c r="I176" s="12">
        <v>2</v>
      </c>
      <c r="J176" s="9" t="s">
        <v>401</v>
      </c>
      <c r="K176" s="9" t="s">
        <v>49</v>
      </c>
      <c r="L176" s="13">
        <v>0</v>
      </c>
      <c r="M176" s="9" t="s">
        <v>34</v>
      </c>
    </row>
    <row r="177" spans="1:13" ht="20.25" customHeight="1" x14ac:dyDescent="0.25">
      <c r="A177" s="9" t="s">
        <v>402</v>
      </c>
      <c r="B177" s="10">
        <v>45567</v>
      </c>
      <c r="C177" s="9" t="s">
        <v>36</v>
      </c>
      <c r="D177" s="9" t="s">
        <v>42</v>
      </c>
      <c r="E177" s="11" t="s">
        <v>58</v>
      </c>
      <c r="F177" s="11" t="s">
        <v>59</v>
      </c>
      <c r="G177" s="3">
        <v>150</v>
      </c>
      <c r="H177" s="3">
        <v>90</v>
      </c>
      <c r="I177" s="12">
        <v>1</v>
      </c>
      <c r="J177" s="9" t="s">
        <v>403</v>
      </c>
      <c r="K177" s="9" t="s">
        <v>49</v>
      </c>
      <c r="L177" s="13">
        <v>0</v>
      </c>
      <c r="M177" s="9" t="s">
        <v>34</v>
      </c>
    </row>
    <row r="178" spans="1:13" ht="20.25" customHeight="1" x14ac:dyDescent="0.25">
      <c r="A178" s="9" t="s">
        <v>404</v>
      </c>
      <c r="B178" s="10">
        <v>45567</v>
      </c>
      <c r="C178" s="9" t="s">
        <v>28</v>
      </c>
      <c r="D178" s="9" t="s">
        <v>29</v>
      </c>
      <c r="E178" s="11" t="s">
        <v>58</v>
      </c>
      <c r="F178" s="11" t="s">
        <v>59</v>
      </c>
      <c r="G178" s="3">
        <v>150</v>
      </c>
      <c r="H178" s="3">
        <v>90</v>
      </c>
      <c r="I178" s="12">
        <v>1</v>
      </c>
      <c r="J178" s="9" t="s">
        <v>405</v>
      </c>
      <c r="K178" s="9" t="s">
        <v>49</v>
      </c>
      <c r="L178" s="13">
        <v>0</v>
      </c>
      <c r="M178" s="9" t="s">
        <v>34</v>
      </c>
    </row>
    <row r="179" spans="1:13" ht="20.25" customHeight="1" x14ac:dyDescent="0.25">
      <c r="A179" s="9" t="s">
        <v>406</v>
      </c>
      <c r="B179" s="10">
        <v>45567</v>
      </c>
      <c r="C179" s="9" t="s">
        <v>54</v>
      </c>
      <c r="D179" s="9" t="s">
        <v>29</v>
      </c>
      <c r="E179" s="11" t="s">
        <v>37</v>
      </c>
      <c r="F179" s="11" t="s">
        <v>55</v>
      </c>
      <c r="G179" s="3">
        <v>90</v>
      </c>
      <c r="H179" s="3">
        <v>55</v>
      </c>
      <c r="I179" s="12">
        <v>1</v>
      </c>
      <c r="J179" s="9" t="s">
        <v>407</v>
      </c>
      <c r="K179" s="9" t="s">
        <v>49</v>
      </c>
      <c r="L179" s="13">
        <v>0</v>
      </c>
      <c r="M179" s="9" t="s">
        <v>34</v>
      </c>
    </row>
    <row r="180" spans="1:13" ht="20.25" customHeight="1" x14ac:dyDescent="0.25">
      <c r="A180" s="9" t="s">
        <v>408</v>
      </c>
      <c r="B180" s="10">
        <v>45569</v>
      </c>
      <c r="C180" s="9" t="s">
        <v>62</v>
      </c>
      <c r="D180" s="9" t="s">
        <v>42</v>
      </c>
      <c r="E180" s="11" t="s">
        <v>30</v>
      </c>
      <c r="F180" s="11" t="s">
        <v>63</v>
      </c>
      <c r="G180" s="3">
        <v>1200</v>
      </c>
      <c r="H180" s="3">
        <v>850</v>
      </c>
      <c r="I180" s="12">
        <v>1</v>
      </c>
      <c r="J180" s="9" t="s">
        <v>409</v>
      </c>
      <c r="K180" s="9" t="s">
        <v>49</v>
      </c>
      <c r="L180" s="13">
        <v>0</v>
      </c>
      <c r="M180" s="9" t="s">
        <v>34</v>
      </c>
    </row>
    <row r="181" spans="1:13" ht="20.25" customHeight="1" x14ac:dyDescent="0.25">
      <c r="A181" s="9" t="s">
        <v>410</v>
      </c>
      <c r="B181" s="10">
        <v>45570</v>
      </c>
      <c r="C181" s="9" t="s">
        <v>28</v>
      </c>
      <c r="D181" s="9" t="s">
        <v>29</v>
      </c>
      <c r="E181" s="11" t="s">
        <v>43</v>
      </c>
      <c r="F181" s="11" t="s">
        <v>44</v>
      </c>
      <c r="G181" s="3">
        <v>135</v>
      </c>
      <c r="H181" s="3">
        <v>60</v>
      </c>
      <c r="I181" s="12">
        <v>3</v>
      </c>
      <c r="J181" s="9" t="s">
        <v>411</v>
      </c>
      <c r="K181" s="9" t="s">
        <v>49</v>
      </c>
      <c r="L181" s="13">
        <v>0</v>
      </c>
      <c r="M181" s="9" t="s">
        <v>34</v>
      </c>
    </row>
    <row r="182" spans="1:13" ht="20.25" customHeight="1" x14ac:dyDescent="0.25">
      <c r="A182" s="9" t="s">
        <v>412</v>
      </c>
      <c r="B182" s="10">
        <v>45570</v>
      </c>
      <c r="C182" s="9" t="s">
        <v>62</v>
      </c>
      <c r="D182" s="9" t="s">
        <v>51</v>
      </c>
      <c r="E182" s="11" t="s">
        <v>37</v>
      </c>
      <c r="F182" s="11" t="s">
        <v>38</v>
      </c>
      <c r="G182" s="3">
        <v>120</v>
      </c>
      <c r="H182" s="3">
        <v>70</v>
      </c>
      <c r="I182" s="12">
        <v>1</v>
      </c>
      <c r="J182" s="9" t="s">
        <v>413</v>
      </c>
      <c r="K182" s="9" t="s">
        <v>49</v>
      </c>
      <c r="L182" s="13">
        <v>0</v>
      </c>
      <c r="M182" s="9" t="s">
        <v>34</v>
      </c>
    </row>
    <row r="183" spans="1:13" ht="20.25" customHeight="1" x14ac:dyDescent="0.25">
      <c r="A183" s="9" t="s">
        <v>414</v>
      </c>
      <c r="B183" s="10">
        <v>45570</v>
      </c>
      <c r="C183" s="9" t="s">
        <v>71</v>
      </c>
      <c r="D183" s="9" t="s">
        <v>51</v>
      </c>
      <c r="E183" s="11" t="s">
        <v>58</v>
      </c>
      <c r="F183" s="11" t="s">
        <v>87</v>
      </c>
      <c r="G183" s="3">
        <v>360</v>
      </c>
      <c r="H183" s="3">
        <v>220</v>
      </c>
      <c r="I183" s="12">
        <v>2</v>
      </c>
      <c r="J183" s="9" t="s">
        <v>318</v>
      </c>
      <c r="K183" s="9" t="s">
        <v>33</v>
      </c>
      <c r="L183" s="13">
        <v>1</v>
      </c>
      <c r="M183" s="9" t="s">
        <v>34</v>
      </c>
    </row>
    <row r="184" spans="1:13" ht="20.25" customHeight="1" x14ac:dyDescent="0.25">
      <c r="A184" s="9" t="s">
        <v>415</v>
      </c>
      <c r="B184" s="10">
        <v>45570</v>
      </c>
      <c r="C184" s="9" t="s">
        <v>28</v>
      </c>
      <c r="D184" s="9" t="s">
        <v>51</v>
      </c>
      <c r="E184" s="11" t="s">
        <v>30</v>
      </c>
      <c r="F184" s="11" t="s">
        <v>80</v>
      </c>
      <c r="G184" s="3">
        <v>850</v>
      </c>
      <c r="H184" s="3">
        <v>600</v>
      </c>
      <c r="I184" s="12">
        <v>1</v>
      </c>
      <c r="J184" s="9" t="s">
        <v>416</v>
      </c>
      <c r="K184" s="9" t="s">
        <v>49</v>
      </c>
      <c r="L184" s="13">
        <v>0</v>
      </c>
      <c r="M184" s="9" t="s">
        <v>34</v>
      </c>
    </row>
    <row r="185" spans="1:13" ht="20.25" customHeight="1" x14ac:dyDescent="0.25">
      <c r="A185" s="9" t="s">
        <v>417</v>
      </c>
      <c r="B185" s="10">
        <v>45571</v>
      </c>
      <c r="C185" s="9" t="s">
        <v>28</v>
      </c>
      <c r="D185" s="9" t="s">
        <v>42</v>
      </c>
      <c r="E185" s="11" t="s">
        <v>43</v>
      </c>
      <c r="F185" s="11" t="s">
        <v>47</v>
      </c>
      <c r="G185" s="3">
        <v>-330</v>
      </c>
      <c r="H185" s="3">
        <v>-195</v>
      </c>
      <c r="I185" s="12">
        <v>-3</v>
      </c>
      <c r="J185" s="9" t="s">
        <v>418</v>
      </c>
      <c r="K185" s="9" t="s">
        <v>49</v>
      </c>
      <c r="L185" s="13">
        <v>0</v>
      </c>
      <c r="M185" s="9" t="s">
        <v>76</v>
      </c>
    </row>
    <row r="186" spans="1:13" ht="20.25" customHeight="1" x14ac:dyDescent="0.25">
      <c r="A186" s="9" t="s">
        <v>419</v>
      </c>
      <c r="B186" s="10">
        <v>45571</v>
      </c>
      <c r="C186" s="9" t="s">
        <v>71</v>
      </c>
      <c r="D186" s="9" t="s">
        <v>42</v>
      </c>
      <c r="E186" s="11" t="s">
        <v>43</v>
      </c>
      <c r="F186" s="11" t="s">
        <v>47</v>
      </c>
      <c r="G186" s="3">
        <v>110</v>
      </c>
      <c r="H186" s="3">
        <v>65</v>
      </c>
      <c r="I186" s="12">
        <v>1</v>
      </c>
      <c r="J186" s="9" t="s">
        <v>420</v>
      </c>
      <c r="K186" s="9" t="s">
        <v>49</v>
      </c>
      <c r="L186" s="13">
        <v>0</v>
      </c>
      <c r="M186" s="9" t="s">
        <v>34</v>
      </c>
    </row>
    <row r="187" spans="1:13" ht="20.25" customHeight="1" x14ac:dyDescent="0.25">
      <c r="A187" s="9" t="s">
        <v>421</v>
      </c>
      <c r="B187" s="10">
        <v>45571</v>
      </c>
      <c r="C187" s="9" t="s">
        <v>41</v>
      </c>
      <c r="D187" s="9" t="s">
        <v>51</v>
      </c>
      <c r="E187" s="11" t="s">
        <v>30</v>
      </c>
      <c r="F187" s="11" t="s">
        <v>31</v>
      </c>
      <c r="G187" s="3">
        <v>-650</v>
      </c>
      <c r="H187" s="3">
        <v>-450</v>
      </c>
      <c r="I187" s="12">
        <v>-1</v>
      </c>
      <c r="J187" s="9" t="s">
        <v>422</v>
      </c>
      <c r="K187" s="9" t="s">
        <v>49</v>
      </c>
      <c r="L187" s="13">
        <v>0</v>
      </c>
      <c r="M187" s="9" t="s">
        <v>76</v>
      </c>
    </row>
    <row r="188" spans="1:13" ht="20.25" customHeight="1" x14ac:dyDescent="0.25">
      <c r="A188" s="9" t="s">
        <v>423</v>
      </c>
      <c r="B188" s="10">
        <v>45572</v>
      </c>
      <c r="C188" s="9" t="s">
        <v>41</v>
      </c>
      <c r="D188" s="9" t="s">
        <v>29</v>
      </c>
      <c r="E188" s="11" t="s">
        <v>58</v>
      </c>
      <c r="F188" s="11" t="s">
        <v>68</v>
      </c>
      <c r="G188" s="3">
        <v>350</v>
      </c>
      <c r="H188" s="3">
        <v>220</v>
      </c>
      <c r="I188" s="12">
        <v>1</v>
      </c>
      <c r="J188" s="9" t="s">
        <v>424</v>
      </c>
      <c r="K188" s="9" t="s">
        <v>49</v>
      </c>
      <c r="L188" s="13">
        <v>0</v>
      </c>
      <c r="M188" s="9" t="s">
        <v>34</v>
      </c>
    </row>
    <row r="189" spans="1:13" ht="20.25" customHeight="1" x14ac:dyDescent="0.25">
      <c r="A189" s="9" t="s">
        <v>425</v>
      </c>
      <c r="B189" s="10">
        <v>45573</v>
      </c>
      <c r="C189" s="9" t="s">
        <v>28</v>
      </c>
      <c r="D189" s="9" t="s">
        <v>42</v>
      </c>
      <c r="E189" s="11" t="s">
        <v>30</v>
      </c>
      <c r="F189" s="11" t="s">
        <v>80</v>
      </c>
      <c r="G189" s="3">
        <v>850</v>
      </c>
      <c r="H189" s="3">
        <v>600</v>
      </c>
      <c r="I189" s="12">
        <v>1</v>
      </c>
      <c r="J189" s="9" t="s">
        <v>302</v>
      </c>
      <c r="K189" s="9" t="s">
        <v>33</v>
      </c>
      <c r="L189" s="13">
        <v>1</v>
      </c>
      <c r="M189" s="9" t="s">
        <v>34</v>
      </c>
    </row>
    <row r="190" spans="1:13" ht="20.25" customHeight="1" x14ac:dyDescent="0.25">
      <c r="A190" s="9" t="s">
        <v>426</v>
      </c>
      <c r="B190" s="10">
        <v>45573</v>
      </c>
      <c r="C190" s="9" t="s">
        <v>28</v>
      </c>
      <c r="D190" s="9" t="s">
        <v>29</v>
      </c>
      <c r="E190" s="11" t="s">
        <v>37</v>
      </c>
      <c r="F190" s="11" t="s">
        <v>72</v>
      </c>
      <c r="G190" s="3">
        <v>220</v>
      </c>
      <c r="H190" s="3">
        <v>130</v>
      </c>
      <c r="I190" s="12">
        <v>1</v>
      </c>
      <c r="J190" s="9" t="s">
        <v>427</v>
      </c>
      <c r="K190" s="9" t="s">
        <v>49</v>
      </c>
      <c r="L190" s="13">
        <v>0</v>
      </c>
      <c r="M190" s="9" t="s">
        <v>34</v>
      </c>
    </row>
    <row r="191" spans="1:13" ht="20.25" customHeight="1" x14ac:dyDescent="0.25">
      <c r="A191" s="9" t="s">
        <v>428</v>
      </c>
      <c r="B191" s="10">
        <v>45573</v>
      </c>
      <c r="C191" s="9" t="s">
        <v>36</v>
      </c>
      <c r="D191" s="9" t="s">
        <v>29</v>
      </c>
      <c r="E191" s="11" t="s">
        <v>30</v>
      </c>
      <c r="F191" s="11" t="s">
        <v>31</v>
      </c>
      <c r="G191" s="3">
        <v>1950</v>
      </c>
      <c r="H191" s="3">
        <v>1350</v>
      </c>
      <c r="I191" s="12">
        <v>3</v>
      </c>
      <c r="J191" s="9" t="s">
        <v>429</v>
      </c>
      <c r="K191" s="9" t="s">
        <v>49</v>
      </c>
      <c r="L191" s="13">
        <v>0</v>
      </c>
      <c r="M191" s="9" t="s">
        <v>34</v>
      </c>
    </row>
    <row r="192" spans="1:13" ht="20.25" customHeight="1" x14ac:dyDescent="0.25">
      <c r="A192" s="9" t="s">
        <v>430</v>
      </c>
      <c r="B192" s="10">
        <v>45573</v>
      </c>
      <c r="C192" s="9" t="s">
        <v>28</v>
      </c>
      <c r="D192" s="9" t="s">
        <v>42</v>
      </c>
      <c r="E192" s="11" t="s">
        <v>58</v>
      </c>
      <c r="F192" s="11" t="s">
        <v>68</v>
      </c>
      <c r="G192" s="3">
        <v>700</v>
      </c>
      <c r="H192" s="3">
        <v>440</v>
      </c>
      <c r="I192" s="12">
        <v>2</v>
      </c>
      <c r="J192" s="9" t="s">
        <v>431</v>
      </c>
      <c r="K192" s="9" t="s">
        <v>49</v>
      </c>
      <c r="L192" s="13">
        <v>0</v>
      </c>
      <c r="M192" s="9" t="s">
        <v>34</v>
      </c>
    </row>
    <row r="193" spans="1:13" ht="20.25" customHeight="1" x14ac:dyDescent="0.25">
      <c r="A193" s="9" t="s">
        <v>432</v>
      </c>
      <c r="B193" s="10">
        <v>45573</v>
      </c>
      <c r="C193" s="9" t="s">
        <v>28</v>
      </c>
      <c r="D193" s="9" t="s">
        <v>29</v>
      </c>
      <c r="E193" s="11" t="s">
        <v>37</v>
      </c>
      <c r="F193" s="11" t="s">
        <v>72</v>
      </c>
      <c r="G193" s="3">
        <v>-440</v>
      </c>
      <c r="H193" s="3">
        <v>-260</v>
      </c>
      <c r="I193" s="12">
        <v>-2</v>
      </c>
      <c r="J193" s="9" t="s">
        <v>433</v>
      </c>
      <c r="K193" s="9" t="s">
        <v>49</v>
      </c>
      <c r="L193" s="13">
        <v>0</v>
      </c>
      <c r="M193" s="9" t="s">
        <v>76</v>
      </c>
    </row>
    <row r="194" spans="1:13" ht="20.25" customHeight="1" x14ac:dyDescent="0.25">
      <c r="A194" s="9" t="s">
        <v>434</v>
      </c>
      <c r="B194" s="10">
        <v>45574</v>
      </c>
      <c r="C194" s="9" t="s">
        <v>28</v>
      </c>
      <c r="D194" s="9" t="s">
        <v>29</v>
      </c>
      <c r="E194" s="11" t="s">
        <v>37</v>
      </c>
      <c r="F194" s="11" t="s">
        <v>72</v>
      </c>
      <c r="G194" s="3">
        <v>220</v>
      </c>
      <c r="H194" s="3">
        <v>130</v>
      </c>
      <c r="I194" s="12">
        <v>1</v>
      </c>
      <c r="J194" s="9" t="s">
        <v>169</v>
      </c>
      <c r="K194" s="9" t="s">
        <v>49</v>
      </c>
      <c r="L194" s="13">
        <v>0</v>
      </c>
      <c r="M194" s="9" t="s">
        <v>34</v>
      </c>
    </row>
    <row r="195" spans="1:13" ht="20.25" customHeight="1" x14ac:dyDescent="0.25">
      <c r="A195" s="9" t="s">
        <v>435</v>
      </c>
      <c r="B195" s="10">
        <v>45575</v>
      </c>
      <c r="C195" s="9" t="s">
        <v>54</v>
      </c>
      <c r="D195" s="9" t="s">
        <v>29</v>
      </c>
      <c r="E195" s="11" t="s">
        <v>58</v>
      </c>
      <c r="F195" s="11" t="s">
        <v>59</v>
      </c>
      <c r="G195" s="3">
        <v>150</v>
      </c>
      <c r="H195" s="3">
        <v>90</v>
      </c>
      <c r="I195" s="12">
        <v>1</v>
      </c>
      <c r="J195" s="9" t="s">
        <v>436</v>
      </c>
      <c r="K195" s="9" t="s">
        <v>33</v>
      </c>
      <c r="L195" s="13">
        <v>1</v>
      </c>
      <c r="M195" s="9" t="s">
        <v>34</v>
      </c>
    </row>
    <row r="196" spans="1:13" ht="20.25" customHeight="1" x14ac:dyDescent="0.25">
      <c r="A196" s="9" t="s">
        <v>437</v>
      </c>
      <c r="B196" s="10">
        <v>45575</v>
      </c>
      <c r="C196" s="9" t="s">
        <v>62</v>
      </c>
      <c r="D196" s="9" t="s">
        <v>42</v>
      </c>
      <c r="E196" s="11" t="s">
        <v>58</v>
      </c>
      <c r="F196" s="11" t="s">
        <v>87</v>
      </c>
      <c r="G196" s="3">
        <v>180</v>
      </c>
      <c r="H196" s="3">
        <v>110</v>
      </c>
      <c r="I196" s="12">
        <v>1</v>
      </c>
      <c r="J196" s="9" t="s">
        <v>438</v>
      </c>
      <c r="K196" s="9" t="s">
        <v>49</v>
      </c>
      <c r="L196" s="13">
        <v>0</v>
      </c>
      <c r="M196" s="9" t="s">
        <v>34</v>
      </c>
    </row>
    <row r="197" spans="1:13" ht="20.25" customHeight="1" x14ac:dyDescent="0.25">
      <c r="A197" s="9" t="s">
        <v>439</v>
      </c>
      <c r="B197" s="10">
        <v>45575</v>
      </c>
      <c r="C197" s="9" t="s">
        <v>36</v>
      </c>
      <c r="D197" s="9" t="s">
        <v>51</v>
      </c>
      <c r="E197" s="11" t="s">
        <v>37</v>
      </c>
      <c r="F197" s="11" t="s">
        <v>55</v>
      </c>
      <c r="G197" s="3">
        <v>450</v>
      </c>
      <c r="H197" s="3">
        <v>275</v>
      </c>
      <c r="I197" s="12">
        <v>5</v>
      </c>
      <c r="J197" s="9" t="s">
        <v>440</v>
      </c>
      <c r="K197" s="9" t="s">
        <v>33</v>
      </c>
      <c r="L197" s="13">
        <v>1</v>
      </c>
      <c r="M197" s="9" t="s">
        <v>34</v>
      </c>
    </row>
    <row r="198" spans="1:13" ht="20.25" customHeight="1" x14ac:dyDescent="0.25">
      <c r="A198" s="9" t="s">
        <v>441</v>
      </c>
      <c r="B198" s="10">
        <v>45576</v>
      </c>
      <c r="C198" s="9" t="s">
        <v>62</v>
      </c>
      <c r="D198" s="9" t="s">
        <v>51</v>
      </c>
      <c r="E198" s="11" t="s">
        <v>30</v>
      </c>
      <c r="F198" s="11" t="s">
        <v>63</v>
      </c>
      <c r="G198" s="3">
        <v>2400</v>
      </c>
      <c r="H198" s="3">
        <v>1700</v>
      </c>
      <c r="I198" s="12">
        <v>2</v>
      </c>
      <c r="J198" s="9" t="s">
        <v>442</v>
      </c>
      <c r="K198" s="9" t="s">
        <v>33</v>
      </c>
      <c r="L198" s="13">
        <v>1</v>
      </c>
      <c r="M198" s="9" t="s">
        <v>34</v>
      </c>
    </row>
    <row r="199" spans="1:13" ht="20.25" customHeight="1" x14ac:dyDescent="0.25">
      <c r="A199" s="9" t="s">
        <v>443</v>
      </c>
      <c r="B199" s="10">
        <v>45576</v>
      </c>
      <c r="C199" s="9" t="s">
        <v>36</v>
      </c>
      <c r="D199" s="9" t="s">
        <v>29</v>
      </c>
      <c r="E199" s="11" t="s">
        <v>30</v>
      </c>
      <c r="F199" s="11" t="s">
        <v>31</v>
      </c>
      <c r="G199" s="3">
        <v>1950</v>
      </c>
      <c r="H199" s="3">
        <v>1350</v>
      </c>
      <c r="I199" s="12">
        <v>3</v>
      </c>
      <c r="J199" s="9" t="s">
        <v>444</v>
      </c>
      <c r="K199" s="9" t="s">
        <v>49</v>
      </c>
      <c r="L199" s="13">
        <v>0</v>
      </c>
      <c r="M199" s="9" t="s">
        <v>34</v>
      </c>
    </row>
    <row r="200" spans="1:13" ht="20.25" customHeight="1" x14ac:dyDescent="0.25">
      <c r="A200" s="9" t="s">
        <v>445</v>
      </c>
      <c r="B200" s="10">
        <v>45576</v>
      </c>
      <c r="C200" s="9" t="s">
        <v>36</v>
      </c>
      <c r="D200" s="9" t="s">
        <v>51</v>
      </c>
      <c r="E200" s="11" t="s">
        <v>43</v>
      </c>
      <c r="F200" s="11" t="s">
        <v>47</v>
      </c>
      <c r="G200" s="3">
        <v>220</v>
      </c>
      <c r="H200" s="3">
        <v>130</v>
      </c>
      <c r="I200" s="12">
        <v>2</v>
      </c>
      <c r="J200" s="9" t="s">
        <v>446</v>
      </c>
      <c r="K200" s="9" t="s">
        <v>49</v>
      </c>
      <c r="L200" s="13">
        <v>0</v>
      </c>
      <c r="M200" s="9" t="s">
        <v>34</v>
      </c>
    </row>
    <row r="201" spans="1:13" ht="20.25" customHeight="1" x14ac:dyDescent="0.25">
      <c r="A201" s="9" t="s">
        <v>447</v>
      </c>
      <c r="B201" s="10">
        <v>45577</v>
      </c>
      <c r="C201" s="9" t="s">
        <v>28</v>
      </c>
      <c r="D201" s="9" t="s">
        <v>51</v>
      </c>
      <c r="E201" s="11" t="s">
        <v>30</v>
      </c>
      <c r="F201" s="11" t="s">
        <v>80</v>
      </c>
      <c r="G201" s="3">
        <v>850</v>
      </c>
      <c r="H201" s="3">
        <v>600</v>
      </c>
      <c r="I201" s="12">
        <v>1</v>
      </c>
      <c r="J201" s="9" t="s">
        <v>448</v>
      </c>
      <c r="K201" s="9" t="s">
        <v>49</v>
      </c>
      <c r="L201" s="13">
        <v>0</v>
      </c>
      <c r="M201" s="9" t="s">
        <v>34</v>
      </c>
    </row>
    <row r="202" spans="1:13" ht="20.25" customHeight="1" x14ac:dyDescent="0.25">
      <c r="A202" s="9" t="s">
        <v>449</v>
      </c>
      <c r="B202" s="10">
        <v>45577</v>
      </c>
      <c r="C202" s="9" t="s">
        <v>71</v>
      </c>
      <c r="D202" s="9" t="s">
        <v>29</v>
      </c>
      <c r="E202" s="11" t="s">
        <v>37</v>
      </c>
      <c r="F202" s="11" t="s">
        <v>72</v>
      </c>
      <c r="G202" s="3">
        <v>220</v>
      </c>
      <c r="H202" s="3">
        <v>130</v>
      </c>
      <c r="I202" s="12">
        <v>1</v>
      </c>
      <c r="J202" s="9" t="s">
        <v>450</v>
      </c>
      <c r="K202" s="9" t="s">
        <v>49</v>
      </c>
      <c r="L202" s="13">
        <v>0</v>
      </c>
      <c r="M202" s="9" t="s">
        <v>34</v>
      </c>
    </row>
    <row r="203" spans="1:13" ht="20.25" customHeight="1" x14ac:dyDescent="0.25">
      <c r="A203" s="9" t="s">
        <v>451</v>
      </c>
      <c r="B203" s="10">
        <v>45577</v>
      </c>
      <c r="C203" s="9" t="s">
        <v>62</v>
      </c>
      <c r="D203" s="9" t="s">
        <v>29</v>
      </c>
      <c r="E203" s="11" t="s">
        <v>43</v>
      </c>
      <c r="F203" s="11" t="s">
        <v>90</v>
      </c>
      <c r="G203" s="3">
        <v>150</v>
      </c>
      <c r="H203" s="3">
        <v>90</v>
      </c>
      <c r="I203" s="12">
        <v>1</v>
      </c>
      <c r="J203" s="9" t="s">
        <v>452</v>
      </c>
      <c r="K203" s="9" t="s">
        <v>49</v>
      </c>
      <c r="L203" s="13">
        <v>0</v>
      </c>
      <c r="M203" s="9" t="s">
        <v>34</v>
      </c>
    </row>
    <row r="204" spans="1:13" ht="20.25" customHeight="1" x14ac:dyDescent="0.25">
      <c r="A204" s="9" t="s">
        <v>453</v>
      </c>
      <c r="B204" s="10">
        <v>45578</v>
      </c>
      <c r="C204" s="9" t="s">
        <v>71</v>
      </c>
      <c r="D204" s="9" t="s">
        <v>29</v>
      </c>
      <c r="E204" s="11" t="s">
        <v>30</v>
      </c>
      <c r="F204" s="11" t="s">
        <v>80</v>
      </c>
      <c r="G204" s="3">
        <v>850</v>
      </c>
      <c r="H204" s="3">
        <v>600</v>
      </c>
      <c r="I204" s="12">
        <v>1</v>
      </c>
      <c r="J204" s="9" t="s">
        <v>131</v>
      </c>
      <c r="K204" s="9" t="s">
        <v>49</v>
      </c>
      <c r="L204" s="13">
        <v>0</v>
      </c>
      <c r="M204" s="9" t="s">
        <v>34</v>
      </c>
    </row>
    <row r="205" spans="1:13" ht="20.25" customHeight="1" x14ac:dyDescent="0.25">
      <c r="A205" s="9" t="s">
        <v>454</v>
      </c>
      <c r="B205" s="10">
        <v>45579</v>
      </c>
      <c r="C205" s="9" t="s">
        <v>36</v>
      </c>
      <c r="D205" s="9" t="s">
        <v>42</v>
      </c>
      <c r="E205" s="11" t="s">
        <v>58</v>
      </c>
      <c r="F205" s="11" t="s">
        <v>87</v>
      </c>
      <c r="G205" s="3">
        <v>180</v>
      </c>
      <c r="H205" s="3">
        <v>110</v>
      </c>
      <c r="I205" s="12">
        <v>1</v>
      </c>
      <c r="J205" s="9" t="s">
        <v>455</v>
      </c>
      <c r="K205" s="9" t="s">
        <v>49</v>
      </c>
      <c r="L205" s="13">
        <v>0</v>
      </c>
      <c r="M205" s="9" t="s">
        <v>34</v>
      </c>
    </row>
    <row r="206" spans="1:13" ht="20.25" customHeight="1" x14ac:dyDescent="0.25">
      <c r="A206" s="9" t="s">
        <v>456</v>
      </c>
      <c r="B206" s="10">
        <v>45579</v>
      </c>
      <c r="C206" s="9" t="s">
        <v>71</v>
      </c>
      <c r="D206" s="9" t="s">
        <v>51</v>
      </c>
      <c r="E206" s="11" t="s">
        <v>37</v>
      </c>
      <c r="F206" s="11" t="s">
        <v>55</v>
      </c>
      <c r="G206" s="3">
        <v>90</v>
      </c>
      <c r="H206" s="3">
        <v>55</v>
      </c>
      <c r="I206" s="12">
        <v>1</v>
      </c>
      <c r="J206" s="9" t="s">
        <v>457</v>
      </c>
      <c r="K206" s="9" t="s">
        <v>33</v>
      </c>
      <c r="L206" s="13">
        <v>1</v>
      </c>
      <c r="M206" s="9" t="s">
        <v>34</v>
      </c>
    </row>
    <row r="207" spans="1:13" ht="20.25" customHeight="1" x14ac:dyDescent="0.25">
      <c r="A207" s="9" t="s">
        <v>458</v>
      </c>
      <c r="B207" s="10">
        <v>45579</v>
      </c>
      <c r="C207" s="9" t="s">
        <v>28</v>
      </c>
      <c r="D207" s="9" t="s">
        <v>42</v>
      </c>
      <c r="E207" s="11" t="s">
        <v>43</v>
      </c>
      <c r="F207" s="11" t="s">
        <v>47</v>
      </c>
      <c r="G207" s="3">
        <v>220</v>
      </c>
      <c r="H207" s="3">
        <v>130</v>
      </c>
      <c r="I207" s="12">
        <v>2</v>
      </c>
      <c r="J207" s="9" t="s">
        <v>459</v>
      </c>
      <c r="K207" s="9" t="s">
        <v>33</v>
      </c>
      <c r="L207" s="13">
        <v>1</v>
      </c>
      <c r="M207" s="9" t="s">
        <v>34</v>
      </c>
    </row>
    <row r="208" spans="1:13" ht="20.25" customHeight="1" x14ac:dyDescent="0.25">
      <c r="A208" s="9" t="s">
        <v>460</v>
      </c>
      <c r="B208" s="10">
        <v>45580</v>
      </c>
      <c r="C208" s="9" t="s">
        <v>54</v>
      </c>
      <c r="D208" s="9" t="s">
        <v>29</v>
      </c>
      <c r="E208" s="11" t="s">
        <v>43</v>
      </c>
      <c r="F208" s="11" t="s">
        <v>90</v>
      </c>
      <c r="G208" s="3">
        <v>450</v>
      </c>
      <c r="H208" s="3">
        <v>270</v>
      </c>
      <c r="I208" s="12">
        <v>3</v>
      </c>
      <c r="J208" s="9" t="s">
        <v>461</v>
      </c>
      <c r="K208" s="9" t="s">
        <v>49</v>
      </c>
      <c r="L208" s="13">
        <v>0</v>
      </c>
      <c r="M208" s="9" t="s">
        <v>34</v>
      </c>
    </row>
    <row r="209" spans="1:13" ht="20.25" customHeight="1" x14ac:dyDescent="0.25">
      <c r="A209" s="9" t="s">
        <v>462</v>
      </c>
      <c r="B209" s="10">
        <v>45580</v>
      </c>
      <c r="C209" s="9" t="s">
        <v>71</v>
      </c>
      <c r="D209" s="9" t="s">
        <v>51</v>
      </c>
      <c r="E209" s="11" t="s">
        <v>37</v>
      </c>
      <c r="F209" s="11" t="s">
        <v>72</v>
      </c>
      <c r="G209" s="3">
        <v>440</v>
      </c>
      <c r="H209" s="3">
        <v>260</v>
      </c>
      <c r="I209" s="12">
        <v>2</v>
      </c>
      <c r="J209" s="9" t="s">
        <v>463</v>
      </c>
      <c r="K209" s="9" t="s">
        <v>33</v>
      </c>
      <c r="L209" s="13">
        <v>1</v>
      </c>
      <c r="M209" s="9" t="s">
        <v>34</v>
      </c>
    </row>
    <row r="210" spans="1:13" ht="20.25" customHeight="1" x14ac:dyDescent="0.25">
      <c r="A210" s="9" t="s">
        <v>464</v>
      </c>
      <c r="B210" s="10">
        <v>45580</v>
      </c>
      <c r="C210" s="9" t="s">
        <v>36</v>
      </c>
      <c r="D210" s="9" t="s">
        <v>51</v>
      </c>
      <c r="E210" s="11" t="s">
        <v>30</v>
      </c>
      <c r="F210" s="11" t="s">
        <v>63</v>
      </c>
      <c r="G210" s="3">
        <v>3600</v>
      </c>
      <c r="H210" s="3">
        <v>2550</v>
      </c>
      <c r="I210" s="12">
        <v>3</v>
      </c>
      <c r="J210" s="9" t="s">
        <v>465</v>
      </c>
      <c r="K210" s="9" t="s">
        <v>49</v>
      </c>
      <c r="L210" s="13">
        <v>0</v>
      </c>
      <c r="M210" s="9" t="s">
        <v>34</v>
      </c>
    </row>
    <row r="211" spans="1:13" ht="20.25" customHeight="1" x14ac:dyDescent="0.25">
      <c r="A211" s="9" t="s">
        <v>466</v>
      </c>
      <c r="B211" s="10">
        <v>45580</v>
      </c>
      <c r="C211" s="9" t="s">
        <v>71</v>
      </c>
      <c r="D211" s="9" t="s">
        <v>51</v>
      </c>
      <c r="E211" s="11" t="s">
        <v>37</v>
      </c>
      <c r="F211" s="11" t="s">
        <v>38</v>
      </c>
      <c r="G211" s="3">
        <v>120</v>
      </c>
      <c r="H211" s="3">
        <v>70</v>
      </c>
      <c r="I211" s="12">
        <v>1</v>
      </c>
      <c r="J211" s="9" t="s">
        <v>467</v>
      </c>
      <c r="K211" s="9" t="s">
        <v>49</v>
      </c>
      <c r="L211" s="13">
        <v>0</v>
      </c>
      <c r="M211" s="9" t="s">
        <v>34</v>
      </c>
    </row>
    <row r="212" spans="1:13" ht="20.25" customHeight="1" x14ac:dyDescent="0.25">
      <c r="A212" s="9" t="s">
        <v>468</v>
      </c>
      <c r="B212" s="10">
        <v>45581</v>
      </c>
      <c r="C212" s="9" t="s">
        <v>71</v>
      </c>
      <c r="D212" s="9" t="s">
        <v>42</v>
      </c>
      <c r="E212" s="11" t="s">
        <v>58</v>
      </c>
      <c r="F212" s="11" t="s">
        <v>59</v>
      </c>
      <c r="G212" s="3">
        <v>150</v>
      </c>
      <c r="H212" s="3">
        <v>90</v>
      </c>
      <c r="I212" s="12">
        <v>1</v>
      </c>
      <c r="J212" s="9" t="s">
        <v>469</v>
      </c>
      <c r="K212" s="9" t="s">
        <v>49</v>
      </c>
      <c r="L212" s="13">
        <v>0</v>
      </c>
      <c r="M212" s="9" t="s">
        <v>34</v>
      </c>
    </row>
    <row r="213" spans="1:13" ht="20.25" customHeight="1" x14ac:dyDescent="0.25">
      <c r="A213" s="9" t="s">
        <v>470</v>
      </c>
      <c r="B213" s="10">
        <v>45581</v>
      </c>
      <c r="C213" s="9" t="s">
        <v>28</v>
      </c>
      <c r="D213" s="9" t="s">
        <v>29</v>
      </c>
      <c r="E213" s="11" t="s">
        <v>58</v>
      </c>
      <c r="F213" s="11" t="s">
        <v>68</v>
      </c>
      <c r="G213" s="3">
        <v>700</v>
      </c>
      <c r="H213" s="3">
        <v>440</v>
      </c>
      <c r="I213" s="12">
        <v>2</v>
      </c>
      <c r="J213" s="9" t="s">
        <v>471</v>
      </c>
      <c r="K213" s="9" t="s">
        <v>33</v>
      </c>
      <c r="L213" s="13">
        <v>1</v>
      </c>
      <c r="M213" s="9" t="s">
        <v>34</v>
      </c>
    </row>
    <row r="214" spans="1:13" ht="20.25" customHeight="1" x14ac:dyDescent="0.25">
      <c r="A214" s="9" t="s">
        <v>472</v>
      </c>
      <c r="B214" s="10">
        <v>45581</v>
      </c>
      <c r="C214" s="9" t="s">
        <v>41</v>
      </c>
      <c r="D214" s="9" t="s">
        <v>29</v>
      </c>
      <c r="E214" s="11" t="s">
        <v>30</v>
      </c>
      <c r="F214" s="11" t="s">
        <v>80</v>
      </c>
      <c r="G214" s="3">
        <v>850</v>
      </c>
      <c r="H214" s="3">
        <v>600</v>
      </c>
      <c r="I214" s="12">
        <v>1</v>
      </c>
      <c r="J214" s="9" t="s">
        <v>422</v>
      </c>
      <c r="K214" s="9" t="s">
        <v>49</v>
      </c>
      <c r="L214" s="13">
        <v>0</v>
      </c>
      <c r="M214" s="9" t="s">
        <v>34</v>
      </c>
    </row>
    <row r="215" spans="1:13" ht="20.25" customHeight="1" x14ac:dyDescent="0.25">
      <c r="A215" s="9" t="s">
        <v>473</v>
      </c>
      <c r="B215" s="10">
        <v>45582</v>
      </c>
      <c r="C215" s="9" t="s">
        <v>28</v>
      </c>
      <c r="D215" s="9" t="s">
        <v>51</v>
      </c>
      <c r="E215" s="11" t="s">
        <v>30</v>
      </c>
      <c r="F215" s="11" t="s">
        <v>31</v>
      </c>
      <c r="G215" s="3">
        <v>650</v>
      </c>
      <c r="H215" s="3">
        <v>450</v>
      </c>
      <c r="I215" s="12">
        <v>1</v>
      </c>
      <c r="J215" s="9" t="s">
        <v>474</v>
      </c>
      <c r="K215" s="9" t="s">
        <v>49</v>
      </c>
      <c r="L215" s="13">
        <v>0</v>
      </c>
      <c r="M215" s="9" t="s">
        <v>34</v>
      </c>
    </row>
    <row r="216" spans="1:13" ht="20.25" customHeight="1" x14ac:dyDescent="0.25">
      <c r="A216" s="9" t="s">
        <v>475</v>
      </c>
      <c r="B216" s="10">
        <v>45582</v>
      </c>
      <c r="C216" s="9" t="s">
        <v>41</v>
      </c>
      <c r="D216" s="9" t="s">
        <v>51</v>
      </c>
      <c r="E216" s="11" t="s">
        <v>43</v>
      </c>
      <c r="F216" s="11" t="s">
        <v>47</v>
      </c>
      <c r="G216" s="3">
        <v>110</v>
      </c>
      <c r="H216" s="3">
        <v>65</v>
      </c>
      <c r="I216" s="12">
        <v>1</v>
      </c>
      <c r="J216" s="9" t="s">
        <v>179</v>
      </c>
      <c r="K216" s="9" t="s">
        <v>33</v>
      </c>
      <c r="L216" s="13">
        <v>1</v>
      </c>
      <c r="M216" s="9" t="s">
        <v>34</v>
      </c>
    </row>
    <row r="217" spans="1:13" ht="20.25" customHeight="1" x14ac:dyDescent="0.25">
      <c r="A217" s="9" t="s">
        <v>476</v>
      </c>
      <c r="B217" s="10">
        <v>45582</v>
      </c>
      <c r="C217" s="9" t="s">
        <v>54</v>
      </c>
      <c r="D217" s="9" t="s">
        <v>51</v>
      </c>
      <c r="E217" s="11" t="s">
        <v>58</v>
      </c>
      <c r="F217" s="11" t="s">
        <v>87</v>
      </c>
      <c r="G217" s="3">
        <v>180</v>
      </c>
      <c r="H217" s="3">
        <v>110</v>
      </c>
      <c r="I217" s="12">
        <v>1</v>
      </c>
      <c r="J217" s="9" t="s">
        <v>477</v>
      </c>
      <c r="K217" s="9" t="s">
        <v>49</v>
      </c>
      <c r="L217" s="13">
        <v>0</v>
      </c>
      <c r="M217" s="9" t="s">
        <v>34</v>
      </c>
    </row>
    <row r="218" spans="1:13" ht="20.25" customHeight="1" x14ac:dyDescent="0.25">
      <c r="A218" s="9" t="s">
        <v>478</v>
      </c>
      <c r="B218" s="10">
        <v>45583</v>
      </c>
      <c r="C218" s="9" t="s">
        <v>54</v>
      </c>
      <c r="D218" s="9" t="s">
        <v>29</v>
      </c>
      <c r="E218" s="11" t="s">
        <v>58</v>
      </c>
      <c r="F218" s="11" t="s">
        <v>87</v>
      </c>
      <c r="G218" s="3">
        <v>180</v>
      </c>
      <c r="H218" s="3">
        <v>110</v>
      </c>
      <c r="I218" s="12">
        <v>1</v>
      </c>
      <c r="J218" s="9" t="s">
        <v>479</v>
      </c>
      <c r="K218" s="9" t="s">
        <v>33</v>
      </c>
      <c r="L218" s="13">
        <v>1</v>
      </c>
      <c r="M218" s="9" t="s">
        <v>34</v>
      </c>
    </row>
    <row r="219" spans="1:13" ht="20.25" customHeight="1" x14ac:dyDescent="0.25">
      <c r="A219" s="9" t="s">
        <v>480</v>
      </c>
      <c r="B219" s="10">
        <v>45583</v>
      </c>
      <c r="C219" s="9" t="s">
        <v>71</v>
      </c>
      <c r="D219" s="9" t="s">
        <v>51</v>
      </c>
      <c r="E219" s="11" t="s">
        <v>58</v>
      </c>
      <c r="F219" s="11" t="s">
        <v>68</v>
      </c>
      <c r="G219" s="3">
        <v>350</v>
      </c>
      <c r="H219" s="3">
        <v>220</v>
      </c>
      <c r="I219" s="12">
        <v>1</v>
      </c>
      <c r="J219" s="9" t="s">
        <v>481</v>
      </c>
      <c r="K219" s="9" t="s">
        <v>49</v>
      </c>
      <c r="L219" s="13">
        <v>0</v>
      </c>
      <c r="M219" s="9" t="s">
        <v>34</v>
      </c>
    </row>
    <row r="220" spans="1:13" ht="20.25" customHeight="1" x14ac:dyDescent="0.25">
      <c r="A220" s="9" t="s">
        <v>482</v>
      </c>
      <c r="B220" s="10">
        <v>45583</v>
      </c>
      <c r="C220" s="9" t="s">
        <v>71</v>
      </c>
      <c r="D220" s="9" t="s">
        <v>29</v>
      </c>
      <c r="E220" s="11" t="s">
        <v>43</v>
      </c>
      <c r="F220" s="11" t="s">
        <v>47</v>
      </c>
      <c r="G220" s="3">
        <v>-110</v>
      </c>
      <c r="H220" s="3">
        <v>-65</v>
      </c>
      <c r="I220" s="12">
        <v>-1</v>
      </c>
      <c r="J220" s="9" t="s">
        <v>483</v>
      </c>
      <c r="K220" s="9" t="s">
        <v>49</v>
      </c>
      <c r="L220" s="13">
        <v>0</v>
      </c>
      <c r="M220" s="9" t="s">
        <v>76</v>
      </c>
    </row>
    <row r="221" spans="1:13" ht="20.25" customHeight="1" x14ac:dyDescent="0.25">
      <c r="A221" s="9" t="s">
        <v>484</v>
      </c>
      <c r="B221" s="10">
        <v>45583</v>
      </c>
      <c r="C221" s="9" t="s">
        <v>28</v>
      </c>
      <c r="D221" s="9" t="s">
        <v>29</v>
      </c>
      <c r="E221" s="11" t="s">
        <v>37</v>
      </c>
      <c r="F221" s="11" t="s">
        <v>72</v>
      </c>
      <c r="G221" s="3">
        <v>440</v>
      </c>
      <c r="H221" s="3">
        <v>260</v>
      </c>
      <c r="I221" s="12">
        <v>2</v>
      </c>
      <c r="J221" s="9" t="s">
        <v>485</v>
      </c>
      <c r="K221" s="9" t="s">
        <v>49</v>
      </c>
      <c r="L221" s="13">
        <v>0</v>
      </c>
      <c r="M221" s="9" t="s">
        <v>34</v>
      </c>
    </row>
    <row r="222" spans="1:13" ht="20.25" customHeight="1" x14ac:dyDescent="0.25">
      <c r="A222" s="9" t="s">
        <v>486</v>
      </c>
      <c r="B222" s="10">
        <v>45583</v>
      </c>
      <c r="C222" s="9" t="s">
        <v>41</v>
      </c>
      <c r="D222" s="9" t="s">
        <v>51</v>
      </c>
      <c r="E222" s="11" t="s">
        <v>30</v>
      </c>
      <c r="F222" s="11" t="s">
        <v>63</v>
      </c>
      <c r="G222" s="3">
        <v>1200</v>
      </c>
      <c r="H222" s="3">
        <v>850</v>
      </c>
      <c r="I222" s="12">
        <v>1</v>
      </c>
      <c r="J222" s="9" t="s">
        <v>487</v>
      </c>
      <c r="K222" s="9" t="s">
        <v>49</v>
      </c>
      <c r="L222" s="13">
        <v>0</v>
      </c>
      <c r="M222" s="9" t="s">
        <v>34</v>
      </c>
    </row>
    <row r="223" spans="1:13" ht="20.25" customHeight="1" x14ac:dyDescent="0.25">
      <c r="A223" s="9" t="s">
        <v>488</v>
      </c>
      <c r="B223" s="10">
        <v>45583</v>
      </c>
      <c r="C223" s="9" t="s">
        <v>28</v>
      </c>
      <c r="D223" s="9" t="s">
        <v>51</v>
      </c>
      <c r="E223" s="11" t="s">
        <v>30</v>
      </c>
      <c r="F223" s="11" t="s">
        <v>80</v>
      </c>
      <c r="G223" s="3">
        <v>850</v>
      </c>
      <c r="H223" s="3">
        <v>600</v>
      </c>
      <c r="I223" s="12">
        <v>1</v>
      </c>
      <c r="J223" s="9" t="s">
        <v>489</v>
      </c>
      <c r="K223" s="9" t="s">
        <v>49</v>
      </c>
      <c r="L223" s="13">
        <v>0</v>
      </c>
      <c r="M223" s="9" t="s">
        <v>34</v>
      </c>
    </row>
    <row r="224" spans="1:13" ht="20.25" customHeight="1" x14ac:dyDescent="0.25">
      <c r="A224" s="9" t="s">
        <v>490</v>
      </c>
      <c r="B224" s="10">
        <v>45583</v>
      </c>
      <c r="C224" s="9" t="s">
        <v>36</v>
      </c>
      <c r="D224" s="9" t="s">
        <v>29</v>
      </c>
      <c r="E224" s="11" t="s">
        <v>30</v>
      </c>
      <c r="F224" s="11" t="s">
        <v>80</v>
      </c>
      <c r="G224" s="3">
        <v>850</v>
      </c>
      <c r="H224" s="3">
        <v>600</v>
      </c>
      <c r="I224" s="12">
        <v>1</v>
      </c>
      <c r="J224" s="9" t="s">
        <v>491</v>
      </c>
      <c r="K224" s="9" t="s">
        <v>49</v>
      </c>
      <c r="L224" s="13">
        <v>0</v>
      </c>
      <c r="M224" s="9" t="s">
        <v>34</v>
      </c>
    </row>
    <row r="225" spans="1:13" ht="20.25" customHeight="1" x14ac:dyDescent="0.25">
      <c r="A225" s="9" t="s">
        <v>492</v>
      </c>
      <c r="B225" s="10">
        <v>45583</v>
      </c>
      <c r="C225" s="9" t="s">
        <v>28</v>
      </c>
      <c r="D225" s="9" t="s">
        <v>29</v>
      </c>
      <c r="E225" s="11" t="s">
        <v>43</v>
      </c>
      <c r="F225" s="11" t="s">
        <v>47</v>
      </c>
      <c r="G225" s="3">
        <v>110</v>
      </c>
      <c r="H225" s="3">
        <v>65</v>
      </c>
      <c r="I225" s="12">
        <v>1</v>
      </c>
      <c r="J225" s="9" t="s">
        <v>493</v>
      </c>
      <c r="K225" s="9" t="s">
        <v>49</v>
      </c>
      <c r="L225" s="13">
        <v>0</v>
      </c>
      <c r="M225" s="9" t="s">
        <v>34</v>
      </c>
    </row>
    <row r="226" spans="1:13" ht="20.25" customHeight="1" x14ac:dyDescent="0.25">
      <c r="A226" s="9" t="s">
        <v>494</v>
      </c>
      <c r="B226" s="10">
        <v>45584</v>
      </c>
      <c r="C226" s="9" t="s">
        <v>28</v>
      </c>
      <c r="D226" s="9" t="s">
        <v>29</v>
      </c>
      <c r="E226" s="11" t="s">
        <v>37</v>
      </c>
      <c r="F226" s="11" t="s">
        <v>55</v>
      </c>
      <c r="G226" s="3">
        <v>180</v>
      </c>
      <c r="H226" s="3">
        <v>110</v>
      </c>
      <c r="I226" s="12">
        <v>2</v>
      </c>
      <c r="J226" s="9" t="s">
        <v>495</v>
      </c>
      <c r="K226" s="9" t="s">
        <v>49</v>
      </c>
      <c r="L226" s="13">
        <v>0</v>
      </c>
      <c r="M226" s="9" t="s">
        <v>34</v>
      </c>
    </row>
    <row r="227" spans="1:13" ht="20.25" customHeight="1" x14ac:dyDescent="0.25">
      <c r="A227" s="9" t="s">
        <v>496</v>
      </c>
      <c r="B227" s="10">
        <v>45584</v>
      </c>
      <c r="C227" s="9" t="s">
        <v>71</v>
      </c>
      <c r="D227" s="9" t="s">
        <v>29</v>
      </c>
      <c r="E227" s="11" t="s">
        <v>58</v>
      </c>
      <c r="F227" s="11" t="s">
        <v>68</v>
      </c>
      <c r="G227" s="3">
        <v>-700</v>
      </c>
      <c r="H227" s="3">
        <v>-440</v>
      </c>
      <c r="I227" s="12">
        <v>-2</v>
      </c>
      <c r="J227" s="9" t="s">
        <v>497</v>
      </c>
      <c r="K227" s="9" t="s">
        <v>49</v>
      </c>
      <c r="L227" s="13">
        <v>0</v>
      </c>
      <c r="M227" s="9" t="s">
        <v>76</v>
      </c>
    </row>
    <row r="228" spans="1:13" ht="20.25" customHeight="1" x14ac:dyDescent="0.25">
      <c r="A228" s="9" t="s">
        <v>498</v>
      </c>
      <c r="B228" s="10">
        <v>45585</v>
      </c>
      <c r="C228" s="9" t="s">
        <v>28</v>
      </c>
      <c r="D228" s="9" t="s">
        <v>51</v>
      </c>
      <c r="E228" s="11" t="s">
        <v>37</v>
      </c>
      <c r="F228" s="11" t="s">
        <v>55</v>
      </c>
      <c r="G228" s="3">
        <v>180</v>
      </c>
      <c r="H228" s="3">
        <v>110</v>
      </c>
      <c r="I228" s="12">
        <v>2</v>
      </c>
      <c r="J228" s="9" t="s">
        <v>499</v>
      </c>
      <c r="K228" s="9" t="s">
        <v>49</v>
      </c>
      <c r="L228" s="13">
        <v>0</v>
      </c>
      <c r="M228" s="9" t="s">
        <v>34</v>
      </c>
    </row>
    <row r="229" spans="1:13" ht="20.25" customHeight="1" x14ac:dyDescent="0.25">
      <c r="A229" s="9" t="s">
        <v>500</v>
      </c>
      <c r="B229" s="10">
        <v>45585</v>
      </c>
      <c r="C229" s="9" t="s">
        <v>41</v>
      </c>
      <c r="D229" s="9" t="s">
        <v>42</v>
      </c>
      <c r="E229" s="11" t="s">
        <v>58</v>
      </c>
      <c r="F229" s="11" t="s">
        <v>68</v>
      </c>
      <c r="G229" s="3">
        <v>350</v>
      </c>
      <c r="H229" s="3">
        <v>220</v>
      </c>
      <c r="I229" s="12">
        <v>1</v>
      </c>
      <c r="J229" s="9" t="s">
        <v>501</v>
      </c>
      <c r="K229" s="9" t="s">
        <v>49</v>
      </c>
      <c r="L229" s="13">
        <v>0</v>
      </c>
      <c r="M229" s="9" t="s">
        <v>34</v>
      </c>
    </row>
    <row r="230" spans="1:13" ht="20.25" customHeight="1" x14ac:dyDescent="0.25">
      <c r="A230" s="9" t="s">
        <v>502</v>
      </c>
      <c r="B230" s="10">
        <v>45585</v>
      </c>
      <c r="C230" s="9" t="s">
        <v>36</v>
      </c>
      <c r="D230" s="9" t="s">
        <v>29</v>
      </c>
      <c r="E230" s="11" t="s">
        <v>43</v>
      </c>
      <c r="F230" s="11" t="s">
        <v>47</v>
      </c>
      <c r="G230" s="3">
        <v>-110</v>
      </c>
      <c r="H230" s="3">
        <v>-65</v>
      </c>
      <c r="I230" s="12">
        <v>-1</v>
      </c>
      <c r="J230" s="9" t="s">
        <v>503</v>
      </c>
      <c r="K230" s="9" t="s">
        <v>33</v>
      </c>
      <c r="L230" s="13">
        <v>1</v>
      </c>
      <c r="M230" s="9" t="s">
        <v>76</v>
      </c>
    </row>
    <row r="231" spans="1:13" ht="20.25" customHeight="1" x14ac:dyDescent="0.25">
      <c r="A231" s="9" t="s">
        <v>504</v>
      </c>
      <c r="B231" s="10">
        <v>45586</v>
      </c>
      <c r="C231" s="9" t="s">
        <v>28</v>
      </c>
      <c r="D231" s="9" t="s">
        <v>51</v>
      </c>
      <c r="E231" s="11" t="s">
        <v>58</v>
      </c>
      <c r="F231" s="11" t="s">
        <v>68</v>
      </c>
      <c r="G231" s="3">
        <v>350</v>
      </c>
      <c r="H231" s="3">
        <v>220</v>
      </c>
      <c r="I231" s="12">
        <v>1</v>
      </c>
      <c r="J231" s="9" t="s">
        <v>413</v>
      </c>
      <c r="K231" s="9" t="s">
        <v>33</v>
      </c>
      <c r="L231" s="13">
        <v>1</v>
      </c>
      <c r="M231" s="9" t="s">
        <v>34</v>
      </c>
    </row>
    <row r="232" spans="1:13" ht="20.25" customHeight="1" x14ac:dyDescent="0.25">
      <c r="A232" s="9" t="s">
        <v>505</v>
      </c>
      <c r="B232" s="10">
        <v>45586</v>
      </c>
      <c r="C232" s="9" t="s">
        <v>71</v>
      </c>
      <c r="D232" s="9" t="s">
        <v>42</v>
      </c>
      <c r="E232" s="11" t="s">
        <v>30</v>
      </c>
      <c r="F232" s="11" t="s">
        <v>80</v>
      </c>
      <c r="G232" s="3">
        <v>850</v>
      </c>
      <c r="H232" s="3">
        <v>600</v>
      </c>
      <c r="I232" s="12">
        <v>1</v>
      </c>
      <c r="J232" s="9" t="s">
        <v>506</v>
      </c>
      <c r="K232" s="9" t="s">
        <v>49</v>
      </c>
      <c r="L232" s="13">
        <v>0</v>
      </c>
      <c r="M232" s="9" t="s">
        <v>34</v>
      </c>
    </row>
    <row r="233" spans="1:13" ht="20.25" customHeight="1" x14ac:dyDescent="0.25">
      <c r="A233" s="9" t="s">
        <v>507</v>
      </c>
      <c r="B233" s="10">
        <v>45586</v>
      </c>
      <c r="C233" s="9" t="s">
        <v>28</v>
      </c>
      <c r="D233" s="9" t="s">
        <v>42</v>
      </c>
      <c r="E233" s="11" t="s">
        <v>30</v>
      </c>
      <c r="F233" s="11" t="s">
        <v>80</v>
      </c>
      <c r="G233" s="3">
        <v>850</v>
      </c>
      <c r="H233" s="3">
        <v>600</v>
      </c>
      <c r="I233" s="12">
        <v>1</v>
      </c>
      <c r="J233" s="9" t="s">
        <v>508</v>
      </c>
      <c r="K233" s="9" t="s">
        <v>49</v>
      </c>
      <c r="L233" s="13">
        <v>0</v>
      </c>
      <c r="M233" s="9" t="s">
        <v>34</v>
      </c>
    </row>
    <row r="234" spans="1:13" ht="20.25" customHeight="1" x14ac:dyDescent="0.25">
      <c r="A234" s="9" t="s">
        <v>509</v>
      </c>
      <c r="B234" s="10">
        <v>45586</v>
      </c>
      <c r="C234" s="9" t="s">
        <v>28</v>
      </c>
      <c r="D234" s="9" t="s">
        <v>29</v>
      </c>
      <c r="E234" s="11" t="s">
        <v>58</v>
      </c>
      <c r="F234" s="11" t="s">
        <v>87</v>
      </c>
      <c r="G234" s="3">
        <v>180</v>
      </c>
      <c r="H234" s="3">
        <v>110</v>
      </c>
      <c r="I234" s="12">
        <v>1</v>
      </c>
      <c r="J234" s="9" t="s">
        <v>510</v>
      </c>
      <c r="K234" s="9" t="s">
        <v>33</v>
      </c>
      <c r="L234" s="13">
        <v>1</v>
      </c>
      <c r="M234" s="9" t="s">
        <v>34</v>
      </c>
    </row>
    <row r="235" spans="1:13" ht="20.25" customHeight="1" x14ac:dyDescent="0.25">
      <c r="A235" s="9" t="s">
        <v>511</v>
      </c>
      <c r="B235" s="10">
        <v>45587</v>
      </c>
      <c r="C235" s="9" t="s">
        <v>41</v>
      </c>
      <c r="D235" s="9" t="s">
        <v>42</v>
      </c>
      <c r="E235" s="11" t="s">
        <v>43</v>
      </c>
      <c r="F235" s="11" t="s">
        <v>47</v>
      </c>
      <c r="G235" s="3">
        <v>110</v>
      </c>
      <c r="H235" s="3">
        <v>65</v>
      </c>
      <c r="I235" s="12">
        <v>1</v>
      </c>
      <c r="J235" s="9" t="s">
        <v>512</v>
      </c>
      <c r="K235" s="9" t="s">
        <v>49</v>
      </c>
      <c r="L235" s="13">
        <v>0</v>
      </c>
      <c r="M235" s="9" t="s">
        <v>34</v>
      </c>
    </row>
    <row r="236" spans="1:13" ht="20.25" customHeight="1" x14ac:dyDescent="0.25">
      <c r="A236" s="9" t="s">
        <v>513</v>
      </c>
      <c r="B236" s="10">
        <v>45588</v>
      </c>
      <c r="C236" s="9" t="s">
        <v>28</v>
      </c>
      <c r="D236" s="9" t="s">
        <v>29</v>
      </c>
      <c r="E236" s="11" t="s">
        <v>58</v>
      </c>
      <c r="F236" s="11" t="s">
        <v>68</v>
      </c>
      <c r="G236" s="3">
        <v>700</v>
      </c>
      <c r="H236" s="3">
        <v>440</v>
      </c>
      <c r="I236" s="12">
        <v>2</v>
      </c>
      <c r="J236" s="9" t="s">
        <v>514</v>
      </c>
      <c r="K236" s="9" t="s">
        <v>49</v>
      </c>
      <c r="L236" s="13">
        <v>0</v>
      </c>
      <c r="M236" s="9" t="s">
        <v>34</v>
      </c>
    </row>
    <row r="237" spans="1:13" ht="20.25" customHeight="1" x14ac:dyDescent="0.25">
      <c r="A237" s="9" t="s">
        <v>515</v>
      </c>
      <c r="B237" s="10">
        <v>45588</v>
      </c>
      <c r="C237" s="9" t="s">
        <v>54</v>
      </c>
      <c r="D237" s="9" t="s">
        <v>29</v>
      </c>
      <c r="E237" s="11" t="s">
        <v>43</v>
      </c>
      <c r="F237" s="11" t="s">
        <v>44</v>
      </c>
      <c r="G237" s="3">
        <v>45</v>
      </c>
      <c r="H237" s="3">
        <v>20</v>
      </c>
      <c r="I237" s="12">
        <v>1</v>
      </c>
      <c r="J237" s="9" t="s">
        <v>465</v>
      </c>
      <c r="K237" s="9" t="s">
        <v>49</v>
      </c>
      <c r="L237" s="13">
        <v>0</v>
      </c>
      <c r="M237" s="9" t="s">
        <v>34</v>
      </c>
    </row>
    <row r="238" spans="1:13" ht="20.25" customHeight="1" x14ac:dyDescent="0.25">
      <c r="A238" s="9" t="s">
        <v>516</v>
      </c>
      <c r="B238" s="10">
        <v>45588</v>
      </c>
      <c r="C238" s="9" t="s">
        <v>28</v>
      </c>
      <c r="D238" s="9" t="s">
        <v>29</v>
      </c>
      <c r="E238" s="11" t="s">
        <v>43</v>
      </c>
      <c r="F238" s="11" t="s">
        <v>90</v>
      </c>
      <c r="G238" s="3">
        <v>300</v>
      </c>
      <c r="H238" s="3">
        <v>180</v>
      </c>
      <c r="I238" s="12">
        <v>2</v>
      </c>
      <c r="J238" s="9" t="s">
        <v>517</v>
      </c>
      <c r="K238" s="9" t="s">
        <v>49</v>
      </c>
      <c r="L238" s="13">
        <v>0</v>
      </c>
      <c r="M238" s="9" t="s">
        <v>34</v>
      </c>
    </row>
    <row r="239" spans="1:13" ht="20.25" customHeight="1" x14ac:dyDescent="0.25">
      <c r="A239" s="9" t="s">
        <v>518</v>
      </c>
      <c r="B239" s="10">
        <v>45588</v>
      </c>
      <c r="C239" s="9" t="s">
        <v>28</v>
      </c>
      <c r="D239" s="9" t="s">
        <v>29</v>
      </c>
      <c r="E239" s="11" t="s">
        <v>30</v>
      </c>
      <c r="F239" s="11" t="s">
        <v>31</v>
      </c>
      <c r="G239" s="3">
        <v>650</v>
      </c>
      <c r="H239" s="3">
        <v>450</v>
      </c>
      <c r="I239" s="12">
        <v>1</v>
      </c>
      <c r="J239" s="9" t="s">
        <v>519</v>
      </c>
      <c r="K239" s="9" t="s">
        <v>33</v>
      </c>
      <c r="L239" s="13">
        <v>1</v>
      </c>
      <c r="M239" s="9" t="s">
        <v>34</v>
      </c>
    </row>
    <row r="240" spans="1:13" ht="20.25" customHeight="1" x14ac:dyDescent="0.25">
      <c r="A240" s="9" t="s">
        <v>520</v>
      </c>
      <c r="B240" s="10">
        <v>45588</v>
      </c>
      <c r="C240" s="9" t="s">
        <v>41</v>
      </c>
      <c r="D240" s="9" t="s">
        <v>29</v>
      </c>
      <c r="E240" s="11" t="s">
        <v>30</v>
      </c>
      <c r="F240" s="11" t="s">
        <v>80</v>
      </c>
      <c r="G240" s="3">
        <v>850</v>
      </c>
      <c r="H240" s="3">
        <v>600</v>
      </c>
      <c r="I240" s="12">
        <v>1</v>
      </c>
      <c r="J240" s="9" t="s">
        <v>521</v>
      </c>
      <c r="K240" s="9" t="s">
        <v>49</v>
      </c>
      <c r="L240" s="13">
        <v>0</v>
      </c>
      <c r="M240" s="9" t="s">
        <v>34</v>
      </c>
    </row>
    <row r="241" spans="1:13" ht="20.25" customHeight="1" x14ac:dyDescent="0.25">
      <c r="A241" s="9" t="s">
        <v>522</v>
      </c>
      <c r="B241" s="10">
        <v>45588</v>
      </c>
      <c r="C241" s="9" t="s">
        <v>36</v>
      </c>
      <c r="D241" s="9" t="s">
        <v>29</v>
      </c>
      <c r="E241" s="11" t="s">
        <v>30</v>
      </c>
      <c r="F241" s="11" t="s">
        <v>80</v>
      </c>
      <c r="G241" s="3">
        <v>3400</v>
      </c>
      <c r="H241" s="3">
        <v>2400</v>
      </c>
      <c r="I241" s="12">
        <v>4</v>
      </c>
      <c r="J241" s="9" t="s">
        <v>523</v>
      </c>
      <c r="K241" s="9" t="s">
        <v>33</v>
      </c>
      <c r="L241" s="13">
        <v>1</v>
      </c>
      <c r="M241" s="9" t="s">
        <v>34</v>
      </c>
    </row>
    <row r="242" spans="1:13" ht="20.25" customHeight="1" x14ac:dyDescent="0.25">
      <c r="A242" s="9" t="s">
        <v>524</v>
      </c>
      <c r="B242" s="10">
        <v>45589</v>
      </c>
      <c r="C242" s="9" t="s">
        <v>28</v>
      </c>
      <c r="D242" s="9" t="s">
        <v>29</v>
      </c>
      <c r="E242" s="11" t="s">
        <v>37</v>
      </c>
      <c r="F242" s="11" t="s">
        <v>38</v>
      </c>
      <c r="G242" s="3">
        <v>480</v>
      </c>
      <c r="H242" s="3">
        <v>280</v>
      </c>
      <c r="I242" s="12">
        <v>4</v>
      </c>
      <c r="J242" s="9" t="s">
        <v>525</v>
      </c>
      <c r="K242" s="9" t="s">
        <v>49</v>
      </c>
      <c r="L242" s="13">
        <v>0</v>
      </c>
      <c r="M242" s="9" t="s">
        <v>34</v>
      </c>
    </row>
    <row r="243" spans="1:13" ht="20.25" customHeight="1" x14ac:dyDescent="0.25">
      <c r="A243" s="9" t="s">
        <v>526</v>
      </c>
      <c r="B243" s="10">
        <v>45589</v>
      </c>
      <c r="C243" s="9" t="s">
        <v>36</v>
      </c>
      <c r="D243" s="9" t="s">
        <v>42</v>
      </c>
      <c r="E243" s="11" t="s">
        <v>30</v>
      </c>
      <c r="F243" s="11" t="s">
        <v>31</v>
      </c>
      <c r="G243" s="3">
        <v>650</v>
      </c>
      <c r="H243" s="3">
        <v>450</v>
      </c>
      <c r="I243" s="12">
        <v>1</v>
      </c>
      <c r="J243" s="9" t="s">
        <v>527</v>
      </c>
      <c r="K243" s="9" t="s">
        <v>49</v>
      </c>
      <c r="L243" s="13">
        <v>0</v>
      </c>
      <c r="M243" s="9" t="s">
        <v>34</v>
      </c>
    </row>
    <row r="244" spans="1:13" ht="20.25" customHeight="1" x14ac:dyDescent="0.25">
      <c r="A244" s="9" t="s">
        <v>528</v>
      </c>
      <c r="B244" s="10">
        <v>45590</v>
      </c>
      <c r="C244" s="9" t="s">
        <v>28</v>
      </c>
      <c r="D244" s="9" t="s">
        <v>42</v>
      </c>
      <c r="E244" s="11" t="s">
        <v>58</v>
      </c>
      <c r="F244" s="11" t="s">
        <v>59</v>
      </c>
      <c r="G244" s="3">
        <v>150</v>
      </c>
      <c r="H244" s="3">
        <v>90</v>
      </c>
      <c r="I244" s="12">
        <v>1</v>
      </c>
      <c r="J244" s="9" t="s">
        <v>529</v>
      </c>
      <c r="K244" s="9" t="s">
        <v>33</v>
      </c>
      <c r="L244" s="13">
        <v>1</v>
      </c>
      <c r="M244" s="9" t="s">
        <v>34</v>
      </c>
    </row>
    <row r="245" spans="1:13" ht="20.25" customHeight="1" x14ac:dyDescent="0.25">
      <c r="A245" s="9" t="s">
        <v>530</v>
      </c>
      <c r="B245" s="10">
        <v>45590</v>
      </c>
      <c r="C245" s="9" t="s">
        <v>54</v>
      </c>
      <c r="D245" s="9" t="s">
        <v>29</v>
      </c>
      <c r="E245" s="11" t="s">
        <v>58</v>
      </c>
      <c r="F245" s="11" t="s">
        <v>59</v>
      </c>
      <c r="G245" s="3">
        <v>150</v>
      </c>
      <c r="H245" s="3">
        <v>90</v>
      </c>
      <c r="I245" s="12">
        <v>1</v>
      </c>
      <c r="J245" s="9" t="s">
        <v>531</v>
      </c>
      <c r="K245" s="9" t="s">
        <v>49</v>
      </c>
      <c r="L245" s="13">
        <v>0</v>
      </c>
      <c r="M245" s="9" t="s">
        <v>34</v>
      </c>
    </row>
    <row r="246" spans="1:13" ht="20.25" customHeight="1" x14ac:dyDescent="0.25">
      <c r="A246" s="9" t="s">
        <v>532</v>
      </c>
      <c r="B246" s="10">
        <v>45590</v>
      </c>
      <c r="C246" s="9" t="s">
        <v>36</v>
      </c>
      <c r="D246" s="9" t="s">
        <v>42</v>
      </c>
      <c r="E246" s="11" t="s">
        <v>37</v>
      </c>
      <c r="F246" s="11" t="s">
        <v>38</v>
      </c>
      <c r="G246" s="3">
        <v>120</v>
      </c>
      <c r="H246" s="3">
        <v>70</v>
      </c>
      <c r="I246" s="12">
        <v>1</v>
      </c>
      <c r="J246" s="9" t="s">
        <v>533</v>
      </c>
      <c r="K246" s="9" t="s">
        <v>49</v>
      </c>
      <c r="L246" s="13">
        <v>0</v>
      </c>
      <c r="M246" s="9" t="s">
        <v>34</v>
      </c>
    </row>
    <row r="247" spans="1:13" ht="20.25" customHeight="1" x14ac:dyDescent="0.25">
      <c r="A247" s="9" t="s">
        <v>534</v>
      </c>
      <c r="B247" s="10">
        <v>45591</v>
      </c>
      <c r="C247" s="9" t="s">
        <v>41</v>
      </c>
      <c r="D247" s="9" t="s">
        <v>42</v>
      </c>
      <c r="E247" s="11" t="s">
        <v>30</v>
      </c>
      <c r="F247" s="11" t="s">
        <v>63</v>
      </c>
      <c r="G247" s="3">
        <v>2400</v>
      </c>
      <c r="H247" s="3">
        <v>1700</v>
      </c>
      <c r="I247" s="12">
        <v>2</v>
      </c>
      <c r="J247" s="9" t="s">
        <v>535</v>
      </c>
      <c r="K247" s="9" t="s">
        <v>49</v>
      </c>
      <c r="L247" s="13">
        <v>0</v>
      </c>
      <c r="M247" s="9" t="s">
        <v>34</v>
      </c>
    </row>
    <row r="248" spans="1:13" ht="20.25" customHeight="1" x14ac:dyDescent="0.25">
      <c r="A248" s="9" t="s">
        <v>536</v>
      </c>
      <c r="B248" s="10">
        <v>45591</v>
      </c>
      <c r="C248" s="9" t="s">
        <v>54</v>
      </c>
      <c r="D248" s="9" t="s">
        <v>51</v>
      </c>
      <c r="E248" s="11" t="s">
        <v>58</v>
      </c>
      <c r="F248" s="11" t="s">
        <v>87</v>
      </c>
      <c r="G248" s="3">
        <v>720</v>
      </c>
      <c r="H248" s="3">
        <v>440</v>
      </c>
      <c r="I248" s="12">
        <v>4</v>
      </c>
      <c r="J248" s="9" t="s">
        <v>537</v>
      </c>
      <c r="K248" s="9" t="s">
        <v>49</v>
      </c>
      <c r="L248" s="13">
        <v>0</v>
      </c>
      <c r="M248" s="9" t="s">
        <v>34</v>
      </c>
    </row>
    <row r="249" spans="1:13" ht="20.25" customHeight="1" x14ac:dyDescent="0.25">
      <c r="A249" s="9" t="s">
        <v>538</v>
      </c>
      <c r="B249" s="10">
        <v>45591</v>
      </c>
      <c r="C249" s="9" t="s">
        <v>36</v>
      </c>
      <c r="D249" s="9" t="s">
        <v>29</v>
      </c>
      <c r="E249" s="11" t="s">
        <v>58</v>
      </c>
      <c r="F249" s="11" t="s">
        <v>59</v>
      </c>
      <c r="G249" s="3">
        <v>300</v>
      </c>
      <c r="H249" s="3">
        <v>180</v>
      </c>
      <c r="I249" s="12">
        <v>2</v>
      </c>
      <c r="J249" s="9" t="s">
        <v>539</v>
      </c>
      <c r="K249" s="9" t="s">
        <v>33</v>
      </c>
      <c r="L249" s="13">
        <v>1</v>
      </c>
      <c r="M249" s="9" t="s">
        <v>34</v>
      </c>
    </row>
    <row r="250" spans="1:13" ht="20.25" customHeight="1" x14ac:dyDescent="0.25">
      <c r="A250" s="9" t="s">
        <v>540</v>
      </c>
      <c r="B250" s="10">
        <v>45592</v>
      </c>
      <c r="C250" s="9" t="s">
        <v>62</v>
      </c>
      <c r="D250" s="9" t="s">
        <v>51</v>
      </c>
      <c r="E250" s="11" t="s">
        <v>58</v>
      </c>
      <c r="F250" s="11" t="s">
        <v>68</v>
      </c>
      <c r="G250" s="3">
        <v>350</v>
      </c>
      <c r="H250" s="3">
        <v>220</v>
      </c>
      <c r="I250" s="12">
        <v>1</v>
      </c>
      <c r="J250" s="9" t="s">
        <v>541</v>
      </c>
      <c r="K250" s="9" t="s">
        <v>33</v>
      </c>
      <c r="L250" s="13">
        <v>1</v>
      </c>
      <c r="M250" s="9" t="s">
        <v>34</v>
      </c>
    </row>
    <row r="251" spans="1:13" ht="20.25" customHeight="1" x14ac:dyDescent="0.25">
      <c r="A251" s="9" t="s">
        <v>542</v>
      </c>
      <c r="B251" s="10">
        <v>45592</v>
      </c>
      <c r="C251" s="9" t="s">
        <v>36</v>
      </c>
      <c r="D251" s="9" t="s">
        <v>42</v>
      </c>
      <c r="E251" s="11" t="s">
        <v>43</v>
      </c>
      <c r="F251" s="11" t="s">
        <v>47</v>
      </c>
      <c r="G251" s="3">
        <v>220</v>
      </c>
      <c r="H251" s="3">
        <v>130</v>
      </c>
      <c r="I251" s="12">
        <v>2</v>
      </c>
      <c r="J251" s="9" t="s">
        <v>543</v>
      </c>
      <c r="K251" s="9" t="s">
        <v>33</v>
      </c>
      <c r="L251" s="13">
        <v>1</v>
      </c>
      <c r="M251" s="9" t="s">
        <v>34</v>
      </c>
    </row>
    <row r="252" spans="1:13" ht="20.25" customHeight="1" x14ac:dyDescent="0.25">
      <c r="A252" s="9" t="s">
        <v>544</v>
      </c>
      <c r="B252" s="10">
        <v>45592</v>
      </c>
      <c r="C252" s="9" t="s">
        <v>62</v>
      </c>
      <c r="D252" s="9" t="s">
        <v>51</v>
      </c>
      <c r="E252" s="11" t="s">
        <v>30</v>
      </c>
      <c r="F252" s="11" t="s">
        <v>80</v>
      </c>
      <c r="G252" s="3">
        <v>850</v>
      </c>
      <c r="H252" s="3">
        <v>600</v>
      </c>
      <c r="I252" s="12">
        <v>1</v>
      </c>
      <c r="J252" s="9" t="s">
        <v>85</v>
      </c>
      <c r="K252" s="9" t="s">
        <v>49</v>
      </c>
      <c r="L252" s="13">
        <v>0</v>
      </c>
      <c r="M252" s="9" t="s">
        <v>34</v>
      </c>
    </row>
    <row r="253" spans="1:13" ht="20.25" customHeight="1" x14ac:dyDescent="0.25">
      <c r="A253" s="9" t="s">
        <v>545</v>
      </c>
      <c r="B253" s="10">
        <v>45593</v>
      </c>
      <c r="C253" s="9" t="s">
        <v>28</v>
      </c>
      <c r="D253" s="9" t="s">
        <v>29</v>
      </c>
      <c r="E253" s="11" t="s">
        <v>43</v>
      </c>
      <c r="F253" s="11" t="s">
        <v>90</v>
      </c>
      <c r="G253" s="3">
        <v>450</v>
      </c>
      <c r="H253" s="3">
        <v>270</v>
      </c>
      <c r="I253" s="12">
        <v>3</v>
      </c>
      <c r="J253" s="9" t="s">
        <v>191</v>
      </c>
      <c r="K253" s="9" t="s">
        <v>49</v>
      </c>
      <c r="L253" s="13">
        <v>0</v>
      </c>
      <c r="M253" s="9" t="s">
        <v>34</v>
      </c>
    </row>
    <row r="254" spans="1:13" ht="20.25" customHeight="1" x14ac:dyDescent="0.25">
      <c r="A254" s="9" t="s">
        <v>546</v>
      </c>
      <c r="B254" s="10">
        <v>45593</v>
      </c>
      <c r="C254" s="9" t="s">
        <v>41</v>
      </c>
      <c r="D254" s="9" t="s">
        <v>51</v>
      </c>
      <c r="E254" s="11" t="s">
        <v>37</v>
      </c>
      <c r="F254" s="11" t="s">
        <v>55</v>
      </c>
      <c r="G254" s="3">
        <v>270</v>
      </c>
      <c r="H254" s="3">
        <v>165</v>
      </c>
      <c r="I254" s="12">
        <v>3</v>
      </c>
      <c r="J254" s="9" t="s">
        <v>547</v>
      </c>
      <c r="K254" s="9" t="s">
        <v>49</v>
      </c>
      <c r="L254" s="13">
        <v>0</v>
      </c>
      <c r="M254" s="9" t="s">
        <v>34</v>
      </c>
    </row>
    <row r="255" spans="1:13" ht="20.25" customHeight="1" x14ac:dyDescent="0.25">
      <c r="A255" s="9" t="s">
        <v>548</v>
      </c>
      <c r="B255" s="10">
        <v>45594</v>
      </c>
      <c r="C255" s="9" t="s">
        <v>36</v>
      </c>
      <c r="D255" s="9" t="s">
        <v>51</v>
      </c>
      <c r="E255" s="11" t="s">
        <v>37</v>
      </c>
      <c r="F255" s="11" t="s">
        <v>38</v>
      </c>
      <c r="G255" s="3">
        <v>120</v>
      </c>
      <c r="H255" s="3">
        <v>70</v>
      </c>
      <c r="I255" s="12">
        <v>1</v>
      </c>
      <c r="J255" s="9" t="s">
        <v>549</v>
      </c>
      <c r="K255" s="9" t="s">
        <v>49</v>
      </c>
      <c r="L255" s="13">
        <v>0</v>
      </c>
      <c r="M255" s="9" t="s">
        <v>34</v>
      </c>
    </row>
    <row r="256" spans="1:13" ht="20.25" customHeight="1" x14ac:dyDescent="0.25">
      <c r="A256" s="9" t="s">
        <v>550</v>
      </c>
      <c r="B256" s="10">
        <v>45594</v>
      </c>
      <c r="C256" s="9" t="s">
        <v>36</v>
      </c>
      <c r="D256" s="9" t="s">
        <v>51</v>
      </c>
      <c r="E256" s="11" t="s">
        <v>37</v>
      </c>
      <c r="F256" s="11" t="s">
        <v>72</v>
      </c>
      <c r="G256" s="3">
        <v>220</v>
      </c>
      <c r="H256" s="3">
        <v>130</v>
      </c>
      <c r="I256" s="12">
        <v>1</v>
      </c>
      <c r="J256" s="9" t="s">
        <v>551</v>
      </c>
      <c r="K256" s="9" t="s">
        <v>33</v>
      </c>
      <c r="L256" s="13">
        <v>1</v>
      </c>
      <c r="M256" s="9" t="s">
        <v>34</v>
      </c>
    </row>
    <row r="257" spans="1:13" ht="20.25" customHeight="1" x14ac:dyDescent="0.25">
      <c r="A257" s="9" t="s">
        <v>552</v>
      </c>
      <c r="B257" s="10">
        <v>45595</v>
      </c>
      <c r="C257" s="9" t="s">
        <v>71</v>
      </c>
      <c r="D257" s="9" t="s">
        <v>29</v>
      </c>
      <c r="E257" s="11" t="s">
        <v>58</v>
      </c>
      <c r="F257" s="11" t="s">
        <v>68</v>
      </c>
      <c r="G257" s="3">
        <v>350</v>
      </c>
      <c r="H257" s="3">
        <v>220</v>
      </c>
      <c r="I257" s="12">
        <v>1</v>
      </c>
      <c r="J257" s="9" t="s">
        <v>553</v>
      </c>
      <c r="K257" s="9" t="s">
        <v>49</v>
      </c>
      <c r="L257" s="13">
        <v>0</v>
      </c>
      <c r="M257" s="9" t="s">
        <v>34</v>
      </c>
    </row>
    <row r="258" spans="1:13" ht="20.25" customHeight="1" x14ac:dyDescent="0.25">
      <c r="A258" s="9" t="s">
        <v>554</v>
      </c>
      <c r="B258" s="10">
        <v>45595</v>
      </c>
      <c r="C258" s="9" t="s">
        <v>41</v>
      </c>
      <c r="D258" s="9" t="s">
        <v>29</v>
      </c>
      <c r="E258" s="11" t="s">
        <v>30</v>
      </c>
      <c r="F258" s="11" t="s">
        <v>63</v>
      </c>
      <c r="G258" s="3">
        <v>1200</v>
      </c>
      <c r="H258" s="3">
        <v>850</v>
      </c>
      <c r="I258" s="12">
        <v>1</v>
      </c>
      <c r="J258" s="9" t="s">
        <v>555</v>
      </c>
      <c r="K258" s="9" t="s">
        <v>49</v>
      </c>
      <c r="L258" s="13">
        <v>0</v>
      </c>
      <c r="M258" s="9" t="s">
        <v>34</v>
      </c>
    </row>
    <row r="259" spans="1:13" ht="20.25" customHeight="1" x14ac:dyDescent="0.25">
      <c r="A259" s="9" t="s">
        <v>556</v>
      </c>
      <c r="B259" s="10">
        <v>45595</v>
      </c>
      <c r="C259" s="9" t="s">
        <v>28</v>
      </c>
      <c r="D259" s="9" t="s">
        <v>42</v>
      </c>
      <c r="E259" s="11" t="s">
        <v>37</v>
      </c>
      <c r="F259" s="11" t="s">
        <v>38</v>
      </c>
      <c r="G259" s="3">
        <v>240</v>
      </c>
      <c r="H259" s="3">
        <v>140</v>
      </c>
      <c r="I259" s="12">
        <v>2</v>
      </c>
      <c r="J259" s="9" t="s">
        <v>557</v>
      </c>
      <c r="K259" s="9" t="s">
        <v>49</v>
      </c>
      <c r="L259" s="13">
        <v>0</v>
      </c>
      <c r="M259" s="9" t="s">
        <v>34</v>
      </c>
    </row>
    <row r="260" spans="1:13" ht="20.25" customHeight="1" x14ac:dyDescent="0.25">
      <c r="A260" s="9" t="s">
        <v>558</v>
      </c>
      <c r="B260" s="10">
        <v>45595</v>
      </c>
      <c r="C260" s="9" t="s">
        <v>28</v>
      </c>
      <c r="D260" s="9" t="s">
        <v>42</v>
      </c>
      <c r="E260" s="11" t="s">
        <v>58</v>
      </c>
      <c r="F260" s="11" t="s">
        <v>87</v>
      </c>
      <c r="G260" s="3">
        <v>180</v>
      </c>
      <c r="H260" s="3">
        <v>110</v>
      </c>
      <c r="I260" s="12">
        <v>1</v>
      </c>
      <c r="J260" s="9" t="s">
        <v>559</v>
      </c>
      <c r="K260" s="9" t="s">
        <v>49</v>
      </c>
      <c r="L260" s="13">
        <v>0</v>
      </c>
      <c r="M260" s="9" t="s">
        <v>34</v>
      </c>
    </row>
    <row r="261" spans="1:13" ht="20.25" customHeight="1" x14ac:dyDescent="0.25">
      <c r="A261" s="9" t="s">
        <v>560</v>
      </c>
      <c r="B261" s="10">
        <v>45596</v>
      </c>
      <c r="C261" s="9" t="s">
        <v>41</v>
      </c>
      <c r="D261" s="9" t="s">
        <v>29</v>
      </c>
      <c r="E261" s="11" t="s">
        <v>37</v>
      </c>
      <c r="F261" s="11" t="s">
        <v>55</v>
      </c>
      <c r="G261" s="3">
        <v>90</v>
      </c>
      <c r="H261" s="3">
        <v>55</v>
      </c>
      <c r="I261" s="12">
        <v>1</v>
      </c>
      <c r="J261" s="9" t="s">
        <v>561</v>
      </c>
      <c r="K261" s="9" t="s">
        <v>49</v>
      </c>
      <c r="L261" s="13">
        <v>0</v>
      </c>
      <c r="M261" s="9" t="s">
        <v>34</v>
      </c>
    </row>
    <row r="262" spans="1:13" ht="20.25" customHeight="1" x14ac:dyDescent="0.25">
      <c r="A262" s="9" t="s">
        <v>562</v>
      </c>
      <c r="B262" s="10">
        <v>45596</v>
      </c>
      <c r="C262" s="9" t="s">
        <v>41</v>
      </c>
      <c r="D262" s="9" t="s">
        <v>42</v>
      </c>
      <c r="E262" s="11" t="s">
        <v>58</v>
      </c>
      <c r="F262" s="11" t="s">
        <v>87</v>
      </c>
      <c r="G262" s="3">
        <v>-180</v>
      </c>
      <c r="H262" s="3">
        <v>-110</v>
      </c>
      <c r="I262" s="12">
        <v>-1</v>
      </c>
      <c r="J262" s="9" t="s">
        <v>563</v>
      </c>
      <c r="K262" s="9" t="s">
        <v>49</v>
      </c>
      <c r="L262" s="13">
        <v>0</v>
      </c>
      <c r="M262" s="9" t="s">
        <v>76</v>
      </c>
    </row>
    <row r="263" spans="1:13" ht="20.25" customHeight="1" x14ac:dyDescent="0.25">
      <c r="A263" s="9" t="s">
        <v>564</v>
      </c>
      <c r="B263" s="10">
        <v>45596</v>
      </c>
      <c r="C263" s="9" t="s">
        <v>62</v>
      </c>
      <c r="D263" s="9" t="s">
        <v>29</v>
      </c>
      <c r="E263" s="11" t="s">
        <v>43</v>
      </c>
      <c r="F263" s="11" t="s">
        <v>47</v>
      </c>
      <c r="G263" s="3">
        <v>220</v>
      </c>
      <c r="H263" s="3">
        <v>130</v>
      </c>
      <c r="I263" s="12">
        <v>2</v>
      </c>
      <c r="J263" s="9" t="s">
        <v>549</v>
      </c>
      <c r="K263" s="9" t="s">
        <v>49</v>
      </c>
      <c r="L263" s="13">
        <v>0</v>
      </c>
      <c r="M263" s="9" t="s">
        <v>34</v>
      </c>
    </row>
    <row r="264" spans="1:13" ht="20.25" customHeight="1" x14ac:dyDescent="0.25">
      <c r="A264" s="9" t="s">
        <v>565</v>
      </c>
      <c r="B264" s="10">
        <v>45597</v>
      </c>
      <c r="C264" s="9" t="s">
        <v>41</v>
      </c>
      <c r="D264" s="9" t="s">
        <v>51</v>
      </c>
      <c r="E264" s="11" t="s">
        <v>37</v>
      </c>
      <c r="F264" s="11" t="s">
        <v>55</v>
      </c>
      <c r="G264" s="3">
        <v>-90</v>
      </c>
      <c r="H264" s="3">
        <v>-55</v>
      </c>
      <c r="I264" s="12">
        <v>-1</v>
      </c>
      <c r="J264" s="9" t="s">
        <v>566</v>
      </c>
      <c r="K264" s="9" t="s">
        <v>33</v>
      </c>
      <c r="L264" s="13">
        <v>1</v>
      </c>
      <c r="M264" s="9" t="s">
        <v>76</v>
      </c>
    </row>
    <row r="265" spans="1:13" ht="20.25" customHeight="1" x14ac:dyDescent="0.25">
      <c r="A265" s="9" t="s">
        <v>567</v>
      </c>
      <c r="B265" s="10">
        <v>45597</v>
      </c>
      <c r="C265" s="9" t="s">
        <v>62</v>
      </c>
      <c r="D265" s="9" t="s">
        <v>51</v>
      </c>
      <c r="E265" s="11" t="s">
        <v>30</v>
      </c>
      <c r="F265" s="11" t="s">
        <v>63</v>
      </c>
      <c r="G265" s="3">
        <v>3600</v>
      </c>
      <c r="H265" s="3">
        <v>2550</v>
      </c>
      <c r="I265" s="12">
        <v>3</v>
      </c>
      <c r="J265" s="9" t="s">
        <v>161</v>
      </c>
      <c r="K265" s="9" t="s">
        <v>33</v>
      </c>
      <c r="L265" s="13">
        <v>1</v>
      </c>
      <c r="M265" s="9" t="s">
        <v>34</v>
      </c>
    </row>
    <row r="266" spans="1:13" ht="20.25" customHeight="1" x14ac:dyDescent="0.25">
      <c r="A266" s="9" t="s">
        <v>568</v>
      </c>
      <c r="B266" s="10">
        <v>45597</v>
      </c>
      <c r="C266" s="9" t="s">
        <v>41</v>
      </c>
      <c r="D266" s="9" t="s">
        <v>42</v>
      </c>
      <c r="E266" s="11" t="s">
        <v>58</v>
      </c>
      <c r="F266" s="11" t="s">
        <v>68</v>
      </c>
      <c r="G266" s="3">
        <v>1050</v>
      </c>
      <c r="H266" s="3">
        <v>660</v>
      </c>
      <c r="I266" s="12">
        <v>3</v>
      </c>
      <c r="J266" s="9" t="s">
        <v>569</v>
      </c>
      <c r="K266" s="9" t="s">
        <v>49</v>
      </c>
      <c r="L266" s="13">
        <v>0</v>
      </c>
      <c r="M266" s="9" t="s">
        <v>34</v>
      </c>
    </row>
    <row r="267" spans="1:13" ht="20.25" customHeight="1" x14ac:dyDescent="0.25">
      <c r="A267" s="9" t="s">
        <v>570</v>
      </c>
      <c r="B267" s="10">
        <v>45597</v>
      </c>
      <c r="C267" s="9" t="s">
        <v>28</v>
      </c>
      <c r="D267" s="9" t="s">
        <v>42</v>
      </c>
      <c r="E267" s="11" t="s">
        <v>43</v>
      </c>
      <c r="F267" s="11" t="s">
        <v>90</v>
      </c>
      <c r="G267" s="3">
        <v>450</v>
      </c>
      <c r="H267" s="3">
        <v>270</v>
      </c>
      <c r="I267" s="12">
        <v>3</v>
      </c>
      <c r="J267" s="9" t="s">
        <v>571</v>
      </c>
      <c r="K267" s="9" t="s">
        <v>49</v>
      </c>
      <c r="L267" s="13">
        <v>0</v>
      </c>
      <c r="M267" s="9" t="s">
        <v>34</v>
      </c>
    </row>
    <row r="268" spans="1:13" ht="20.25" customHeight="1" x14ac:dyDescent="0.25">
      <c r="A268" s="9" t="s">
        <v>572</v>
      </c>
      <c r="B268" s="10">
        <v>45598</v>
      </c>
      <c r="C268" s="9" t="s">
        <v>28</v>
      </c>
      <c r="D268" s="9" t="s">
        <v>29</v>
      </c>
      <c r="E268" s="11" t="s">
        <v>43</v>
      </c>
      <c r="F268" s="11" t="s">
        <v>90</v>
      </c>
      <c r="G268" s="3">
        <v>150</v>
      </c>
      <c r="H268" s="3">
        <v>90</v>
      </c>
      <c r="I268" s="12">
        <v>1</v>
      </c>
      <c r="J268" s="9" t="s">
        <v>573</v>
      </c>
      <c r="K268" s="9" t="s">
        <v>49</v>
      </c>
      <c r="L268" s="13">
        <v>0</v>
      </c>
      <c r="M268" s="9" t="s">
        <v>34</v>
      </c>
    </row>
    <row r="269" spans="1:13" ht="20.25" customHeight="1" x14ac:dyDescent="0.25">
      <c r="A269" s="9" t="s">
        <v>574</v>
      </c>
      <c r="B269" s="10">
        <v>45598</v>
      </c>
      <c r="C269" s="9" t="s">
        <v>41</v>
      </c>
      <c r="D269" s="9" t="s">
        <v>42</v>
      </c>
      <c r="E269" s="11" t="s">
        <v>58</v>
      </c>
      <c r="F269" s="11" t="s">
        <v>59</v>
      </c>
      <c r="G269" s="3">
        <v>150</v>
      </c>
      <c r="H269" s="3">
        <v>90</v>
      </c>
      <c r="I269" s="12">
        <v>1</v>
      </c>
      <c r="J269" s="9" t="s">
        <v>575</v>
      </c>
      <c r="K269" s="9" t="s">
        <v>49</v>
      </c>
      <c r="L269" s="13">
        <v>0</v>
      </c>
      <c r="M269" s="9" t="s">
        <v>34</v>
      </c>
    </row>
    <row r="270" spans="1:13" ht="20.25" customHeight="1" x14ac:dyDescent="0.25">
      <c r="A270" s="9" t="s">
        <v>576</v>
      </c>
      <c r="B270" s="10">
        <v>45598</v>
      </c>
      <c r="C270" s="9" t="s">
        <v>71</v>
      </c>
      <c r="D270" s="9" t="s">
        <v>29</v>
      </c>
      <c r="E270" s="11" t="s">
        <v>43</v>
      </c>
      <c r="F270" s="11" t="s">
        <v>90</v>
      </c>
      <c r="G270" s="3">
        <v>150</v>
      </c>
      <c r="H270" s="3">
        <v>90</v>
      </c>
      <c r="I270" s="12">
        <v>1</v>
      </c>
      <c r="J270" s="9" t="s">
        <v>577</v>
      </c>
      <c r="K270" s="9" t="s">
        <v>49</v>
      </c>
      <c r="L270" s="13">
        <v>0</v>
      </c>
      <c r="M270" s="9" t="s">
        <v>34</v>
      </c>
    </row>
    <row r="271" spans="1:13" ht="20.25" customHeight="1" x14ac:dyDescent="0.25">
      <c r="A271" s="9" t="s">
        <v>578</v>
      </c>
      <c r="B271" s="10">
        <v>45598</v>
      </c>
      <c r="C271" s="9" t="s">
        <v>28</v>
      </c>
      <c r="D271" s="9" t="s">
        <v>51</v>
      </c>
      <c r="E271" s="11" t="s">
        <v>30</v>
      </c>
      <c r="F271" s="11" t="s">
        <v>80</v>
      </c>
      <c r="G271" s="3">
        <v>850</v>
      </c>
      <c r="H271" s="3">
        <v>600</v>
      </c>
      <c r="I271" s="12">
        <v>1</v>
      </c>
      <c r="J271" s="9" t="s">
        <v>579</v>
      </c>
      <c r="K271" s="9" t="s">
        <v>49</v>
      </c>
      <c r="L271" s="13">
        <v>0</v>
      </c>
      <c r="M271" s="9" t="s">
        <v>34</v>
      </c>
    </row>
    <row r="272" spans="1:13" ht="20.25" customHeight="1" x14ac:dyDescent="0.25">
      <c r="A272" s="9" t="s">
        <v>580</v>
      </c>
      <c r="B272" s="10">
        <v>45599</v>
      </c>
      <c r="C272" s="9" t="s">
        <v>36</v>
      </c>
      <c r="D272" s="9" t="s">
        <v>51</v>
      </c>
      <c r="E272" s="11" t="s">
        <v>58</v>
      </c>
      <c r="F272" s="11" t="s">
        <v>68</v>
      </c>
      <c r="G272" s="3">
        <v>350</v>
      </c>
      <c r="H272" s="3">
        <v>220</v>
      </c>
      <c r="I272" s="12">
        <v>1</v>
      </c>
      <c r="J272" s="9" t="s">
        <v>581</v>
      </c>
      <c r="K272" s="9" t="s">
        <v>49</v>
      </c>
      <c r="L272" s="13">
        <v>0</v>
      </c>
      <c r="M272" s="9" t="s">
        <v>34</v>
      </c>
    </row>
    <row r="273" spans="1:13" ht="20.25" customHeight="1" x14ac:dyDescent="0.25">
      <c r="A273" s="9" t="s">
        <v>582</v>
      </c>
      <c r="B273" s="10">
        <v>45599</v>
      </c>
      <c r="C273" s="9" t="s">
        <v>62</v>
      </c>
      <c r="D273" s="9" t="s">
        <v>51</v>
      </c>
      <c r="E273" s="11" t="s">
        <v>43</v>
      </c>
      <c r="F273" s="11" t="s">
        <v>47</v>
      </c>
      <c r="G273" s="3">
        <v>220</v>
      </c>
      <c r="H273" s="3">
        <v>130</v>
      </c>
      <c r="I273" s="12">
        <v>2</v>
      </c>
      <c r="J273" s="9" t="s">
        <v>583</v>
      </c>
      <c r="K273" s="9" t="s">
        <v>49</v>
      </c>
      <c r="L273" s="13">
        <v>0</v>
      </c>
      <c r="M273" s="9" t="s">
        <v>34</v>
      </c>
    </row>
    <row r="274" spans="1:13" ht="20.25" customHeight="1" x14ac:dyDescent="0.25">
      <c r="A274" s="9" t="s">
        <v>584</v>
      </c>
      <c r="B274" s="10">
        <v>45599</v>
      </c>
      <c r="C274" s="9" t="s">
        <v>71</v>
      </c>
      <c r="D274" s="9" t="s">
        <v>29</v>
      </c>
      <c r="E274" s="11" t="s">
        <v>43</v>
      </c>
      <c r="F274" s="11" t="s">
        <v>47</v>
      </c>
      <c r="G274" s="3">
        <v>110</v>
      </c>
      <c r="H274" s="3">
        <v>65</v>
      </c>
      <c r="I274" s="12">
        <v>1</v>
      </c>
      <c r="J274" s="9" t="s">
        <v>585</v>
      </c>
      <c r="K274" s="9" t="s">
        <v>33</v>
      </c>
      <c r="L274" s="13">
        <v>1</v>
      </c>
      <c r="M274" s="9" t="s">
        <v>34</v>
      </c>
    </row>
    <row r="275" spans="1:13" ht="20.25" customHeight="1" x14ac:dyDescent="0.25">
      <c r="A275" s="9" t="s">
        <v>586</v>
      </c>
      <c r="B275" s="10">
        <v>45600</v>
      </c>
      <c r="C275" s="9" t="s">
        <v>36</v>
      </c>
      <c r="D275" s="9" t="s">
        <v>42</v>
      </c>
      <c r="E275" s="11" t="s">
        <v>37</v>
      </c>
      <c r="F275" s="11" t="s">
        <v>55</v>
      </c>
      <c r="G275" s="3">
        <v>270</v>
      </c>
      <c r="H275" s="3">
        <v>165</v>
      </c>
      <c r="I275" s="12">
        <v>3</v>
      </c>
      <c r="J275" s="9" t="s">
        <v>587</v>
      </c>
      <c r="K275" s="9" t="s">
        <v>33</v>
      </c>
      <c r="L275" s="13">
        <v>1</v>
      </c>
      <c r="M275" s="9" t="s">
        <v>34</v>
      </c>
    </row>
    <row r="276" spans="1:13" ht="20.25" customHeight="1" x14ac:dyDescent="0.25">
      <c r="A276" s="9" t="s">
        <v>588</v>
      </c>
      <c r="B276" s="10">
        <v>45600</v>
      </c>
      <c r="C276" s="9" t="s">
        <v>36</v>
      </c>
      <c r="D276" s="9" t="s">
        <v>29</v>
      </c>
      <c r="E276" s="11" t="s">
        <v>43</v>
      </c>
      <c r="F276" s="11" t="s">
        <v>90</v>
      </c>
      <c r="G276" s="3">
        <v>150</v>
      </c>
      <c r="H276" s="3">
        <v>90</v>
      </c>
      <c r="I276" s="12">
        <v>1</v>
      </c>
      <c r="J276" s="9" t="s">
        <v>589</v>
      </c>
      <c r="K276" s="9" t="s">
        <v>49</v>
      </c>
      <c r="L276" s="13">
        <v>0</v>
      </c>
      <c r="M276" s="9" t="s">
        <v>34</v>
      </c>
    </row>
    <row r="277" spans="1:13" ht="20.25" customHeight="1" x14ac:dyDescent="0.25">
      <c r="A277" s="9" t="s">
        <v>590</v>
      </c>
      <c r="B277" s="10">
        <v>45602</v>
      </c>
      <c r="C277" s="9" t="s">
        <v>28</v>
      </c>
      <c r="D277" s="9" t="s">
        <v>29</v>
      </c>
      <c r="E277" s="11" t="s">
        <v>30</v>
      </c>
      <c r="F277" s="11" t="s">
        <v>31</v>
      </c>
      <c r="G277" s="3">
        <v>1300</v>
      </c>
      <c r="H277" s="3">
        <v>900</v>
      </c>
      <c r="I277" s="12">
        <v>2</v>
      </c>
      <c r="J277" s="9" t="s">
        <v>591</v>
      </c>
      <c r="K277" s="9" t="s">
        <v>49</v>
      </c>
      <c r="L277" s="13">
        <v>0</v>
      </c>
      <c r="M277" s="9" t="s">
        <v>34</v>
      </c>
    </row>
    <row r="278" spans="1:13" ht="20.25" customHeight="1" x14ac:dyDescent="0.25">
      <c r="A278" s="9" t="s">
        <v>592</v>
      </c>
      <c r="B278" s="10">
        <v>45602</v>
      </c>
      <c r="C278" s="9" t="s">
        <v>36</v>
      </c>
      <c r="D278" s="9" t="s">
        <v>51</v>
      </c>
      <c r="E278" s="11" t="s">
        <v>43</v>
      </c>
      <c r="F278" s="11" t="s">
        <v>90</v>
      </c>
      <c r="G278" s="3">
        <v>300</v>
      </c>
      <c r="H278" s="3">
        <v>180</v>
      </c>
      <c r="I278" s="12">
        <v>2</v>
      </c>
      <c r="J278" s="9" t="s">
        <v>593</v>
      </c>
      <c r="K278" s="9" t="s">
        <v>49</v>
      </c>
      <c r="L278" s="13">
        <v>0</v>
      </c>
      <c r="M278" s="9" t="s">
        <v>34</v>
      </c>
    </row>
    <row r="279" spans="1:13" ht="20.25" customHeight="1" x14ac:dyDescent="0.25">
      <c r="A279" s="9" t="s">
        <v>594</v>
      </c>
      <c r="B279" s="10">
        <v>45602</v>
      </c>
      <c r="C279" s="9" t="s">
        <v>36</v>
      </c>
      <c r="D279" s="9" t="s">
        <v>29</v>
      </c>
      <c r="E279" s="11" t="s">
        <v>58</v>
      </c>
      <c r="F279" s="11" t="s">
        <v>68</v>
      </c>
      <c r="G279" s="3">
        <v>-700</v>
      </c>
      <c r="H279" s="3">
        <v>-440</v>
      </c>
      <c r="I279" s="12">
        <v>-2</v>
      </c>
      <c r="J279" s="9" t="s">
        <v>223</v>
      </c>
      <c r="K279" s="9" t="s">
        <v>33</v>
      </c>
      <c r="L279" s="13">
        <v>1</v>
      </c>
      <c r="M279" s="9" t="s">
        <v>76</v>
      </c>
    </row>
    <row r="280" spans="1:13" ht="20.25" customHeight="1" x14ac:dyDescent="0.25">
      <c r="A280" s="9" t="s">
        <v>595</v>
      </c>
      <c r="B280" s="10">
        <v>45602</v>
      </c>
      <c r="C280" s="9" t="s">
        <v>28</v>
      </c>
      <c r="D280" s="9" t="s">
        <v>42</v>
      </c>
      <c r="E280" s="11" t="s">
        <v>30</v>
      </c>
      <c r="F280" s="11" t="s">
        <v>63</v>
      </c>
      <c r="G280" s="3">
        <v>-3600</v>
      </c>
      <c r="H280" s="3">
        <v>-2550</v>
      </c>
      <c r="I280" s="12">
        <v>-3</v>
      </c>
      <c r="J280" s="9" t="s">
        <v>596</v>
      </c>
      <c r="K280" s="9" t="s">
        <v>33</v>
      </c>
      <c r="L280" s="13">
        <v>1</v>
      </c>
      <c r="M280" s="9" t="s">
        <v>76</v>
      </c>
    </row>
    <row r="281" spans="1:13" ht="20.25" customHeight="1" x14ac:dyDescent="0.25">
      <c r="A281" s="9" t="s">
        <v>597</v>
      </c>
      <c r="B281" s="10">
        <v>45602</v>
      </c>
      <c r="C281" s="9" t="s">
        <v>41</v>
      </c>
      <c r="D281" s="9" t="s">
        <v>29</v>
      </c>
      <c r="E281" s="11" t="s">
        <v>30</v>
      </c>
      <c r="F281" s="11" t="s">
        <v>63</v>
      </c>
      <c r="G281" s="3">
        <v>2400</v>
      </c>
      <c r="H281" s="3">
        <v>1700</v>
      </c>
      <c r="I281" s="12">
        <v>2</v>
      </c>
      <c r="J281" s="9" t="s">
        <v>598</v>
      </c>
      <c r="K281" s="9" t="s">
        <v>33</v>
      </c>
      <c r="L281" s="13">
        <v>1</v>
      </c>
      <c r="M281" s="9" t="s">
        <v>34</v>
      </c>
    </row>
    <row r="282" spans="1:13" ht="20.25" customHeight="1" x14ac:dyDescent="0.25">
      <c r="A282" s="9" t="s">
        <v>599</v>
      </c>
      <c r="B282" s="10">
        <v>45603</v>
      </c>
      <c r="C282" s="9" t="s">
        <v>36</v>
      </c>
      <c r="D282" s="9" t="s">
        <v>29</v>
      </c>
      <c r="E282" s="11" t="s">
        <v>58</v>
      </c>
      <c r="F282" s="11" t="s">
        <v>68</v>
      </c>
      <c r="G282" s="3">
        <v>1050</v>
      </c>
      <c r="H282" s="3">
        <v>660</v>
      </c>
      <c r="I282" s="12">
        <v>3</v>
      </c>
      <c r="J282" s="9" t="s">
        <v>600</v>
      </c>
      <c r="K282" s="9" t="s">
        <v>49</v>
      </c>
      <c r="L282" s="13">
        <v>0</v>
      </c>
      <c r="M282" s="9" t="s">
        <v>34</v>
      </c>
    </row>
    <row r="283" spans="1:13" ht="20.25" customHeight="1" x14ac:dyDescent="0.25">
      <c r="A283" s="9" t="s">
        <v>601</v>
      </c>
      <c r="B283" s="10">
        <v>45603</v>
      </c>
      <c r="C283" s="9" t="s">
        <v>54</v>
      </c>
      <c r="D283" s="9" t="s">
        <v>42</v>
      </c>
      <c r="E283" s="11" t="s">
        <v>30</v>
      </c>
      <c r="F283" s="11" t="s">
        <v>80</v>
      </c>
      <c r="G283" s="3">
        <v>850</v>
      </c>
      <c r="H283" s="3">
        <v>600</v>
      </c>
      <c r="I283" s="12">
        <v>1</v>
      </c>
      <c r="J283" s="9" t="s">
        <v>602</v>
      </c>
      <c r="K283" s="9" t="s">
        <v>49</v>
      </c>
      <c r="L283" s="13">
        <v>0</v>
      </c>
      <c r="M283" s="9" t="s">
        <v>34</v>
      </c>
    </row>
    <row r="284" spans="1:13" ht="20.25" customHeight="1" x14ac:dyDescent="0.25">
      <c r="A284" s="9" t="s">
        <v>603</v>
      </c>
      <c r="B284" s="10">
        <v>45604</v>
      </c>
      <c r="C284" s="9" t="s">
        <v>54</v>
      </c>
      <c r="D284" s="9" t="s">
        <v>51</v>
      </c>
      <c r="E284" s="11" t="s">
        <v>58</v>
      </c>
      <c r="F284" s="11" t="s">
        <v>87</v>
      </c>
      <c r="G284" s="3">
        <v>180</v>
      </c>
      <c r="H284" s="3">
        <v>110</v>
      </c>
      <c r="I284" s="12">
        <v>1</v>
      </c>
      <c r="J284" s="9" t="s">
        <v>604</v>
      </c>
      <c r="K284" s="9" t="s">
        <v>49</v>
      </c>
      <c r="L284" s="13">
        <v>0</v>
      </c>
      <c r="M284" s="9" t="s">
        <v>34</v>
      </c>
    </row>
    <row r="285" spans="1:13" ht="20.25" customHeight="1" x14ac:dyDescent="0.25">
      <c r="A285" s="9" t="s">
        <v>605</v>
      </c>
      <c r="B285" s="10">
        <v>45604</v>
      </c>
      <c r="C285" s="9" t="s">
        <v>28</v>
      </c>
      <c r="D285" s="9" t="s">
        <v>29</v>
      </c>
      <c r="E285" s="11" t="s">
        <v>30</v>
      </c>
      <c r="F285" s="11" t="s">
        <v>31</v>
      </c>
      <c r="G285" s="3">
        <v>650</v>
      </c>
      <c r="H285" s="3">
        <v>450</v>
      </c>
      <c r="I285" s="12">
        <v>1</v>
      </c>
      <c r="J285" s="9" t="s">
        <v>606</v>
      </c>
      <c r="K285" s="9" t="s">
        <v>33</v>
      </c>
      <c r="L285" s="13">
        <v>1</v>
      </c>
      <c r="M285" s="9" t="s">
        <v>34</v>
      </c>
    </row>
    <row r="286" spans="1:13" ht="20.25" customHeight="1" x14ac:dyDescent="0.25">
      <c r="A286" s="9" t="s">
        <v>607</v>
      </c>
      <c r="B286" s="10">
        <v>45605</v>
      </c>
      <c r="C286" s="9" t="s">
        <v>41</v>
      </c>
      <c r="D286" s="9" t="s">
        <v>51</v>
      </c>
      <c r="E286" s="11" t="s">
        <v>30</v>
      </c>
      <c r="F286" s="11" t="s">
        <v>63</v>
      </c>
      <c r="G286" s="3">
        <v>1200</v>
      </c>
      <c r="H286" s="3">
        <v>850</v>
      </c>
      <c r="I286" s="12">
        <v>1</v>
      </c>
      <c r="J286" s="9" t="s">
        <v>608</v>
      </c>
      <c r="K286" s="9" t="s">
        <v>33</v>
      </c>
      <c r="L286" s="13">
        <v>1</v>
      </c>
      <c r="M286" s="9" t="s">
        <v>34</v>
      </c>
    </row>
    <row r="287" spans="1:13" ht="20.25" customHeight="1" x14ac:dyDescent="0.25">
      <c r="A287" s="9" t="s">
        <v>609</v>
      </c>
      <c r="B287" s="10">
        <v>45605</v>
      </c>
      <c r="C287" s="9" t="s">
        <v>36</v>
      </c>
      <c r="D287" s="9" t="s">
        <v>51</v>
      </c>
      <c r="E287" s="11" t="s">
        <v>37</v>
      </c>
      <c r="F287" s="11" t="s">
        <v>38</v>
      </c>
      <c r="G287" s="3">
        <v>120</v>
      </c>
      <c r="H287" s="3">
        <v>70</v>
      </c>
      <c r="I287" s="12">
        <v>1</v>
      </c>
      <c r="J287" s="9" t="s">
        <v>610</v>
      </c>
      <c r="K287" s="9" t="s">
        <v>49</v>
      </c>
      <c r="L287" s="13">
        <v>0</v>
      </c>
      <c r="M287" s="9" t="s">
        <v>34</v>
      </c>
    </row>
    <row r="288" spans="1:13" ht="20.25" customHeight="1" x14ac:dyDescent="0.25">
      <c r="A288" s="9" t="s">
        <v>611</v>
      </c>
      <c r="B288" s="10">
        <v>45605</v>
      </c>
      <c r="C288" s="9" t="s">
        <v>54</v>
      </c>
      <c r="D288" s="9" t="s">
        <v>51</v>
      </c>
      <c r="E288" s="11" t="s">
        <v>58</v>
      </c>
      <c r="F288" s="11" t="s">
        <v>87</v>
      </c>
      <c r="G288" s="3">
        <v>180</v>
      </c>
      <c r="H288" s="3">
        <v>110</v>
      </c>
      <c r="I288" s="12">
        <v>1</v>
      </c>
      <c r="J288" s="9" t="s">
        <v>612</v>
      </c>
      <c r="K288" s="9" t="s">
        <v>33</v>
      </c>
      <c r="L288" s="13">
        <v>1</v>
      </c>
      <c r="M288" s="9" t="s">
        <v>34</v>
      </c>
    </row>
    <row r="289" spans="1:13" ht="20.25" customHeight="1" x14ac:dyDescent="0.25">
      <c r="A289" s="9" t="s">
        <v>613</v>
      </c>
      <c r="B289" s="10">
        <v>45605</v>
      </c>
      <c r="C289" s="9" t="s">
        <v>28</v>
      </c>
      <c r="D289" s="9" t="s">
        <v>29</v>
      </c>
      <c r="E289" s="11" t="s">
        <v>58</v>
      </c>
      <c r="F289" s="11" t="s">
        <v>59</v>
      </c>
      <c r="G289" s="3">
        <v>150</v>
      </c>
      <c r="H289" s="3">
        <v>90</v>
      </c>
      <c r="I289" s="12">
        <v>1</v>
      </c>
      <c r="J289" s="9" t="s">
        <v>614</v>
      </c>
      <c r="K289" s="9" t="s">
        <v>33</v>
      </c>
      <c r="L289" s="13">
        <v>1</v>
      </c>
      <c r="M289" s="9" t="s">
        <v>34</v>
      </c>
    </row>
    <row r="290" spans="1:13" ht="20.25" customHeight="1" x14ac:dyDescent="0.25">
      <c r="A290" s="9" t="s">
        <v>615</v>
      </c>
      <c r="B290" s="10">
        <v>45605</v>
      </c>
      <c r="C290" s="9" t="s">
        <v>41</v>
      </c>
      <c r="D290" s="9" t="s">
        <v>42</v>
      </c>
      <c r="E290" s="11" t="s">
        <v>37</v>
      </c>
      <c r="F290" s="11" t="s">
        <v>38</v>
      </c>
      <c r="G290" s="3">
        <v>120</v>
      </c>
      <c r="H290" s="3">
        <v>70</v>
      </c>
      <c r="I290" s="12">
        <v>1</v>
      </c>
      <c r="J290" s="9" t="s">
        <v>616</v>
      </c>
      <c r="K290" s="9" t="s">
        <v>49</v>
      </c>
      <c r="L290" s="13">
        <v>0</v>
      </c>
      <c r="M290" s="9" t="s">
        <v>34</v>
      </c>
    </row>
    <row r="291" spans="1:13" ht="20.25" customHeight="1" x14ac:dyDescent="0.25">
      <c r="A291" s="9" t="s">
        <v>617</v>
      </c>
      <c r="B291" s="10">
        <v>45605</v>
      </c>
      <c r="C291" s="9" t="s">
        <v>71</v>
      </c>
      <c r="D291" s="9" t="s">
        <v>42</v>
      </c>
      <c r="E291" s="11" t="s">
        <v>43</v>
      </c>
      <c r="F291" s="11" t="s">
        <v>90</v>
      </c>
      <c r="G291" s="3">
        <v>150</v>
      </c>
      <c r="H291" s="3">
        <v>90</v>
      </c>
      <c r="I291" s="12">
        <v>1</v>
      </c>
      <c r="J291" s="9" t="s">
        <v>618</v>
      </c>
      <c r="K291" s="9" t="s">
        <v>49</v>
      </c>
      <c r="L291" s="13">
        <v>0</v>
      </c>
      <c r="M291" s="9" t="s">
        <v>34</v>
      </c>
    </row>
    <row r="292" spans="1:13" ht="20.25" customHeight="1" x14ac:dyDescent="0.25">
      <c r="A292" s="9" t="s">
        <v>619</v>
      </c>
      <c r="B292" s="10">
        <v>45606</v>
      </c>
      <c r="C292" s="9" t="s">
        <v>28</v>
      </c>
      <c r="D292" s="9" t="s">
        <v>51</v>
      </c>
      <c r="E292" s="11" t="s">
        <v>43</v>
      </c>
      <c r="F292" s="11" t="s">
        <v>44</v>
      </c>
      <c r="G292" s="3">
        <v>135</v>
      </c>
      <c r="H292" s="3">
        <v>60</v>
      </c>
      <c r="I292" s="12">
        <v>3</v>
      </c>
      <c r="J292" s="9" t="s">
        <v>620</v>
      </c>
      <c r="K292" s="9" t="s">
        <v>49</v>
      </c>
      <c r="L292" s="13">
        <v>0</v>
      </c>
      <c r="M292" s="9" t="s">
        <v>34</v>
      </c>
    </row>
    <row r="293" spans="1:13" ht="20.25" customHeight="1" x14ac:dyDescent="0.25">
      <c r="A293" s="9" t="s">
        <v>621</v>
      </c>
      <c r="B293" s="10">
        <v>45607</v>
      </c>
      <c r="C293" s="9" t="s">
        <v>28</v>
      </c>
      <c r="D293" s="9" t="s">
        <v>29</v>
      </c>
      <c r="E293" s="11" t="s">
        <v>58</v>
      </c>
      <c r="F293" s="11" t="s">
        <v>59</v>
      </c>
      <c r="G293" s="3">
        <v>-150</v>
      </c>
      <c r="H293" s="3">
        <v>-90</v>
      </c>
      <c r="I293" s="12">
        <v>-1</v>
      </c>
      <c r="J293" s="9" t="s">
        <v>187</v>
      </c>
      <c r="K293" s="9" t="s">
        <v>49</v>
      </c>
      <c r="L293" s="13">
        <v>0</v>
      </c>
      <c r="M293" s="9" t="s">
        <v>76</v>
      </c>
    </row>
    <row r="294" spans="1:13" ht="20.25" customHeight="1" x14ac:dyDescent="0.25">
      <c r="A294" s="9" t="s">
        <v>622</v>
      </c>
      <c r="B294" s="10">
        <v>45607</v>
      </c>
      <c r="C294" s="9" t="s">
        <v>41</v>
      </c>
      <c r="D294" s="9" t="s">
        <v>42</v>
      </c>
      <c r="E294" s="11" t="s">
        <v>37</v>
      </c>
      <c r="F294" s="11" t="s">
        <v>72</v>
      </c>
      <c r="G294" s="3">
        <v>440</v>
      </c>
      <c r="H294" s="3">
        <v>260</v>
      </c>
      <c r="I294" s="12">
        <v>2</v>
      </c>
      <c r="J294" s="9" t="s">
        <v>623</v>
      </c>
      <c r="K294" s="9" t="s">
        <v>49</v>
      </c>
      <c r="L294" s="13">
        <v>0</v>
      </c>
      <c r="M294" s="9" t="s">
        <v>34</v>
      </c>
    </row>
    <row r="295" spans="1:13" ht="20.25" customHeight="1" x14ac:dyDescent="0.25">
      <c r="A295" s="9" t="s">
        <v>624</v>
      </c>
      <c r="B295" s="10">
        <v>45607</v>
      </c>
      <c r="C295" s="9" t="s">
        <v>41</v>
      </c>
      <c r="D295" s="9" t="s">
        <v>51</v>
      </c>
      <c r="E295" s="11" t="s">
        <v>30</v>
      </c>
      <c r="F295" s="11" t="s">
        <v>31</v>
      </c>
      <c r="G295" s="3">
        <v>650</v>
      </c>
      <c r="H295" s="3">
        <v>450</v>
      </c>
      <c r="I295" s="12">
        <v>1</v>
      </c>
      <c r="J295" s="9" t="s">
        <v>625</v>
      </c>
      <c r="K295" s="9" t="s">
        <v>49</v>
      </c>
      <c r="L295" s="13">
        <v>0</v>
      </c>
      <c r="M295" s="9" t="s">
        <v>34</v>
      </c>
    </row>
    <row r="296" spans="1:13" ht="20.25" customHeight="1" x14ac:dyDescent="0.25">
      <c r="A296" s="9" t="s">
        <v>626</v>
      </c>
      <c r="B296" s="10">
        <v>45608</v>
      </c>
      <c r="C296" s="9" t="s">
        <v>36</v>
      </c>
      <c r="D296" s="9" t="s">
        <v>51</v>
      </c>
      <c r="E296" s="11" t="s">
        <v>30</v>
      </c>
      <c r="F296" s="11" t="s">
        <v>80</v>
      </c>
      <c r="G296" s="3">
        <v>2550</v>
      </c>
      <c r="H296" s="3">
        <v>1800</v>
      </c>
      <c r="I296" s="12">
        <v>3</v>
      </c>
      <c r="J296" s="9" t="s">
        <v>627</v>
      </c>
      <c r="K296" s="9" t="s">
        <v>49</v>
      </c>
      <c r="L296" s="13">
        <v>0</v>
      </c>
      <c r="M296" s="9" t="s">
        <v>34</v>
      </c>
    </row>
    <row r="297" spans="1:13" ht="20.25" customHeight="1" x14ac:dyDescent="0.25">
      <c r="A297" s="9" t="s">
        <v>628</v>
      </c>
      <c r="B297" s="10">
        <v>45608</v>
      </c>
      <c r="C297" s="9" t="s">
        <v>71</v>
      </c>
      <c r="D297" s="9" t="s">
        <v>29</v>
      </c>
      <c r="E297" s="11" t="s">
        <v>58</v>
      </c>
      <c r="F297" s="11" t="s">
        <v>68</v>
      </c>
      <c r="G297" s="3">
        <v>1050</v>
      </c>
      <c r="H297" s="3">
        <v>660</v>
      </c>
      <c r="I297" s="12">
        <v>3</v>
      </c>
      <c r="J297" s="9" t="s">
        <v>629</v>
      </c>
      <c r="K297" s="9" t="s">
        <v>49</v>
      </c>
      <c r="L297" s="13">
        <v>0</v>
      </c>
      <c r="M297" s="9" t="s">
        <v>34</v>
      </c>
    </row>
    <row r="298" spans="1:13" ht="20.25" customHeight="1" x14ac:dyDescent="0.25">
      <c r="A298" s="9" t="s">
        <v>630</v>
      </c>
      <c r="B298" s="10">
        <v>45609</v>
      </c>
      <c r="C298" s="9" t="s">
        <v>36</v>
      </c>
      <c r="D298" s="9" t="s">
        <v>42</v>
      </c>
      <c r="E298" s="11" t="s">
        <v>43</v>
      </c>
      <c r="F298" s="11" t="s">
        <v>44</v>
      </c>
      <c r="G298" s="3">
        <v>90</v>
      </c>
      <c r="H298" s="3">
        <v>40</v>
      </c>
      <c r="I298" s="12">
        <v>2</v>
      </c>
      <c r="J298" s="9" t="s">
        <v>631</v>
      </c>
      <c r="K298" s="9" t="s">
        <v>49</v>
      </c>
      <c r="L298" s="13">
        <v>0</v>
      </c>
      <c r="M298" s="9" t="s">
        <v>34</v>
      </c>
    </row>
    <row r="299" spans="1:13" ht="20.25" customHeight="1" x14ac:dyDescent="0.25">
      <c r="A299" s="9" t="s">
        <v>632</v>
      </c>
      <c r="B299" s="10">
        <v>45609</v>
      </c>
      <c r="C299" s="9" t="s">
        <v>41</v>
      </c>
      <c r="D299" s="9" t="s">
        <v>51</v>
      </c>
      <c r="E299" s="11" t="s">
        <v>30</v>
      </c>
      <c r="F299" s="11" t="s">
        <v>31</v>
      </c>
      <c r="G299" s="3">
        <v>1300</v>
      </c>
      <c r="H299" s="3">
        <v>900</v>
      </c>
      <c r="I299" s="12">
        <v>2</v>
      </c>
      <c r="J299" s="9" t="s">
        <v>250</v>
      </c>
      <c r="K299" s="9" t="s">
        <v>49</v>
      </c>
      <c r="L299" s="13">
        <v>0</v>
      </c>
      <c r="M299" s="9" t="s">
        <v>34</v>
      </c>
    </row>
    <row r="300" spans="1:13" ht="20.25" customHeight="1" x14ac:dyDescent="0.25">
      <c r="A300" s="9" t="s">
        <v>633</v>
      </c>
      <c r="B300" s="10">
        <v>45609</v>
      </c>
      <c r="C300" s="9" t="s">
        <v>28</v>
      </c>
      <c r="D300" s="9" t="s">
        <v>29</v>
      </c>
      <c r="E300" s="11" t="s">
        <v>30</v>
      </c>
      <c r="F300" s="11" t="s">
        <v>63</v>
      </c>
      <c r="G300" s="3">
        <v>1200</v>
      </c>
      <c r="H300" s="3">
        <v>850</v>
      </c>
      <c r="I300" s="12">
        <v>1</v>
      </c>
      <c r="J300" s="9" t="s">
        <v>634</v>
      </c>
      <c r="K300" s="9" t="s">
        <v>33</v>
      </c>
      <c r="L300" s="13">
        <v>1</v>
      </c>
      <c r="M300" s="9" t="s">
        <v>34</v>
      </c>
    </row>
    <row r="301" spans="1:13" ht="20.25" customHeight="1" x14ac:dyDescent="0.25">
      <c r="A301" s="9" t="s">
        <v>635</v>
      </c>
      <c r="B301" s="10">
        <v>45609</v>
      </c>
      <c r="C301" s="9" t="s">
        <v>54</v>
      </c>
      <c r="D301" s="9" t="s">
        <v>29</v>
      </c>
      <c r="E301" s="11" t="s">
        <v>30</v>
      </c>
      <c r="F301" s="11" t="s">
        <v>63</v>
      </c>
      <c r="G301" s="3">
        <v>6000</v>
      </c>
      <c r="H301" s="3">
        <v>4250</v>
      </c>
      <c r="I301" s="12">
        <v>5</v>
      </c>
      <c r="J301" s="9" t="s">
        <v>636</v>
      </c>
      <c r="K301" s="9" t="s">
        <v>49</v>
      </c>
      <c r="L301" s="13">
        <v>0</v>
      </c>
      <c r="M301" s="9" t="s">
        <v>34</v>
      </c>
    </row>
    <row r="302" spans="1:13" ht="20.25" customHeight="1" x14ac:dyDescent="0.25">
      <c r="A302" s="9" t="s">
        <v>637</v>
      </c>
      <c r="B302" s="10">
        <v>45610</v>
      </c>
      <c r="C302" s="9" t="s">
        <v>28</v>
      </c>
      <c r="D302" s="9" t="s">
        <v>42</v>
      </c>
      <c r="E302" s="11" t="s">
        <v>43</v>
      </c>
      <c r="F302" s="11" t="s">
        <v>90</v>
      </c>
      <c r="G302" s="3">
        <v>450</v>
      </c>
      <c r="H302" s="3">
        <v>270</v>
      </c>
      <c r="I302" s="12">
        <v>3</v>
      </c>
      <c r="J302" s="9" t="s">
        <v>638</v>
      </c>
      <c r="K302" s="9" t="s">
        <v>49</v>
      </c>
      <c r="L302" s="13">
        <v>0</v>
      </c>
      <c r="M302" s="9" t="s">
        <v>34</v>
      </c>
    </row>
    <row r="303" spans="1:13" ht="20.25" customHeight="1" x14ac:dyDescent="0.25">
      <c r="A303" s="9" t="s">
        <v>639</v>
      </c>
      <c r="B303" s="10">
        <v>45610</v>
      </c>
      <c r="C303" s="9" t="s">
        <v>36</v>
      </c>
      <c r="D303" s="9" t="s">
        <v>29</v>
      </c>
      <c r="E303" s="11" t="s">
        <v>37</v>
      </c>
      <c r="F303" s="11" t="s">
        <v>55</v>
      </c>
      <c r="G303" s="3">
        <v>270</v>
      </c>
      <c r="H303" s="3">
        <v>165</v>
      </c>
      <c r="I303" s="12">
        <v>3</v>
      </c>
      <c r="J303" s="9" t="s">
        <v>640</v>
      </c>
      <c r="K303" s="9" t="s">
        <v>49</v>
      </c>
      <c r="L303" s="13">
        <v>0</v>
      </c>
      <c r="M303" s="9" t="s">
        <v>34</v>
      </c>
    </row>
    <row r="304" spans="1:13" ht="20.25" customHeight="1" x14ac:dyDescent="0.25">
      <c r="A304" s="9" t="s">
        <v>641</v>
      </c>
      <c r="B304" s="10">
        <v>45610</v>
      </c>
      <c r="C304" s="9" t="s">
        <v>28</v>
      </c>
      <c r="D304" s="9" t="s">
        <v>42</v>
      </c>
      <c r="E304" s="11" t="s">
        <v>30</v>
      </c>
      <c r="F304" s="11" t="s">
        <v>80</v>
      </c>
      <c r="G304" s="3">
        <v>1700</v>
      </c>
      <c r="H304" s="3">
        <v>1200</v>
      </c>
      <c r="I304" s="12">
        <v>2</v>
      </c>
      <c r="J304" s="9" t="s">
        <v>642</v>
      </c>
      <c r="K304" s="9" t="s">
        <v>49</v>
      </c>
      <c r="L304" s="13">
        <v>0</v>
      </c>
      <c r="M304" s="9" t="s">
        <v>34</v>
      </c>
    </row>
    <row r="305" spans="1:13" ht="20.25" customHeight="1" x14ac:dyDescent="0.25">
      <c r="A305" s="9" t="s">
        <v>643</v>
      </c>
      <c r="B305" s="10">
        <v>45610</v>
      </c>
      <c r="C305" s="9" t="s">
        <v>28</v>
      </c>
      <c r="D305" s="9" t="s">
        <v>51</v>
      </c>
      <c r="E305" s="11" t="s">
        <v>37</v>
      </c>
      <c r="F305" s="11" t="s">
        <v>72</v>
      </c>
      <c r="G305" s="3">
        <v>220</v>
      </c>
      <c r="H305" s="3">
        <v>130</v>
      </c>
      <c r="I305" s="12">
        <v>1</v>
      </c>
      <c r="J305" s="9" t="s">
        <v>644</v>
      </c>
      <c r="K305" s="9" t="s">
        <v>33</v>
      </c>
      <c r="L305" s="13">
        <v>1</v>
      </c>
      <c r="M305" s="9" t="s">
        <v>34</v>
      </c>
    </row>
    <row r="306" spans="1:13" ht="20.25" customHeight="1" x14ac:dyDescent="0.25">
      <c r="A306" s="9" t="s">
        <v>645</v>
      </c>
      <c r="B306" s="10">
        <v>45611</v>
      </c>
      <c r="C306" s="9" t="s">
        <v>71</v>
      </c>
      <c r="D306" s="9" t="s">
        <v>51</v>
      </c>
      <c r="E306" s="11" t="s">
        <v>58</v>
      </c>
      <c r="F306" s="11" t="s">
        <v>59</v>
      </c>
      <c r="G306" s="3">
        <v>450</v>
      </c>
      <c r="H306" s="3">
        <v>270</v>
      </c>
      <c r="I306" s="12">
        <v>3</v>
      </c>
      <c r="J306" s="9" t="s">
        <v>646</v>
      </c>
      <c r="K306" s="9" t="s">
        <v>49</v>
      </c>
      <c r="L306" s="13">
        <v>0</v>
      </c>
      <c r="M306" s="9" t="s">
        <v>34</v>
      </c>
    </row>
    <row r="307" spans="1:13" ht="20.25" customHeight="1" x14ac:dyDescent="0.25">
      <c r="A307" s="9" t="s">
        <v>647</v>
      </c>
      <c r="B307" s="10">
        <v>45611</v>
      </c>
      <c r="C307" s="9" t="s">
        <v>28</v>
      </c>
      <c r="D307" s="9" t="s">
        <v>29</v>
      </c>
      <c r="E307" s="11" t="s">
        <v>37</v>
      </c>
      <c r="F307" s="11" t="s">
        <v>55</v>
      </c>
      <c r="G307" s="3">
        <v>90</v>
      </c>
      <c r="H307" s="3">
        <v>55</v>
      </c>
      <c r="I307" s="12">
        <v>1</v>
      </c>
      <c r="J307" s="9" t="s">
        <v>648</v>
      </c>
      <c r="K307" s="9" t="s">
        <v>33</v>
      </c>
      <c r="L307" s="13">
        <v>1</v>
      </c>
      <c r="M307" s="9" t="s">
        <v>34</v>
      </c>
    </row>
    <row r="308" spans="1:13" ht="20.25" customHeight="1" x14ac:dyDescent="0.25">
      <c r="A308" s="9" t="s">
        <v>649</v>
      </c>
      <c r="B308" s="10">
        <v>45612</v>
      </c>
      <c r="C308" s="9" t="s">
        <v>54</v>
      </c>
      <c r="D308" s="9" t="s">
        <v>29</v>
      </c>
      <c r="E308" s="11" t="s">
        <v>30</v>
      </c>
      <c r="F308" s="11" t="s">
        <v>63</v>
      </c>
      <c r="G308" s="3">
        <v>1200</v>
      </c>
      <c r="H308" s="3">
        <v>850</v>
      </c>
      <c r="I308" s="12">
        <v>1</v>
      </c>
      <c r="J308" s="9" t="s">
        <v>650</v>
      </c>
      <c r="K308" s="9" t="s">
        <v>49</v>
      </c>
      <c r="L308" s="13">
        <v>0</v>
      </c>
      <c r="M308" s="9" t="s">
        <v>34</v>
      </c>
    </row>
    <row r="309" spans="1:13" ht="20.25" customHeight="1" x14ac:dyDescent="0.25">
      <c r="A309" s="9" t="s">
        <v>651</v>
      </c>
      <c r="B309" s="10">
        <v>45612</v>
      </c>
      <c r="C309" s="9" t="s">
        <v>28</v>
      </c>
      <c r="D309" s="9" t="s">
        <v>42</v>
      </c>
      <c r="E309" s="11" t="s">
        <v>43</v>
      </c>
      <c r="F309" s="11" t="s">
        <v>44</v>
      </c>
      <c r="G309" s="3">
        <v>45</v>
      </c>
      <c r="H309" s="3">
        <v>20</v>
      </c>
      <c r="I309" s="12">
        <v>1</v>
      </c>
      <c r="J309" s="9" t="s">
        <v>652</v>
      </c>
      <c r="K309" s="9" t="s">
        <v>49</v>
      </c>
      <c r="L309" s="13">
        <v>0</v>
      </c>
      <c r="M309" s="9" t="s">
        <v>34</v>
      </c>
    </row>
    <row r="310" spans="1:13" ht="20.25" customHeight="1" x14ac:dyDescent="0.25">
      <c r="A310" s="9" t="s">
        <v>653</v>
      </c>
      <c r="B310" s="10">
        <v>45613</v>
      </c>
      <c r="C310" s="9" t="s">
        <v>36</v>
      </c>
      <c r="D310" s="9" t="s">
        <v>29</v>
      </c>
      <c r="E310" s="11" t="s">
        <v>58</v>
      </c>
      <c r="F310" s="11" t="s">
        <v>68</v>
      </c>
      <c r="G310" s="3">
        <v>1050</v>
      </c>
      <c r="H310" s="3">
        <v>660</v>
      </c>
      <c r="I310" s="12">
        <v>3</v>
      </c>
      <c r="J310" s="9" t="s">
        <v>549</v>
      </c>
      <c r="K310" s="9" t="s">
        <v>49</v>
      </c>
      <c r="L310" s="13">
        <v>0</v>
      </c>
      <c r="M310" s="9" t="s">
        <v>34</v>
      </c>
    </row>
    <row r="311" spans="1:13" ht="20.25" customHeight="1" x14ac:dyDescent="0.25">
      <c r="A311" s="9" t="s">
        <v>654</v>
      </c>
      <c r="B311" s="10">
        <v>45613</v>
      </c>
      <c r="C311" s="9" t="s">
        <v>36</v>
      </c>
      <c r="D311" s="9" t="s">
        <v>51</v>
      </c>
      <c r="E311" s="11" t="s">
        <v>37</v>
      </c>
      <c r="F311" s="11" t="s">
        <v>72</v>
      </c>
      <c r="G311" s="3">
        <v>220</v>
      </c>
      <c r="H311" s="3">
        <v>130</v>
      </c>
      <c r="I311" s="12">
        <v>1</v>
      </c>
      <c r="J311" s="9" t="s">
        <v>655</v>
      </c>
      <c r="K311" s="9" t="s">
        <v>49</v>
      </c>
      <c r="L311" s="13">
        <v>0</v>
      </c>
      <c r="M311" s="9" t="s">
        <v>34</v>
      </c>
    </row>
    <row r="312" spans="1:13" ht="20.25" customHeight="1" x14ac:dyDescent="0.25">
      <c r="A312" s="9" t="s">
        <v>656</v>
      </c>
      <c r="B312" s="10">
        <v>45614</v>
      </c>
      <c r="C312" s="9" t="s">
        <v>28</v>
      </c>
      <c r="D312" s="9" t="s">
        <v>29</v>
      </c>
      <c r="E312" s="11" t="s">
        <v>30</v>
      </c>
      <c r="F312" s="11" t="s">
        <v>80</v>
      </c>
      <c r="G312" s="3">
        <v>850</v>
      </c>
      <c r="H312" s="3">
        <v>600</v>
      </c>
      <c r="I312" s="12">
        <v>1</v>
      </c>
      <c r="J312" s="9" t="s">
        <v>657</v>
      </c>
      <c r="K312" s="9" t="s">
        <v>33</v>
      </c>
      <c r="L312" s="13">
        <v>1</v>
      </c>
      <c r="M312" s="9" t="s">
        <v>34</v>
      </c>
    </row>
    <row r="313" spans="1:13" ht="20.25" customHeight="1" x14ac:dyDescent="0.25">
      <c r="A313" s="9" t="s">
        <v>658</v>
      </c>
      <c r="B313" s="10">
        <v>45615</v>
      </c>
      <c r="C313" s="9" t="s">
        <v>28</v>
      </c>
      <c r="D313" s="9" t="s">
        <v>29</v>
      </c>
      <c r="E313" s="11" t="s">
        <v>58</v>
      </c>
      <c r="F313" s="11" t="s">
        <v>59</v>
      </c>
      <c r="G313" s="3">
        <v>150</v>
      </c>
      <c r="H313" s="3">
        <v>90</v>
      </c>
      <c r="I313" s="12">
        <v>1</v>
      </c>
      <c r="J313" s="9" t="s">
        <v>659</v>
      </c>
      <c r="K313" s="9" t="s">
        <v>49</v>
      </c>
      <c r="L313" s="13">
        <v>0</v>
      </c>
      <c r="M313" s="9" t="s">
        <v>34</v>
      </c>
    </row>
    <row r="314" spans="1:13" ht="20.25" customHeight="1" x14ac:dyDescent="0.25">
      <c r="A314" s="9" t="s">
        <v>660</v>
      </c>
      <c r="B314" s="10">
        <v>45615</v>
      </c>
      <c r="C314" s="9" t="s">
        <v>36</v>
      </c>
      <c r="D314" s="9" t="s">
        <v>29</v>
      </c>
      <c r="E314" s="11" t="s">
        <v>58</v>
      </c>
      <c r="F314" s="11" t="s">
        <v>59</v>
      </c>
      <c r="G314" s="3">
        <v>300</v>
      </c>
      <c r="H314" s="3">
        <v>180</v>
      </c>
      <c r="I314" s="12">
        <v>2</v>
      </c>
      <c r="J314" s="9" t="s">
        <v>661</v>
      </c>
      <c r="K314" s="9" t="s">
        <v>33</v>
      </c>
      <c r="L314" s="13">
        <v>1</v>
      </c>
      <c r="M314" s="9" t="s">
        <v>34</v>
      </c>
    </row>
    <row r="315" spans="1:13" ht="20.25" customHeight="1" x14ac:dyDescent="0.25">
      <c r="A315" s="9" t="s">
        <v>662</v>
      </c>
      <c r="B315" s="10">
        <v>45615</v>
      </c>
      <c r="C315" s="9" t="s">
        <v>36</v>
      </c>
      <c r="D315" s="9" t="s">
        <v>51</v>
      </c>
      <c r="E315" s="11" t="s">
        <v>58</v>
      </c>
      <c r="F315" s="11" t="s">
        <v>59</v>
      </c>
      <c r="G315" s="3">
        <v>300</v>
      </c>
      <c r="H315" s="3">
        <v>180</v>
      </c>
      <c r="I315" s="12">
        <v>2</v>
      </c>
      <c r="J315" s="9" t="s">
        <v>663</v>
      </c>
      <c r="K315" s="9" t="s">
        <v>33</v>
      </c>
      <c r="L315" s="13">
        <v>1</v>
      </c>
      <c r="M315" s="9" t="s">
        <v>34</v>
      </c>
    </row>
    <row r="316" spans="1:13" ht="20.25" customHeight="1" x14ac:dyDescent="0.25">
      <c r="A316" s="9" t="s">
        <v>664</v>
      </c>
      <c r="B316" s="10">
        <v>45617</v>
      </c>
      <c r="C316" s="9" t="s">
        <v>36</v>
      </c>
      <c r="D316" s="9" t="s">
        <v>42</v>
      </c>
      <c r="E316" s="11" t="s">
        <v>30</v>
      </c>
      <c r="F316" s="11" t="s">
        <v>63</v>
      </c>
      <c r="G316" s="3">
        <v>1200</v>
      </c>
      <c r="H316" s="3">
        <v>850</v>
      </c>
      <c r="I316" s="12">
        <v>1</v>
      </c>
      <c r="J316" s="9" t="s">
        <v>665</v>
      </c>
      <c r="K316" s="9" t="s">
        <v>49</v>
      </c>
      <c r="L316" s="13">
        <v>0</v>
      </c>
      <c r="M316" s="9" t="s">
        <v>34</v>
      </c>
    </row>
    <row r="317" spans="1:13" ht="20.25" customHeight="1" x14ac:dyDescent="0.25">
      <c r="A317" s="9" t="s">
        <v>666</v>
      </c>
      <c r="B317" s="10">
        <v>45617</v>
      </c>
      <c r="C317" s="9" t="s">
        <v>71</v>
      </c>
      <c r="D317" s="9" t="s">
        <v>29</v>
      </c>
      <c r="E317" s="11" t="s">
        <v>43</v>
      </c>
      <c r="F317" s="11" t="s">
        <v>47</v>
      </c>
      <c r="G317" s="3">
        <v>-110</v>
      </c>
      <c r="H317" s="3">
        <v>-65</v>
      </c>
      <c r="I317" s="12">
        <v>-1</v>
      </c>
      <c r="J317" s="9" t="s">
        <v>667</v>
      </c>
      <c r="K317" s="9" t="s">
        <v>49</v>
      </c>
      <c r="L317" s="13">
        <v>0</v>
      </c>
      <c r="M317" s="9" t="s">
        <v>76</v>
      </c>
    </row>
    <row r="318" spans="1:13" ht="20.25" customHeight="1" x14ac:dyDescent="0.25">
      <c r="A318" s="9" t="s">
        <v>668</v>
      </c>
      <c r="B318" s="10">
        <v>45617</v>
      </c>
      <c r="C318" s="9" t="s">
        <v>71</v>
      </c>
      <c r="D318" s="9" t="s">
        <v>29</v>
      </c>
      <c r="E318" s="11" t="s">
        <v>30</v>
      </c>
      <c r="F318" s="11" t="s">
        <v>31</v>
      </c>
      <c r="G318" s="3">
        <v>1300</v>
      </c>
      <c r="H318" s="3">
        <v>900</v>
      </c>
      <c r="I318" s="12">
        <v>2</v>
      </c>
      <c r="J318" s="9" t="s">
        <v>669</v>
      </c>
      <c r="K318" s="9" t="s">
        <v>49</v>
      </c>
      <c r="L318" s="13">
        <v>0</v>
      </c>
      <c r="M318" s="9" t="s">
        <v>34</v>
      </c>
    </row>
    <row r="319" spans="1:13" ht="20.25" customHeight="1" x14ac:dyDescent="0.25">
      <c r="A319" s="9" t="s">
        <v>670</v>
      </c>
      <c r="B319" s="10">
        <v>45617</v>
      </c>
      <c r="C319" s="9" t="s">
        <v>28</v>
      </c>
      <c r="D319" s="9" t="s">
        <v>29</v>
      </c>
      <c r="E319" s="11" t="s">
        <v>37</v>
      </c>
      <c r="F319" s="11" t="s">
        <v>55</v>
      </c>
      <c r="G319" s="3">
        <v>450</v>
      </c>
      <c r="H319" s="3">
        <v>275</v>
      </c>
      <c r="I319" s="12">
        <v>5</v>
      </c>
      <c r="J319" s="9" t="s">
        <v>671</v>
      </c>
      <c r="K319" s="9" t="s">
        <v>49</v>
      </c>
      <c r="L319" s="13">
        <v>0</v>
      </c>
      <c r="M319" s="9" t="s">
        <v>34</v>
      </c>
    </row>
    <row r="320" spans="1:13" ht="20.25" customHeight="1" x14ac:dyDescent="0.25">
      <c r="A320" s="9" t="s">
        <v>672</v>
      </c>
      <c r="B320" s="10">
        <v>45617</v>
      </c>
      <c r="C320" s="9" t="s">
        <v>36</v>
      </c>
      <c r="D320" s="9" t="s">
        <v>51</v>
      </c>
      <c r="E320" s="11" t="s">
        <v>43</v>
      </c>
      <c r="F320" s="11" t="s">
        <v>90</v>
      </c>
      <c r="G320" s="3">
        <v>300</v>
      </c>
      <c r="H320" s="3">
        <v>180</v>
      </c>
      <c r="I320" s="12">
        <v>2</v>
      </c>
      <c r="J320" s="9" t="s">
        <v>673</v>
      </c>
      <c r="K320" s="9" t="s">
        <v>33</v>
      </c>
      <c r="L320" s="13">
        <v>1</v>
      </c>
      <c r="M320" s="9" t="s">
        <v>34</v>
      </c>
    </row>
    <row r="321" spans="1:13" ht="20.25" customHeight="1" x14ac:dyDescent="0.25">
      <c r="A321" s="9" t="s">
        <v>674</v>
      </c>
      <c r="B321" s="10">
        <v>45618</v>
      </c>
      <c r="C321" s="9" t="s">
        <v>62</v>
      </c>
      <c r="D321" s="9" t="s">
        <v>29</v>
      </c>
      <c r="E321" s="11" t="s">
        <v>37</v>
      </c>
      <c r="F321" s="11" t="s">
        <v>55</v>
      </c>
      <c r="G321" s="3">
        <v>90</v>
      </c>
      <c r="H321" s="3">
        <v>55</v>
      </c>
      <c r="I321" s="12">
        <v>1</v>
      </c>
      <c r="J321" s="9" t="s">
        <v>675</v>
      </c>
      <c r="K321" s="9" t="s">
        <v>49</v>
      </c>
      <c r="L321" s="13">
        <v>0</v>
      </c>
      <c r="M321" s="9" t="s">
        <v>34</v>
      </c>
    </row>
    <row r="322" spans="1:13" ht="20.25" customHeight="1" x14ac:dyDescent="0.25">
      <c r="A322" s="9" t="s">
        <v>676</v>
      </c>
      <c r="B322" s="10">
        <v>45619</v>
      </c>
      <c r="C322" s="9" t="s">
        <v>71</v>
      </c>
      <c r="D322" s="9" t="s">
        <v>42</v>
      </c>
      <c r="E322" s="11" t="s">
        <v>37</v>
      </c>
      <c r="F322" s="11" t="s">
        <v>72</v>
      </c>
      <c r="G322" s="3">
        <v>660</v>
      </c>
      <c r="H322" s="3">
        <v>390</v>
      </c>
      <c r="I322" s="12">
        <v>3</v>
      </c>
      <c r="J322" s="9" t="s">
        <v>677</v>
      </c>
      <c r="K322" s="9" t="s">
        <v>49</v>
      </c>
      <c r="L322" s="13">
        <v>0</v>
      </c>
      <c r="M322" s="9" t="s">
        <v>34</v>
      </c>
    </row>
    <row r="323" spans="1:13" ht="20.25" customHeight="1" x14ac:dyDescent="0.25">
      <c r="A323" s="9" t="s">
        <v>678</v>
      </c>
      <c r="B323" s="10">
        <v>45620</v>
      </c>
      <c r="C323" s="9" t="s">
        <v>41</v>
      </c>
      <c r="D323" s="9" t="s">
        <v>51</v>
      </c>
      <c r="E323" s="11" t="s">
        <v>37</v>
      </c>
      <c r="F323" s="11" t="s">
        <v>55</v>
      </c>
      <c r="G323" s="3">
        <v>90</v>
      </c>
      <c r="H323" s="3">
        <v>55</v>
      </c>
      <c r="I323" s="12">
        <v>1</v>
      </c>
      <c r="J323" s="9" t="s">
        <v>298</v>
      </c>
      <c r="K323" s="9" t="s">
        <v>49</v>
      </c>
      <c r="L323" s="13">
        <v>0</v>
      </c>
      <c r="M323" s="9" t="s">
        <v>34</v>
      </c>
    </row>
    <row r="324" spans="1:13" ht="20.25" customHeight="1" x14ac:dyDescent="0.25">
      <c r="A324" s="9" t="s">
        <v>679</v>
      </c>
      <c r="B324" s="10">
        <v>45621</v>
      </c>
      <c r="C324" s="9" t="s">
        <v>36</v>
      </c>
      <c r="D324" s="9" t="s">
        <v>51</v>
      </c>
      <c r="E324" s="11" t="s">
        <v>58</v>
      </c>
      <c r="F324" s="11" t="s">
        <v>59</v>
      </c>
      <c r="G324" s="3">
        <v>150</v>
      </c>
      <c r="H324" s="3">
        <v>90</v>
      </c>
      <c r="I324" s="12">
        <v>1</v>
      </c>
      <c r="J324" s="9" t="s">
        <v>680</v>
      </c>
      <c r="K324" s="9" t="s">
        <v>49</v>
      </c>
      <c r="L324" s="13">
        <v>0</v>
      </c>
      <c r="M324" s="9" t="s">
        <v>34</v>
      </c>
    </row>
    <row r="325" spans="1:13" ht="20.25" customHeight="1" x14ac:dyDescent="0.25">
      <c r="A325" s="9" t="s">
        <v>681</v>
      </c>
      <c r="B325" s="10">
        <v>45621</v>
      </c>
      <c r="C325" s="9" t="s">
        <v>41</v>
      </c>
      <c r="D325" s="9" t="s">
        <v>29</v>
      </c>
      <c r="E325" s="11" t="s">
        <v>43</v>
      </c>
      <c r="F325" s="11" t="s">
        <v>90</v>
      </c>
      <c r="G325" s="3">
        <v>150</v>
      </c>
      <c r="H325" s="3">
        <v>90</v>
      </c>
      <c r="I325" s="12">
        <v>1</v>
      </c>
      <c r="J325" s="9" t="s">
        <v>117</v>
      </c>
      <c r="K325" s="9" t="s">
        <v>49</v>
      </c>
      <c r="L325" s="13">
        <v>0</v>
      </c>
      <c r="M325" s="9" t="s">
        <v>34</v>
      </c>
    </row>
    <row r="326" spans="1:13" ht="20.25" customHeight="1" x14ac:dyDescent="0.25">
      <c r="A326" s="9" t="s">
        <v>682</v>
      </c>
      <c r="B326" s="10">
        <v>45621</v>
      </c>
      <c r="C326" s="9" t="s">
        <v>41</v>
      </c>
      <c r="D326" s="9" t="s">
        <v>42</v>
      </c>
      <c r="E326" s="11" t="s">
        <v>30</v>
      </c>
      <c r="F326" s="11" t="s">
        <v>80</v>
      </c>
      <c r="G326" s="3">
        <v>850</v>
      </c>
      <c r="H326" s="3">
        <v>600</v>
      </c>
      <c r="I326" s="12">
        <v>1</v>
      </c>
      <c r="J326" s="9" t="s">
        <v>683</v>
      </c>
      <c r="K326" s="9" t="s">
        <v>33</v>
      </c>
      <c r="L326" s="13">
        <v>1</v>
      </c>
      <c r="M326" s="9" t="s">
        <v>34</v>
      </c>
    </row>
    <row r="327" spans="1:13" ht="20.25" customHeight="1" x14ac:dyDescent="0.25">
      <c r="A327" s="9" t="s">
        <v>684</v>
      </c>
      <c r="B327" s="10">
        <v>45622</v>
      </c>
      <c r="C327" s="9" t="s">
        <v>71</v>
      </c>
      <c r="D327" s="9" t="s">
        <v>29</v>
      </c>
      <c r="E327" s="11" t="s">
        <v>37</v>
      </c>
      <c r="F327" s="11" t="s">
        <v>72</v>
      </c>
      <c r="G327" s="3">
        <v>440</v>
      </c>
      <c r="H327" s="3">
        <v>260</v>
      </c>
      <c r="I327" s="12">
        <v>2</v>
      </c>
      <c r="J327" s="9" t="s">
        <v>685</v>
      </c>
      <c r="K327" s="9" t="s">
        <v>33</v>
      </c>
      <c r="L327" s="13">
        <v>1</v>
      </c>
      <c r="M327" s="9" t="s">
        <v>34</v>
      </c>
    </row>
    <row r="328" spans="1:13" ht="20.25" customHeight="1" x14ac:dyDescent="0.25">
      <c r="A328" s="9" t="s">
        <v>686</v>
      </c>
      <c r="B328" s="10">
        <v>45622</v>
      </c>
      <c r="C328" s="9" t="s">
        <v>62</v>
      </c>
      <c r="D328" s="9" t="s">
        <v>29</v>
      </c>
      <c r="E328" s="11" t="s">
        <v>37</v>
      </c>
      <c r="F328" s="11" t="s">
        <v>72</v>
      </c>
      <c r="G328" s="3">
        <v>220</v>
      </c>
      <c r="H328" s="3">
        <v>130</v>
      </c>
      <c r="I328" s="12">
        <v>1</v>
      </c>
      <c r="J328" s="9" t="s">
        <v>115</v>
      </c>
      <c r="K328" s="9" t="s">
        <v>33</v>
      </c>
      <c r="L328" s="13">
        <v>1</v>
      </c>
      <c r="M328" s="9" t="s">
        <v>34</v>
      </c>
    </row>
    <row r="329" spans="1:13" ht="20.25" customHeight="1" x14ac:dyDescent="0.25">
      <c r="A329" s="9" t="s">
        <v>687</v>
      </c>
      <c r="B329" s="10">
        <v>45622</v>
      </c>
      <c r="C329" s="9" t="s">
        <v>28</v>
      </c>
      <c r="D329" s="9" t="s">
        <v>51</v>
      </c>
      <c r="E329" s="11" t="s">
        <v>58</v>
      </c>
      <c r="F329" s="11" t="s">
        <v>87</v>
      </c>
      <c r="G329" s="3">
        <v>180</v>
      </c>
      <c r="H329" s="3">
        <v>110</v>
      </c>
      <c r="I329" s="12">
        <v>1</v>
      </c>
      <c r="J329" s="9" t="s">
        <v>688</v>
      </c>
      <c r="K329" s="9" t="s">
        <v>33</v>
      </c>
      <c r="L329" s="13">
        <v>1</v>
      </c>
      <c r="M329" s="9" t="s">
        <v>34</v>
      </c>
    </row>
    <row r="330" spans="1:13" ht="20.25" customHeight="1" x14ac:dyDescent="0.25">
      <c r="A330" s="9" t="s">
        <v>689</v>
      </c>
      <c r="B330" s="10">
        <v>45622</v>
      </c>
      <c r="C330" s="9" t="s">
        <v>28</v>
      </c>
      <c r="D330" s="9" t="s">
        <v>51</v>
      </c>
      <c r="E330" s="11" t="s">
        <v>58</v>
      </c>
      <c r="F330" s="11" t="s">
        <v>68</v>
      </c>
      <c r="G330" s="3">
        <v>-350</v>
      </c>
      <c r="H330" s="3">
        <v>-220</v>
      </c>
      <c r="I330" s="12">
        <v>-1</v>
      </c>
      <c r="J330" s="9" t="s">
        <v>418</v>
      </c>
      <c r="K330" s="9" t="s">
        <v>49</v>
      </c>
      <c r="L330" s="13">
        <v>0</v>
      </c>
      <c r="M330" s="9" t="s">
        <v>76</v>
      </c>
    </row>
    <row r="331" spans="1:13" ht="20.25" customHeight="1" x14ac:dyDescent="0.25">
      <c r="A331" s="9" t="s">
        <v>690</v>
      </c>
      <c r="B331" s="10">
        <v>45624</v>
      </c>
      <c r="C331" s="9" t="s">
        <v>41</v>
      </c>
      <c r="D331" s="9" t="s">
        <v>29</v>
      </c>
      <c r="E331" s="11" t="s">
        <v>58</v>
      </c>
      <c r="F331" s="11" t="s">
        <v>59</v>
      </c>
      <c r="G331" s="3">
        <v>150</v>
      </c>
      <c r="H331" s="3">
        <v>90</v>
      </c>
      <c r="I331" s="12">
        <v>1</v>
      </c>
      <c r="J331" s="9" t="s">
        <v>691</v>
      </c>
      <c r="K331" s="9" t="s">
        <v>33</v>
      </c>
      <c r="L331" s="13">
        <v>1</v>
      </c>
      <c r="M331" s="9" t="s">
        <v>34</v>
      </c>
    </row>
    <row r="332" spans="1:13" ht="20.25" customHeight="1" x14ac:dyDescent="0.25">
      <c r="A332" s="9" t="s">
        <v>692</v>
      </c>
      <c r="B332" s="10">
        <v>45624</v>
      </c>
      <c r="C332" s="9" t="s">
        <v>54</v>
      </c>
      <c r="D332" s="9" t="s">
        <v>29</v>
      </c>
      <c r="E332" s="11" t="s">
        <v>43</v>
      </c>
      <c r="F332" s="11" t="s">
        <v>47</v>
      </c>
      <c r="G332" s="3">
        <v>110</v>
      </c>
      <c r="H332" s="3">
        <v>65</v>
      </c>
      <c r="I332" s="12">
        <v>1</v>
      </c>
      <c r="J332" s="9" t="s">
        <v>191</v>
      </c>
      <c r="K332" s="9" t="s">
        <v>49</v>
      </c>
      <c r="L332" s="13">
        <v>0</v>
      </c>
      <c r="M332" s="9" t="s">
        <v>34</v>
      </c>
    </row>
    <row r="333" spans="1:13" ht="20.25" customHeight="1" x14ac:dyDescent="0.25">
      <c r="A333" s="9" t="s">
        <v>693</v>
      </c>
      <c r="B333" s="10">
        <v>45625</v>
      </c>
      <c r="C333" s="9" t="s">
        <v>28</v>
      </c>
      <c r="D333" s="9" t="s">
        <v>51</v>
      </c>
      <c r="E333" s="11" t="s">
        <v>43</v>
      </c>
      <c r="F333" s="11" t="s">
        <v>44</v>
      </c>
      <c r="G333" s="3">
        <v>45</v>
      </c>
      <c r="H333" s="3">
        <v>20</v>
      </c>
      <c r="I333" s="12">
        <v>1</v>
      </c>
      <c r="J333" s="9" t="s">
        <v>694</v>
      </c>
      <c r="K333" s="9" t="s">
        <v>49</v>
      </c>
      <c r="L333" s="13">
        <v>0</v>
      </c>
      <c r="M333" s="9" t="s">
        <v>34</v>
      </c>
    </row>
    <row r="334" spans="1:13" ht="20.25" customHeight="1" x14ac:dyDescent="0.25">
      <c r="A334" s="9" t="s">
        <v>695</v>
      </c>
      <c r="B334" s="10">
        <v>45625</v>
      </c>
      <c r="C334" s="9" t="s">
        <v>28</v>
      </c>
      <c r="D334" s="9" t="s">
        <v>29</v>
      </c>
      <c r="E334" s="11" t="s">
        <v>58</v>
      </c>
      <c r="F334" s="11" t="s">
        <v>68</v>
      </c>
      <c r="G334" s="3">
        <v>350</v>
      </c>
      <c r="H334" s="3">
        <v>220</v>
      </c>
      <c r="I334" s="12">
        <v>1</v>
      </c>
      <c r="J334" s="9" t="s">
        <v>696</v>
      </c>
      <c r="K334" s="9" t="s">
        <v>49</v>
      </c>
      <c r="L334" s="13">
        <v>0</v>
      </c>
      <c r="M334" s="9" t="s">
        <v>34</v>
      </c>
    </row>
    <row r="335" spans="1:13" ht="20.25" customHeight="1" x14ac:dyDescent="0.25">
      <c r="A335" s="9" t="s">
        <v>697</v>
      </c>
      <c r="B335" s="10">
        <v>45625</v>
      </c>
      <c r="C335" s="9" t="s">
        <v>28</v>
      </c>
      <c r="D335" s="9" t="s">
        <v>42</v>
      </c>
      <c r="E335" s="11" t="s">
        <v>37</v>
      </c>
      <c r="F335" s="11" t="s">
        <v>55</v>
      </c>
      <c r="G335" s="3">
        <v>180</v>
      </c>
      <c r="H335" s="3">
        <v>110</v>
      </c>
      <c r="I335" s="12">
        <v>2</v>
      </c>
      <c r="J335" s="9" t="s">
        <v>698</v>
      </c>
      <c r="K335" s="9" t="s">
        <v>49</v>
      </c>
      <c r="L335" s="13">
        <v>0</v>
      </c>
      <c r="M335" s="9" t="s">
        <v>34</v>
      </c>
    </row>
    <row r="336" spans="1:13" ht="20.25" customHeight="1" x14ac:dyDescent="0.25">
      <c r="A336" s="9" t="s">
        <v>699</v>
      </c>
      <c r="B336" s="10">
        <v>45626</v>
      </c>
      <c r="C336" s="9" t="s">
        <v>28</v>
      </c>
      <c r="D336" s="9" t="s">
        <v>51</v>
      </c>
      <c r="E336" s="11" t="s">
        <v>43</v>
      </c>
      <c r="F336" s="11" t="s">
        <v>44</v>
      </c>
      <c r="G336" s="3">
        <v>90</v>
      </c>
      <c r="H336" s="3">
        <v>40</v>
      </c>
      <c r="I336" s="12">
        <v>2</v>
      </c>
      <c r="J336" s="9" t="s">
        <v>416</v>
      </c>
      <c r="K336" s="9" t="s">
        <v>49</v>
      </c>
      <c r="L336" s="13">
        <v>0</v>
      </c>
      <c r="M336" s="9" t="s">
        <v>34</v>
      </c>
    </row>
    <row r="337" spans="1:13" ht="20.25" customHeight="1" x14ac:dyDescent="0.25">
      <c r="A337" s="9" t="s">
        <v>700</v>
      </c>
      <c r="B337" s="10">
        <v>45628</v>
      </c>
      <c r="C337" s="9" t="s">
        <v>41</v>
      </c>
      <c r="D337" s="9" t="s">
        <v>29</v>
      </c>
      <c r="E337" s="11" t="s">
        <v>30</v>
      </c>
      <c r="F337" s="11" t="s">
        <v>63</v>
      </c>
      <c r="G337" s="3">
        <v>-2400</v>
      </c>
      <c r="H337" s="3">
        <v>-1700</v>
      </c>
      <c r="I337" s="12">
        <v>-2</v>
      </c>
      <c r="J337" s="9" t="s">
        <v>701</v>
      </c>
      <c r="K337" s="9" t="s">
        <v>49</v>
      </c>
      <c r="L337" s="13">
        <v>0</v>
      </c>
      <c r="M337" s="9" t="s">
        <v>76</v>
      </c>
    </row>
    <row r="338" spans="1:13" ht="20.25" customHeight="1" x14ac:dyDescent="0.25">
      <c r="A338" s="9" t="s">
        <v>702</v>
      </c>
      <c r="B338" s="10">
        <v>45628</v>
      </c>
      <c r="C338" s="9" t="s">
        <v>71</v>
      </c>
      <c r="D338" s="9" t="s">
        <v>29</v>
      </c>
      <c r="E338" s="11" t="s">
        <v>30</v>
      </c>
      <c r="F338" s="11" t="s">
        <v>31</v>
      </c>
      <c r="G338" s="3">
        <v>650</v>
      </c>
      <c r="H338" s="3">
        <v>450</v>
      </c>
      <c r="I338" s="12">
        <v>1</v>
      </c>
      <c r="J338" s="9" t="s">
        <v>703</v>
      </c>
      <c r="K338" s="9" t="s">
        <v>49</v>
      </c>
      <c r="L338" s="13">
        <v>0</v>
      </c>
      <c r="M338" s="9" t="s">
        <v>34</v>
      </c>
    </row>
    <row r="339" spans="1:13" ht="20.25" customHeight="1" x14ac:dyDescent="0.25">
      <c r="A339" s="9" t="s">
        <v>704</v>
      </c>
      <c r="B339" s="10">
        <v>45628</v>
      </c>
      <c r="C339" s="9" t="s">
        <v>36</v>
      </c>
      <c r="D339" s="9" t="s">
        <v>29</v>
      </c>
      <c r="E339" s="11" t="s">
        <v>37</v>
      </c>
      <c r="F339" s="11" t="s">
        <v>38</v>
      </c>
      <c r="G339" s="3">
        <v>360</v>
      </c>
      <c r="H339" s="3">
        <v>210</v>
      </c>
      <c r="I339" s="12">
        <v>3</v>
      </c>
      <c r="J339" s="9" t="s">
        <v>705</v>
      </c>
      <c r="K339" s="9" t="s">
        <v>49</v>
      </c>
      <c r="L339" s="13">
        <v>0</v>
      </c>
      <c r="M339" s="9" t="s">
        <v>34</v>
      </c>
    </row>
    <row r="340" spans="1:13" ht="20.25" customHeight="1" x14ac:dyDescent="0.25">
      <c r="A340" s="9" t="s">
        <v>706</v>
      </c>
      <c r="B340" s="10">
        <v>45629</v>
      </c>
      <c r="C340" s="9" t="s">
        <v>36</v>
      </c>
      <c r="D340" s="9" t="s">
        <v>51</v>
      </c>
      <c r="E340" s="11" t="s">
        <v>43</v>
      </c>
      <c r="F340" s="11" t="s">
        <v>90</v>
      </c>
      <c r="G340" s="3">
        <v>450</v>
      </c>
      <c r="H340" s="3">
        <v>270</v>
      </c>
      <c r="I340" s="12">
        <v>3</v>
      </c>
      <c r="J340" s="9" t="s">
        <v>707</v>
      </c>
      <c r="K340" s="9" t="s">
        <v>49</v>
      </c>
      <c r="L340" s="13">
        <v>0</v>
      </c>
      <c r="M340" s="9" t="s">
        <v>34</v>
      </c>
    </row>
    <row r="341" spans="1:13" ht="20.25" customHeight="1" x14ac:dyDescent="0.25">
      <c r="A341" s="9" t="s">
        <v>708</v>
      </c>
      <c r="B341" s="10">
        <v>45630</v>
      </c>
      <c r="C341" s="9" t="s">
        <v>28</v>
      </c>
      <c r="D341" s="9" t="s">
        <v>51</v>
      </c>
      <c r="E341" s="11" t="s">
        <v>43</v>
      </c>
      <c r="F341" s="11" t="s">
        <v>44</v>
      </c>
      <c r="G341" s="3">
        <v>90</v>
      </c>
      <c r="H341" s="3">
        <v>40</v>
      </c>
      <c r="I341" s="12">
        <v>2</v>
      </c>
      <c r="J341" s="9" t="s">
        <v>288</v>
      </c>
      <c r="K341" s="9" t="s">
        <v>33</v>
      </c>
      <c r="L341" s="13">
        <v>1</v>
      </c>
      <c r="M341" s="9" t="s">
        <v>34</v>
      </c>
    </row>
    <row r="342" spans="1:13" ht="20.25" customHeight="1" x14ac:dyDescent="0.25">
      <c r="A342" s="9" t="s">
        <v>709</v>
      </c>
      <c r="B342" s="10">
        <v>45630</v>
      </c>
      <c r="C342" s="9" t="s">
        <v>28</v>
      </c>
      <c r="D342" s="9" t="s">
        <v>29</v>
      </c>
      <c r="E342" s="11" t="s">
        <v>58</v>
      </c>
      <c r="F342" s="11" t="s">
        <v>59</v>
      </c>
      <c r="G342" s="3">
        <v>300</v>
      </c>
      <c r="H342" s="3">
        <v>180</v>
      </c>
      <c r="I342" s="12">
        <v>2</v>
      </c>
      <c r="J342" s="9" t="s">
        <v>710</v>
      </c>
      <c r="K342" s="9" t="s">
        <v>49</v>
      </c>
      <c r="L342" s="13">
        <v>0</v>
      </c>
      <c r="M342" s="9" t="s">
        <v>34</v>
      </c>
    </row>
    <row r="343" spans="1:13" ht="20.25" customHeight="1" x14ac:dyDescent="0.25">
      <c r="A343" s="9" t="s">
        <v>711</v>
      </c>
      <c r="B343" s="10">
        <v>45630</v>
      </c>
      <c r="C343" s="9" t="s">
        <v>71</v>
      </c>
      <c r="D343" s="9" t="s">
        <v>51</v>
      </c>
      <c r="E343" s="11" t="s">
        <v>30</v>
      </c>
      <c r="F343" s="11" t="s">
        <v>63</v>
      </c>
      <c r="G343" s="3">
        <v>-1200</v>
      </c>
      <c r="H343" s="3">
        <v>-850</v>
      </c>
      <c r="I343" s="12">
        <v>-1</v>
      </c>
      <c r="J343" s="9" t="s">
        <v>712</v>
      </c>
      <c r="K343" s="9" t="s">
        <v>49</v>
      </c>
      <c r="L343" s="13">
        <v>0</v>
      </c>
      <c r="M343" s="9" t="s">
        <v>76</v>
      </c>
    </row>
    <row r="344" spans="1:13" ht="20.25" customHeight="1" x14ac:dyDescent="0.25">
      <c r="A344" s="9" t="s">
        <v>713</v>
      </c>
      <c r="B344" s="10">
        <v>45630</v>
      </c>
      <c r="C344" s="9" t="s">
        <v>62</v>
      </c>
      <c r="D344" s="9" t="s">
        <v>42</v>
      </c>
      <c r="E344" s="11" t="s">
        <v>58</v>
      </c>
      <c r="F344" s="11" t="s">
        <v>68</v>
      </c>
      <c r="G344" s="3">
        <v>1750</v>
      </c>
      <c r="H344" s="3">
        <v>1100</v>
      </c>
      <c r="I344" s="12">
        <v>5</v>
      </c>
      <c r="J344" s="9" t="s">
        <v>714</v>
      </c>
      <c r="K344" s="9" t="s">
        <v>49</v>
      </c>
      <c r="L344" s="13">
        <v>0</v>
      </c>
      <c r="M344" s="9" t="s">
        <v>34</v>
      </c>
    </row>
    <row r="345" spans="1:13" ht="20.25" customHeight="1" x14ac:dyDescent="0.25">
      <c r="A345" s="9" t="s">
        <v>715</v>
      </c>
      <c r="B345" s="10">
        <v>45630</v>
      </c>
      <c r="C345" s="9" t="s">
        <v>54</v>
      </c>
      <c r="D345" s="9" t="s">
        <v>29</v>
      </c>
      <c r="E345" s="11" t="s">
        <v>30</v>
      </c>
      <c r="F345" s="11" t="s">
        <v>80</v>
      </c>
      <c r="G345" s="3">
        <v>850</v>
      </c>
      <c r="H345" s="3">
        <v>600</v>
      </c>
      <c r="I345" s="12">
        <v>1</v>
      </c>
      <c r="J345" s="9" t="s">
        <v>716</v>
      </c>
      <c r="K345" s="9" t="s">
        <v>33</v>
      </c>
      <c r="L345" s="13">
        <v>1</v>
      </c>
      <c r="M345" s="9" t="s">
        <v>34</v>
      </c>
    </row>
    <row r="346" spans="1:13" ht="20.25" customHeight="1" x14ac:dyDescent="0.25">
      <c r="A346" s="9" t="s">
        <v>717</v>
      </c>
      <c r="B346" s="10">
        <v>45630</v>
      </c>
      <c r="C346" s="9" t="s">
        <v>28</v>
      </c>
      <c r="D346" s="9" t="s">
        <v>42</v>
      </c>
      <c r="E346" s="11" t="s">
        <v>30</v>
      </c>
      <c r="F346" s="11" t="s">
        <v>31</v>
      </c>
      <c r="G346" s="3">
        <v>650</v>
      </c>
      <c r="H346" s="3">
        <v>450</v>
      </c>
      <c r="I346" s="12">
        <v>1</v>
      </c>
      <c r="J346" s="9" t="s">
        <v>718</v>
      </c>
      <c r="K346" s="9" t="s">
        <v>49</v>
      </c>
      <c r="L346" s="13">
        <v>0</v>
      </c>
      <c r="M346" s="9" t="s">
        <v>34</v>
      </c>
    </row>
    <row r="347" spans="1:13" ht="20.25" customHeight="1" x14ac:dyDescent="0.25">
      <c r="A347" s="9" t="s">
        <v>719</v>
      </c>
      <c r="B347" s="10">
        <v>45630</v>
      </c>
      <c r="C347" s="9" t="s">
        <v>54</v>
      </c>
      <c r="D347" s="9" t="s">
        <v>29</v>
      </c>
      <c r="E347" s="11" t="s">
        <v>43</v>
      </c>
      <c r="F347" s="11" t="s">
        <v>90</v>
      </c>
      <c r="G347" s="3">
        <v>150</v>
      </c>
      <c r="H347" s="3">
        <v>90</v>
      </c>
      <c r="I347" s="12">
        <v>1</v>
      </c>
      <c r="J347" s="9" t="s">
        <v>720</v>
      </c>
      <c r="K347" s="9" t="s">
        <v>49</v>
      </c>
      <c r="L347" s="13">
        <v>0</v>
      </c>
      <c r="M347" s="9" t="s">
        <v>34</v>
      </c>
    </row>
    <row r="348" spans="1:13" ht="20.25" customHeight="1" x14ac:dyDescent="0.25">
      <c r="A348" s="9" t="s">
        <v>721</v>
      </c>
      <c r="B348" s="10">
        <v>45630</v>
      </c>
      <c r="C348" s="9" t="s">
        <v>41</v>
      </c>
      <c r="D348" s="9" t="s">
        <v>29</v>
      </c>
      <c r="E348" s="11" t="s">
        <v>30</v>
      </c>
      <c r="F348" s="11" t="s">
        <v>63</v>
      </c>
      <c r="G348" s="3">
        <v>1200</v>
      </c>
      <c r="H348" s="3">
        <v>850</v>
      </c>
      <c r="I348" s="12">
        <v>1</v>
      </c>
      <c r="J348" s="9" t="s">
        <v>722</v>
      </c>
      <c r="K348" s="9" t="s">
        <v>49</v>
      </c>
      <c r="L348" s="13">
        <v>0</v>
      </c>
      <c r="M348" s="9" t="s">
        <v>34</v>
      </c>
    </row>
    <row r="349" spans="1:13" ht="20.25" customHeight="1" x14ac:dyDescent="0.25">
      <c r="A349" s="9" t="s">
        <v>723</v>
      </c>
      <c r="B349" s="10">
        <v>45631</v>
      </c>
      <c r="C349" s="9" t="s">
        <v>41</v>
      </c>
      <c r="D349" s="9" t="s">
        <v>29</v>
      </c>
      <c r="E349" s="11" t="s">
        <v>43</v>
      </c>
      <c r="F349" s="11" t="s">
        <v>47</v>
      </c>
      <c r="G349" s="3">
        <v>440</v>
      </c>
      <c r="H349" s="3">
        <v>260</v>
      </c>
      <c r="I349" s="12">
        <v>4</v>
      </c>
      <c r="J349" s="9" t="s">
        <v>724</v>
      </c>
      <c r="K349" s="9" t="s">
        <v>49</v>
      </c>
      <c r="L349" s="13">
        <v>0</v>
      </c>
      <c r="M349" s="9" t="s">
        <v>34</v>
      </c>
    </row>
    <row r="350" spans="1:13" ht="20.25" customHeight="1" x14ac:dyDescent="0.25">
      <c r="A350" s="9" t="s">
        <v>725</v>
      </c>
      <c r="B350" s="10">
        <v>45631</v>
      </c>
      <c r="C350" s="9" t="s">
        <v>36</v>
      </c>
      <c r="D350" s="9" t="s">
        <v>29</v>
      </c>
      <c r="E350" s="11" t="s">
        <v>58</v>
      </c>
      <c r="F350" s="11" t="s">
        <v>68</v>
      </c>
      <c r="G350" s="3">
        <v>350</v>
      </c>
      <c r="H350" s="3">
        <v>220</v>
      </c>
      <c r="I350" s="12">
        <v>1</v>
      </c>
      <c r="J350" s="9" t="s">
        <v>726</v>
      </c>
      <c r="K350" s="9" t="s">
        <v>49</v>
      </c>
      <c r="L350" s="13">
        <v>0</v>
      </c>
      <c r="M350" s="9" t="s">
        <v>34</v>
      </c>
    </row>
    <row r="351" spans="1:13" ht="20.25" customHeight="1" x14ac:dyDescent="0.25">
      <c r="A351" s="9" t="s">
        <v>727</v>
      </c>
      <c r="B351" s="10">
        <v>45632</v>
      </c>
      <c r="C351" s="9" t="s">
        <v>36</v>
      </c>
      <c r="D351" s="9" t="s">
        <v>29</v>
      </c>
      <c r="E351" s="11" t="s">
        <v>37</v>
      </c>
      <c r="F351" s="11" t="s">
        <v>72</v>
      </c>
      <c r="G351" s="3">
        <v>220</v>
      </c>
      <c r="H351" s="3">
        <v>130</v>
      </c>
      <c r="I351" s="12">
        <v>1</v>
      </c>
      <c r="J351" s="9" t="s">
        <v>728</v>
      </c>
      <c r="K351" s="9" t="s">
        <v>49</v>
      </c>
      <c r="L351" s="13">
        <v>0</v>
      </c>
      <c r="M351" s="9" t="s">
        <v>34</v>
      </c>
    </row>
    <row r="352" spans="1:13" ht="20.25" customHeight="1" x14ac:dyDescent="0.25">
      <c r="A352" s="9" t="s">
        <v>729</v>
      </c>
      <c r="B352" s="10">
        <v>45633</v>
      </c>
      <c r="C352" s="9" t="s">
        <v>36</v>
      </c>
      <c r="D352" s="9" t="s">
        <v>29</v>
      </c>
      <c r="E352" s="11" t="s">
        <v>30</v>
      </c>
      <c r="F352" s="11" t="s">
        <v>80</v>
      </c>
      <c r="G352" s="3">
        <v>1700</v>
      </c>
      <c r="H352" s="3">
        <v>1200</v>
      </c>
      <c r="I352" s="12">
        <v>2</v>
      </c>
      <c r="J352" s="9" t="s">
        <v>730</v>
      </c>
      <c r="K352" s="9" t="s">
        <v>49</v>
      </c>
      <c r="L352" s="13">
        <v>0</v>
      </c>
      <c r="M352" s="9" t="s">
        <v>34</v>
      </c>
    </row>
    <row r="353" spans="1:13" ht="20.25" customHeight="1" x14ac:dyDescent="0.25">
      <c r="A353" s="9" t="s">
        <v>731</v>
      </c>
      <c r="B353" s="10">
        <v>45633</v>
      </c>
      <c r="C353" s="9" t="s">
        <v>28</v>
      </c>
      <c r="D353" s="9" t="s">
        <v>42</v>
      </c>
      <c r="E353" s="11" t="s">
        <v>58</v>
      </c>
      <c r="F353" s="11" t="s">
        <v>87</v>
      </c>
      <c r="G353" s="3">
        <v>180</v>
      </c>
      <c r="H353" s="3">
        <v>110</v>
      </c>
      <c r="I353" s="12">
        <v>1</v>
      </c>
      <c r="J353" s="9" t="s">
        <v>732</v>
      </c>
      <c r="K353" s="9" t="s">
        <v>49</v>
      </c>
      <c r="L353" s="13">
        <v>0</v>
      </c>
      <c r="M353" s="9" t="s">
        <v>34</v>
      </c>
    </row>
    <row r="354" spans="1:13" ht="20.25" customHeight="1" x14ac:dyDescent="0.25">
      <c r="A354" s="9" t="s">
        <v>733</v>
      </c>
      <c r="B354" s="10">
        <v>45633</v>
      </c>
      <c r="C354" s="9" t="s">
        <v>28</v>
      </c>
      <c r="D354" s="9" t="s">
        <v>42</v>
      </c>
      <c r="E354" s="11" t="s">
        <v>30</v>
      </c>
      <c r="F354" s="11" t="s">
        <v>31</v>
      </c>
      <c r="G354" s="3">
        <v>650</v>
      </c>
      <c r="H354" s="3">
        <v>450</v>
      </c>
      <c r="I354" s="12">
        <v>1</v>
      </c>
      <c r="J354" s="9" t="s">
        <v>734</v>
      </c>
      <c r="K354" s="9" t="s">
        <v>49</v>
      </c>
      <c r="L354" s="13">
        <v>0</v>
      </c>
      <c r="M354" s="9" t="s">
        <v>34</v>
      </c>
    </row>
    <row r="355" spans="1:13" ht="20.25" customHeight="1" x14ac:dyDescent="0.25">
      <c r="A355" s="9" t="s">
        <v>735</v>
      </c>
      <c r="B355" s="10">
        <v>45633</v>
      </c>
      <c r="C355" s="9" t="s">
        <v>28</v>
      </c>
      <c r="D355" s="9" t="s">
        <v>51</v>
      </c>
      <c r="E355" s="11" t="s">
        <v>43</v>
      </c>
      <c r="F355" s="11" t="s">
        <v>47</v>
      </c>
      <c r="G355" s="3">
        <v>220</v>
      </c>
      <c r="H355" s="3">
        <v>130</v>
      </c>
      <c r="I355" s="12">
        <v>2</v>
      </c>
      <c r="J355" s="9" t="s">
        <v>422</v>
      </c>
      <c r="K355" s="9" t="s">
        <v>49</v>
      </c>
      <c r="L355" s="13">
        <v>0</v>
      </c>
      <c r="M355" s="9" t="s">
        <v>34</v>
      </c>
    </row>
    <row r="356" spans="1:13" ht="20.25" customHeight="1" x14ac:dyDescent="0.25">
      <c r="A356" s="9" t="s">
        <v>736</v>
      </c>
      <c r="B356" s="10">
        <v>45634</v>
      </c>
      <c r="C356" s="9" t="s">
        <v>36</v>
      </c>
      <c r="D356" s="9" t="s">
        <v>29</v>
      </c>
      <c r="E356" s="11" t="s">
        <v>43</v>
      </c>
      <c r="F356" s="11" t="s">
        <v>44</v>
      </c>
      <c r="G356" s="3">
        <v>90</v>
      </c>
      <c r="H356" s="3">
        <v>40</v>
      </c>
      <c r="I356" s="12">
        <v>2</v>
      </c>
      <c r="J356" s="9" t="s">
        <v>737</v>
      </c>
      <c r="K356" s="9" t="s">
        <v>33</v>
      </c>
      <c r="L356" s="13">
        <v>1</v>
      </c>
      <c r="M356" s="9" t="s">
        <v>34</v>
      </c>
    </row>
    <row r="357" spans="1:13" ht="20.25" customHeight="1" x14ac:dyDescent="0.25">
      <c r="A357" s="9" t="s">
        <v>738</v>
      </c>
      <c r="B357" s="10">
        <v>45636</v>
      </c>
      <c r="C357" s="9" t="s">
        <v>41</v>
      </c>
      <c r="D357" s="9" t="s">
        <v>29</v>
      </c>
      <c r="E357" s="11" t="s">
        <v>58</v>
      </c>
      <c r="F357" s="11" t="s">
        <v>87</v>
      </c>
      <c r="G357" s="3">
        <v>180</v>
      </c>
      <c r="H357" s="3">
        <v>110</v>
      </c>
      <c r="I357" s="12">
        <v>1</v>
      </c>
      <c r="J357" s="9" t="s">
        <v>739</v>
      </c>
      <c r="K357" s="9" t="s">
        <v>49</v>
      </c>
      <c r="L357" s="13">
        <v>0</v>
      </c>
      <c r="M357" s="9" t="s">
        <v>34</v>
      </c>
    </row>
    <row r="358" spans="1:13" ht="20.25" customHeight="1" x14ac:dyDescent="0.25">
      <c r="A358" s="9" t="s">
        <v>740</v>
      </c>
      <c r="B358" s="10">
        <v>45636</v>
      </c>
      <c r="C358" s="9" t="s">
        <v>36</v>
      </c>
      <c r="D358" s="9" t="s">
        <v>29</v>
      </c>
      <c r="E358" s="11" t="s">
        <v>30</v>
      </c>
      <c r="F358" s="11" t="s">
        <v>31</v>
      </c>
      <c r="G358" s="3">
        <v>1300</v>
      </c>
      <c r="H358" s="3">
        <v>900</v>
      </c>
      <c r="I358" s="12">
        <v>2</v>
      </c>
      <c r="J358" s="9" t="s">
        <v>741</v>
      </c>
      <c r="K358" s="9" t="s">
        <v>49</v>
      </c>
      <c r="L358" s="13">
        <v>0</v>
      </c>
      <c r="M358" s="9" t="s">
        <v>34</v>
      </c>
    </row>
    <row r="359" spans="1:13" ht="20.25" customHeight="1" x14ac:dyDescent="0.25">
      <c r="A359" s="9" t="s">
        <v>742</v>
      </c>
      <c r="B359" s="10">
        <v>45636</v>
      </c>
      <c r="C359" s="9" t="s">
        <v>28</v>
      </c>
      <c r="D359" s="9" t="s">
        <v>51</v>
      </c>
      <c r="E359" s="11" t="s">
        <v>43</v>
      </c>
      <c r="F359" s="11" t="s">
        <v>44</v>
      </c>
      <c r="G359" s="3">
        <v>45</v>
      </c>
      <c r="H359" s="3">
        <v>20</v>
      </c>
      <c r="I359" s="12">
        <v>1</v>
      </c>
      <c r="J359" s="9" t="s">
        <v>743</v>
      </c>
      <c r="K359" s="9" t="s">
        <v>49</v>
      </c>
      <c r="L359" s="13">
        <v>0</v>
      </c>
      <c r="M359" s="9" t="s">
        <v>34</v>
      </c>
    </row>
    <row r="360" spans="1:13" ht="20.25" customHeight="1" x14ac:dyDescent="0.25">
      <c r="A360" s="9" t="s">
        <v>744</v>
      </c>
      <c r="B360" s="10">
        <v>45636</v>
      </c>
      <c r="C360" s="9" t="s">
        <v>62</v>
      </c>
      <c r="D360" s="9" t="s">
        <v>42</v>
      </c>
      <c r="E360" s="11" t="s">
        <v>58</v>
      </c>
      <c r="F360" s="11" t="s">
        <v>59</v>
      </c>
      <c r="G360" s="3">
        <v>150</v>
      </c>
      <c r="H360" s="3">
        <v>90</v>
      </c>
      <c r="I360" s="12">
        <v>1</v>
      </c>
      <c r="J360" s="9" t="s">
        <v>745</v>
      </c>
      <c r="K360" s="9" t="s">
        <v>49</v>
      </c>
      <c r="L360" s="13">
        <v>0</v>
      </c>
      <c r="M360" s="9" t="s">
        <v>34</v>
      </c>
    </row>
    <row r="361" spans="1:13" ht="20.25" customHeight="1" x14ac:dyDescent="0.25">
      <c r="A361" s="9" t="s">
        <v>746</v>
      </c>
      <c r="B361" s="10">
        <v>45637</v>
      </c>
      <c r="C361" s="9" t="s">
        <v>62</v>
      </c>
      <c r="D361" s="9" t="s">
        <v>29</v>
      </c>
      <c r="E361" s="11" t="s">
        <v>30</v>
      </c>
      <c r="F361" s="11" t="s">
        <v>80</v>
      </c>
      <c r="G361" s="3">
        <v>850</v>
      </c>
      <c r="H361" s="3">
        <v>600</v>
      </c>
      <c r="I361" s="12">
        <v>1</v>
      </c>
      <c r="J361" s="9" t="s">
        <v>747</v>
      </c>
      <c r="K361" s="9" t="s">
        <v>49</v>
      </c>
      <c r="L361" s="13">
        <v>0</v>
      </c>
      <c r="M361" s="9" t="s">
        <v>34</v>
      </c>
    </row>
    <row r="362" spans="1:13" ht="20.25" customHeight="1" x14ac:dyDescent="0.25">
      <c r="A362" s="9" t="s">
        <v>748</v>
      </c>
      <c r="B362" s="10">
        <v>45637</v>
      </c>
      <c r="C362" s="9" t="s">
        <v>41</v>
      </c>
      <c r="D362" s="9" t="s">
        <v>29</v>
      </c>
      <c r="E362" s="11" t="s">
        <v>37</v>
      </c>
      <c r="F362" s="11" t="s">
        <v>55</v>
      </c>
      <c r="G362" s="3">
        <v>90</v>
      </c>
      <c r="H362" s="3">
        <v>55</v>
      </c>
      <c r="I362" s="12">
        <v>1</v>
      </c>
      <c r="J362" s="9" t="s">
        <v>749</v>
      </c>
      <c r="K362" s="9" t="s">
        <v>49</v>
      </c>
      <c r="L362" s="13">
        <v>0</v>
      </c>
      <c r="M362" s="9" t="s">
        <v>34</v>
      </c>
    </row>
    <row r="363" spans="1:13" ht="20.25" customHeight="1" x14ac:dyDescent="0.25">
      <c r="A363" s="9" t="s">
        <v>750</v>
      </c>
      <c r="B363" s="10">
        <v>45637</v>
      </c>
      <c r="C363" s="9" t="s">
        <v>62</v>
      </c>
      <c r="D363" s="9" t="s">
        <v>51</v>
      </c>
      <c r="E363" s="11" t="s">
        <v>43</v>
      </c>
      <c r="F363" s="11" t="s">
        <v>44</v>
      </c>
      <c r="G363" s="3">
        <v>90</v>
      </c>
      <c r="H363" s="3">
        <v>40</v>
      </c>
      <c r="I363" s="12">
        <v>2</v>
      </c>
      <c r="J363" s="9" t="s">
        <v>517</v>
      </c>
      <c r="K363" s="9" t="s">
        <v>49</v>
      </c>
      <c r="L363" s="13">
        <v>0</v>
      </c>
      <c r="M363" s="9" t="s">
        <v>34</v>
      </c>
    </row>
    <row r="364" spans="1:13" ht="20.25" customHeight="1" x14ac:dyDescent="0.25">
      <c r="A364" s="9" t="s">
        <v>751</v>
      </c>
      <c r="B364" s="10">
        <v>45637</v>
      </c>
      <c r="C364" s="9" t="s">
        <v>71</v>
      </c>
      <c r="D364" s="9" t="s">
        <v>29</v>
      </c>
      <c r="E364" s="11" t="s">
        <v>30</v>
      </c>
      <c r="F364" s="11" t="s">
        <v>80</v>
      </c>
      <c r="G364" s="3">
        <v>1700</v>
      </c>
      <c r="H364" s="3">
        <v>1200</v>
      </c>
      <c r="I364" s="12">
        <v>2</v>
      </c>
      <c r="J364" s="9" t="s">
        <v>752</v>
      </c>
      <c r="K364" s="9" t="s">
        <v>49</v>
      </c>
      <c r="L364" s="13">
        <v>0</v>
      </c>
      <c r="M364" s="9" t="s">
        <v>34</v>
      </c>
    </row>
    <row r="365" spans="1:13" ht="20.25" customHeight="1" x14ac:dyDescent="0.25">
      <c r="A365" s="9" t="s">
        <v>753</v>
      </c>
      <c r="B365" s="10">
        <v>45637</v>
      </c>
      <c r="C365" s="9" t="s">
        <v>62</v>
      </c>
      <c r="D365" s="9" t="s">
        <v>29</v>
      </c>
      <c r="E365" s="11" t="s">
        <v>30</v>
      </c>
      <c r="F365" s="11" t="s">
        <v>80</v>
      </c>
      <c r="G365" s="3">
        <v>850</v>
      </c>
      <c r="H365" s="3">
        <v>600</v>
      </c>
      <c r="I365" s="12">
        <v>1</v>
      </c>
      <c r="J365" s="9" t="s">
        <v>497</v>
      </c>
      <c r="K365" s="9" t="s">
        <v>49</v>
      </c>
      <c r="L365" s="13">
        <v>0</v>
      </c>
      <c r="M365" s="9" t="s">
        <v>34</v>
      </c>
    </row>
    <row r="366" spans="1:13" ht="20.25" customHeight="1" x14ac:dyDescent="0.25">
      <c r="A366" s="9" t="s">
        <v>754</v>
      </c>
      <c r="B366" s="10">
        <v>45638</v>
      </c>
      <c r="C366" s="9" t="s">
        <v>28</v>
      </c>
      <c r="D366" s="9" t="s">
        <v>51</v>
      </c>
      <c r="E366" s="11" t="s">
        <v>43</v>
      </c>
      <c r="F366" s="11" t="s">
        <v>90</v>
      </c>
      <c r="G366" s="3">
        <v>150</v>
      </c>
      <c r="H366" s="3">
        <v>90</v>
      </c>
      <c r="I366" s="12">
        <v>1</v>
      </c>
      <c r="J366" s="9" t="s">
        <v>755</v>
      </c>
      <c r="K366" s="9" t="s">
        <v>33</v>
      </c>
      <c r="L366" s="13">
        <v>1</v>
      </c>
      <c r="M366" s="9" t="s">
        <v>34</v>
      </c>
    </row>
    <row r="367" spans="1:13" ht="20.25" customHeight="1" x14ac:dyDescent="0.25">
      <c r="A367" s="9" t="s">
        <v>756</v>
      </c>
      <c r="B367" s="10">
        <v>45638</v>
      </c>
      <c r="C367" s="9" t="s">
        <v>36</v>
      </c>
      <c r="D367" s="9" t="s">
        <v>51</v>
      </c>
      <c r="E367" s="11" t="s">
        <v>30</v>
      </c>
      <c r="F367" s="11" t="s">
        <v>63</v>
      </c>
      <c r="G367" s="3">
        <v>2400</v>
      </c>
      <c r="H367" s="3">
        <v>1700</v>
      </c>
      <c r="I367" s="12">
        <v>2</v>
      </c>
      <c r="J367" s="9" t="s">
        <v>757</v>
      </c>
      <c r="K367" s="9" t="s">
        <v>49</v>
      </c>
      <c r="L367" s="13">
        <v>0</v>
      </c>
      <c r="M367" s="9" t="s">
        <v>34</v>
      </c>
    </row>
    <row r="368" spans="1:13" ht="20.25" customHeight="1" x14ac:dyDescent="0.25">
      <c r="A368" s="9" t="s">
        <v>758</v>
      </c>
      <c r="B368" s="10">
        <v>45638</v>
      </c>
      <c r="C368" s="9" t="s">
        <v>28</v>
      </c>
      <c r="D368" s="9" t="s">
        <v>29</v>
      </c>
      <c r="E368" s="11" t="s">
        <v>30</v>
      </c>
      <c r="F368" s="11" t="s">
        <v>80</v>
      </c>
      <c r="G368" s="3">
        <v>850</v>
      </c>
      <c r="H368" s="3">
        <v>600</v>
      </c>
      <c r="I368" s="12">
        <v>1</v>
      </c>
      <c r="J368" s="9" t="s">
        <v>759</v>
      </c>
      <c r="K368" s="9" t="s">
        <v>33</v>
      </c>
      <c r="L368" s="13">
        <v>1</v>
      </c>
      <c r="M368" s="9" t="s">
        <v>34</v>
      </c>
    </row>
    <row r="369" spans="1:13" ht="20.25" customHeight="1" x14ac:dyDescent="0.25">
      <c r="A369" s="9" t="s">
        <v>760</v>
      </c>
      <c r="B369" s="10">
        <v>45638</v>
      </c>
      <c r="C369" s="9" t="s">
        <v>28</v>
      </c>
      <c r="D369" s="9" t="s">
        <v>29</v>
      </c>
      <c r="E369" s="11" t="s">
        <v>37</v>
      </c>
      <c r="F369" s="11" t="s">
        <v>55</v>
      </c>
      <c r="G369" s="3">
        <v>90</v>
      </c>
      <c r="H369" s="3">
        <v>55</v>
      </c>
      <c r="I369" s="12">
        <v>1</v>
      </c>
      <c r="J369" s="9" t="s">
        <v>761</v>
      </c>
      <c r="K369" s="9" t="s">
        <v>49</v>
      </c>
      <c r="L369" s="13">
        <v>0</v>
      </c>
      <c r="M369" s="9" t="s">
        <v>34</v>
      </c>
    </row>
    <row r="370" spans="1:13" ht="20.25" customHeight="1" x14ac:dyDescent="0.25">
      <c r="A370" s="9" t="s">
        <v>762</v>
      </c>
      <c r="B370" s="10">
        <v>45639</v>
      </c>
      <c r="C370" s="9" t="s">
        <v>28</v>
      </c>
      <c r="D370" s="9" t="s">
        <v>42</v>
      </c>
      <c r="E370" s="11" t="s">
        <v>43</v>
      </c>
      <c r="F370" s="11" t="s">
        <v>47</v>
      </c>
      <c r="G370" s="3">
        <v>440</v>
      </c>
      <c r="H370" s="3">
        <v>260</v>
      </c>
      <c r="I370" s="12">
        <v>4</v>
      </c>
      <c r="J370" s="9" t="s">
        <v>763</v>
      </c>
      <c r="K370" s="9" t="s">
        <v>49</v>
      </c>
      <c r="L370" s="13">
        <v>0</v>
      </c>
      <c r="M370" s="9" t="s">
        <v>34</v>
      </c>
    </row>
    <row r="371" spans="1:13" ht="20.25" customHeight="1" x14ac:dyDescent="0.25">
      <c r="A371" s="9" t="s">
        <v>764</v>
      </c>
      <c r="B371" s="10">
        <v>45639</v>
      </c>
      <c r="C371" s="9" t="s">
        <v>71</v>
      </c>
      <c r="D371" s="9" t="s">
        <v>29</v>
      </c>
      <c r="E371" s="11" t="s">
        <v>58</v>
      </c>
      <c r="F371" s="11" t="s">
        <v>87</v>
      </c>
      <c r="G371" s="3">
        <v>360</v>
      </c>
      <c r="H371" s="3">
        <v>220</v>
      </c>
      <c r="I371" s="12">
        <v>2</v>
      </c>
      <c r="J371" s="9" t="s">
        <v>765</v>
      </c>
      <c r="K371" s="9" t="s">
        <v>49</v>
      </c>
      <c r="L371" s="13">
        <v>0</v>
      </c>
      <c r="M371" s="9" t="s">
        <v>34</v>
      </c>
    </row>
    <row r="372" spans="1:13" ht="20.25" customHeight="1" x14ac:dyDescent="0.25">
      <c r="A372" s="9" t="s">
        <v>766</v>
      </c>
      <c r="B372" s="10">
        <v>45639</v>
      </c>
      <c r="C372" s="9" t="s">
        <v>41</v>
      </c>
      <c r="D372" s="9" t="s">
        <v>29</v>
      </c>
      <c r="E372" s="11" t="s">
        <v>43</v>
      </c>
      <c r="F372" s="11" t="s">
        <v>44</v>
      </c>
      <c r="G372" s="3">
        <v>-225</v>
      </c>
      <c r="H372" s="3">
        <v>-100</v>
      </c>
      <c r="I372" s="12">
        <v>-5</v>
      </c>
      <c r="J372" s="9" t="s">
        <v>585</v>
      </c>
      <c r="K372" s="9" t="s">
        <v>33</v>
      </c>
      <c r="L372" s="13">
        <v>1</v>
      </c>
      <c r="M372" s="9" t="s">
        <v>76</v>
      </c>
    </row>
    <row r="373" spans="1:13" ht="20.25" customHeight="1" x14ac:dyDescent="0.25">
      <c r="A373" s="9" t="s">
        <v>767</v>
      </c>
      <c r="B373" s="10">
        <v>45639</v>
      </c>
      <c r="C373" s="9" t="s">
        <v>71</v>
      </c>
      <c r="D373" s="9" t="s">
        <v>29</v>
      </c>
      <c r="E373" s="11" t="s">
        <v>37</v>
      </c>
      <c r="F373" s="11" t="s">
        <v>72</v>
      </c>
      <c r="G373" s="3">
        <v>220</v>
      </c>
      <c r="H373" s="3">
        <v>130</v>
      </c>
      <c r="I373" s="12">
        <v>1</v>
      </c>
      <c r="J373" s="9" t="s">
        <v>768</v>
      </c>
      <c r="K373" s="9" t="s">
        <v>33</v>
      </c>
      <c r="L373" s="13">
        <v>1</v>
      </c>
      <c r="M373" s="9" t="s">
        <v>34</v>
      </c>
    </row>
    <row r="374" spans="1:13" ht="20.25" customHeight="1" x14ac:dyDescent="0.25">
      <c r="A374" s="9" t="s">
        <v>769</v>
      </c>
      <c r="B374" s="10">
        <v>45640</v>
      </c>
      <c r="C374" s="9" t="s">
        <v>28</v>
      </c>
      <c r="D374" s="9" t="s">
        <v>29</v>
      </c>
      <c r="E374" s="11" t="s">
        <v>30</v>
      </c>
      <c r="F374" s="11" t="s">
        <v>80</v>
      </c>
      <c r="G374" s="3">
        <v>1700</v>
      </c>
      <c r="H374" s="3">
        <v>1200</v>
      </c>
      <c r="I374" s="12">
        <v>2</v>
      </c>
      <c r="J374" s="9" t="s">
        <v>770</v>
      </c>
      <c r="K374" s="9" t="s">
        <v>33</v>
      </c>
      <c r="L374" s="13">
        <v>1</v>
      </c>
      <c r="M374" s="9" t="s">
        <v>34</v>
      </c>
    </row>
    <row r="375" spans="1:13" ht="20.25" customHeight="1" x14ac:dyDescent="0.25">
      <c r="A375" s="9" t="s">
        <v>771</v>
      </c>
      <c r="B375" s="10">
        <v>45640</v>
      </c>
      <c r="C375" s="9" t="s">
        <v>54</v>
      </c>
      <c r="D375" s="9" t="s">
        <v>29</v>
      </c>
      <c r="E375" s="11" t="s">
        <v>43</v>
      </c>
      <c r="F375" s="11" t="s">
        <v>44</v>
      </c>
      <c r="G375" s="3">
        <v>45</v>
      </c>
      <c r="H375" s="3">
        <v>20</v>
      </c>
      <c r="I375" s="12">
        <v>1</v>
      </c>
      <c r="J375" s="9" t="s">
        <v>384</v>
      </c>
      <c r="K375" s="9" t="s">
        <v>49</v>
      </c>
      <c r="L375" s="13">
        <v>0</v>
      </c>
      <c r="M375" s="9" t="s">
        <v>34</v>
      </c>
    </row>
    <row r="376" spans="1:13" ht="20.25" customHeight="1" x14ac:dyDescent="0.25">
      <c r="A376" s="9" t="s">
        <v>772</v>
      </c>
      <c r="B376" s="10">
        <v>45640</v>
      </c>
      <c r="C376" s="9" t="s">
        <v>71</v>
      </c>
      <c r="D376" s="9" t="s">
        <v>42</v>
      </c>
      <c r="E376" s="11" t="s">
        <v>58</v>
      </c>
      <c r="F376" s="11" t="s">
        <v>59</v>
      </c>
      <c r="G376" s="3">
        <v>150</v>
      </c>
      <c r="H376" s="3">
        <v>90</v>
      </c>
      <c r="I376" s="12">
        <v>1</v>
      </c>
      <c r="J376" s="9" t="s">
        <v>773</v>
      </c>
      <c r="K376" s="9" t="s">
        <v>33</v>
      </c>
      <c r="L376" s="13">
        <v>1</v>
      </c>
      <c r="M376" s="9" t="s">
        <v>34</v>
      </c>
    </row>
    <row r="377" spans="1:13" ht="20.25" customHeight="1" x14ac:dyDescent="0.25">
      <c r="A377" s="9" t="s">
        <v>774</v>
      </c>
      <c r="B377" s="10">
        <v>45641</v>
      </c>
      <c r="C377" s="9" t="s">
        <v>36</v>
      </c>
      <c r="D377" s="9" t="s">
        <v>29</v>
      </c>
      <c r="E377" s="11" t="s">
        <v>30</v>
      </c>
      <c r="F377" s="11" t="s">
        <v>63</v>
      </c>
      <c r="G377" s="3">
        <v>1200</v>
      </c>
      <c r="H377" s="3">
        <v>850</v>
      </c>
      <c r="I377" s="12">
        <v>1</v>
      </c>
      <c r="J377" s="9" t="s">
        <v>775</v>
      </c>
      <c r="K377" s="9" t="s">
        <v>49</v>
      </c>
      <c r="L377" s="13">
        <v>0</v>
      </c>
      <c r="M377" s="9" t="s">
        <v>34</v>
      </c>
    </row>
    <row r="378" spans="1:13" ht="20.25" customHeight="1" x14ac:dyDescent="0.25">
      <c r="A378" s="9" t="s">
        <v>776</v>
      </c>
      <c r="B378" s="10">
        <v>45641</v>
      </c>
      <c r="C378" s="9" t="s">
        <v>41</v>
      </c>
      <c r="D378" s="9" t="s">
        <v>29</v>
      </c>
      <c r="E378" s="11" t="s">
        <v>37</v>
      </c>
      <c r="F378" s="11" t="s">
        <v>38</v>
      </c>
      <c r="G378" s="3">
        <v>120</v>
      </c>
      <c r="H378" s="3">
        <v>70</v>
      </c>
      <c r="I378" s="12">
        <v>1</v>
      </c>
      <c r="J378" s="9" t="s">
        <v>777</v>
      </c>
      <c r="K378" s="9" t="s">
        <v>33</v>
      </c>
      <c r="L378" s="13">
        <v>1</v>
      </c>
      <c r="M378" s="9" t="s">
        <v>34</v>
      </c>
    </row>
    <row r="379" spans="1:13" ht="20.25" customHeight="1" x14ac:dyDescent="0.25">
      <c r="A379" s="9" t="s">
        <v>778</v>
      </c>
      <c r="B379" s="10">
        <v>45641</v>
      </c>
      <c r="C379" s="9" t="s">
        <v>28</v>
      </c>
      <c r="D379" s="9" t="s">
        <v>51</v>
      </c>
      <c r="E379" s="11" t="s">
        <v>58</v>
      </c>
      <c r="F379" s="11" t="s">
        <v>59</v>
      </c>
      <c r="G379" s="3">
        <v>150</v>
      </c>
      <c r="H379" s="3">
        <v>90</v>
      </c>
      <c r="I379" s="12">
        <v>1</v>
      </c>
      <c r="J379" s="9" t="s">
        <v>779</v>
      </c>
      <c r="K379" s="9" t="s">
        <v>49</v>
      </c>
      <c r="L379" s="13">
        <v>0</v>
      </c>
      <c r="M379" s="9" t="s">
        <v>34</v>
      </c>
    </row>
    <row r="380" spans="1:13" ht="20.25" customHeight="1" x14ac:dyDescent="0.25">
      <c r="A380" s="9" t="s">
        <v>780</v>
      </c>
      <c r="B380" s="10">
        <v>45641</v>
      </c>
      <c r="C380" s="9" t="s">
        <v>36</v>
      </c>
      <c r="D380" s="9" t="s">
        <v>51</v>
      </c>
      <c r="E380" s="11" t="s">
        <v>30</v>
      </c>
      <c r="F380" s="11" t="s">
        <v>31</v>
      </c>
      <c r="G380" s="3">
        <v>650</v>
      </c>
      <c r="H380" s="3">
        <v>450</v>
      </c>
      <c r="I380" s="12">
        <v>1</v>
      </c>
      <c r="J380" s="9" t="s">
        <v>781</v>
      </c>
      <c r="K380" s="9" t="s">
        <v>49</v>
      </c>
      <c r="L380" s="13">
        <v>0</v>
      </c>
      <c r="M380" s="9" t="s">
        <v>34</v>
      </c>
    </row>
    <row r="381" spans="1:13" ht="20.25" customHeight="1" x14ac:dyDescent="0.25">
      <c r="A381" s="9" t="s">
        <v>782</v>
      </c>
      <c r="B381" s="10">
        <v>45641</v>
      </c>
      <c r="C381" s="9" t="s">
        <v>62</v>
      </c>
      <c r="D381" s="9" t="s">
        <v>42</v>
      </c>
      <c r="E381" s="11" t="s">
        <v>30</v>
      </c>
      <c r="F381" s="11" t="s">
        <v>31</v>
      </c>
      <c r="G381" s="3">
        <v>650</v>
      </c>
      <c r="H381" s="3">
        <v>450</v>
      </c>
      <c r="I381" s="12">
        <v>1</v>
      </c>
      <c r="J381" s="9" t="s">
        <v>783</v>
      </c>
      <c r="K381" s="9" t="s">
        <v>49</v>
      </c>
      <c r="L381" s="13">
        <v>0</v>
      </c>
      <c r="M381" s="9" t="s">
        <v>34</v>
      </c>
    </row>
    <row r="382" spans="1:13" ht="20.25" customHeight="1" x14ac:dyDescent="0.25">
      <c r="A382" s="9" t="s">
        <v>784</v>
      </c>
      <c r="B382" s="10">
        <v>45641</v>
      </c>
      <c r="C382" s="9" t="s">
        <v>28</v>
      </c>
      <c r="D382" s="9" t="s">
        <v>42</v>
      </c>
      <c r="E382" s="11" t="s">
        <v>58</v>
      </c>
      <c r="F382" s="11" t="s">
        <v>68</v>
      </c>
      <c r="G382" s="3">
        <v>700</v>
      </c>
      <c r="H382" s="3">
        <v>440</v>
      </c>
      <c r="I382" s="12">
        <v>2</v>
      </c>
      <c r="J382" s="9" t="s">
        <v>785</v>
      </c>
      <c r="K382" s="9" t="s">
        <v>33</v>
      </c>
      <c r="L382" s="13">
        <v>1</v>
      </c>
      <c r="M382" s="9" t="s">
        <v>34</v>
      </c>
    </row>
    <row r="383" spans="1:13" ht="20.25" customHeight="1" x14ac:dyDescent="0.25">
      <c r="A383" s="9" t="s">
        <v>786</v>
      </c>
      <c r="B383" s="10">
        <v>45642</v>
      </c>
      <c r="C383" s="9" t="s">
        <v>36</v>
      </c>
      <c r="D383" s="9" t="s">
        <v>29</v>
      </c>
      <c r="E383" s="11" t="s">
        <v>43</v>
      </c>
      <c r="F383" s="11" t="s">
        <v>90</v>
      </c>
      <c r="G383" s="3">
        <v>150</v>
      </c>
      <c r="H383" s="3">
        <v>90</v>
      </c>
      <c r="I383" s="12">
        <v>1</v>
      </c>
      <c r="J383" s="9" t="s">
        <v>787</v>
      </c>
      <c r="K383" s="9" t="s">
        <v>49</v>
      </c>
      <c r="L383" s="13">
        <v>0</v>
      </c>
      <c r="M383" s="9" t="s">
        <v>34</v>
      </c>
    </row>
    <row r="384" spans="1:13" ht="20.25" customHeight="1" x14ac:dyDescent="0.25">
      <c r="A384" s="9" t="s">
        <v>788</v>
      </c>
      <c r="B384" s="10">
        <v>45642</v>
      </c>
      <c r="C384" s="9" t="s">
        <v>54</v>
      </c>
      <c r="D384" s="9" t="s">
        <v>51</v>
      </c>
      <c r="E384" s="11" t="s">
        <v>37</v>
      </c>
      <c r="F384" s="11" t="s">
        <v>38</v>
      </c>
      <c r="G384" s="3">
        <v>-120</v>
      </c>
      <c r="H384" s="3">
        <v>-70</v>
      </c>
      <c r="I384" s="12">
        <v>-1</v>
      </c>
      <c r="J384" s="9" t="s">
        <v>789</v>
      </c>
      <c r="K384" s="9" t="s">
        <v>49</v>
      </c>
      <c r="L384" s="13">
        <v>0</v>
      </c>
      <c r="M384" s="9" t="s">
        <v>76</v>
      </c>
    </row>
    <row r="385" spans="1:13" ht="20.25" customHeight="1" x14ac:dyDescent="0.25">
      <c r="A385" s="9" t="s">
        <v>790</v>
      </c>
      <c r="B385" s="10">
        <v>45642</v>
      </c>
      <c r="C385" s="9" t="s">
        <v>41</v>
      </c>
      <c r="D385" s="9" t="s">
        <v>29</v>
      </c>
      <c r="E385" s="11" t="s">
        <v>43</v>
      </c>
      <c r="F385" s="11" t="s">
        <v>90</v>
      </c>
      <c r="G385" s="3">
        <v>150</v>
      </c>
      <c r="H385" s="3">
        <v>90</v>
      </c>
      <c r="I385" s="12">
        <v>1</v>
      </c>
      <c r="J385" s="9" t="s">
        <v>791</v>
      </c>
      <c r="K385" s="9" t="s">
        <v>33</v>
      </c>
      <c r="L385" s="13">
        <v>1</v>
      </c>
      <c r="M385" s="9" t="s">
        <v>34</v>
      </c>
    </row>
    <row r="386" spans="1:13" ht="20.25" customHeight="1" x14ac:dyDescent="0.25">
      <c r="A386" s="9" t="s">
        <v>792</v>
      </c>
      <c r="B386" s="10">
        <v>45642</v>
      </c>
      <c r="C386" s="9" t="s">
        <v>28</v>
      </c>
      <c r="D386" s="9" t="s">
        <v>42</v>
      </c>
      <c r="E386" s="11" t="s">
        <v>30</v>
      </c>
      <c r="F386" s="11" t="s">
        <v>31</v>
      </c>
      <c r="G386" s="3">
        <v>650</v>
      </c>
      <c r="H386" s="3">
        <v>450</v>
      </c>
      <c r="I386" s="12">
        <v>1</v>
      </c>
      <c r="J386" s="9" t="s">
        <v>793</v>
      </c>
      <c r="K386" s="9" t="s">
        <v>33</v>
      </c>
      <c r="L386" s="13">
        <v>1</v>
      </c>
      <c r="M386" s="9" t="s">
        <v>34</v>
      </c>
    </row>
    <row r="387" spans="1:13" ht="20.25" customHeight="1" x14ac:dyDescent="0.25">
      <c r="A387" s="9" t="s">
        <v>794</v>
      </c>
      <c r="B387" s="10">
        <v>45642</v>
      </c>
      <c r="C387" s="9" t="s">
        <v>28</v>
      </c>
      <c r="D387" s="9" t="s">
        <v>29</v>
      </c>
      <c r="E387" s="11" t="s">
        <v>30</v>
      </c>
      <c r="F387" s="11" t="s">
        <v>63</v>
      </c>
      <c r="G387" s="3">
        <v>2400</v>
      </c>
      <c r="H387" s="3">
        <v>1700</v>
      </c>
      <c r="I387" s="12">
        <v>2</v>
      </c>
      <c r="J387" s="9" t="s">
        <v>795</v>
      </c>
      <c r="K387" s="9" t="s">
        <v>49</v>
      </c>
      <c r="L387" s="13">
        <v>0</v>
      </c>
      <c r="M387" s="9" t="s">
        <v>34</v>
      </c>
    </row>
    <row r="388" spans="1:13" ht="20.25" customHeight="1" x14ac:dyDescent="0.25">
      <c r="A388" s="9" t="s">
        <v>796</v>
      </c>
      <c r="B388" s="10">
        <v>45643</v>
      </c>
      <c r="C388" s="9" t="s">
        <v>28</v>
      </c>
      <c r="D388" s="9" t="s">
        <v>42</v>
      </c>
      <c r="E388" s="11" t="s">
        <v>30</v>
      </c>
      <c r="F388" s="11" t="s">
        <v>63</v>
      </c>
      <c r="G388" s="3">
        <v>1200</v>
      </c>
      <c r="H388" s="3">
        <v>850</v>
      </c>
      <c r="I388" s="12">
        <v>1</v>
      </c>
      <c r="J388" s="9" t="s">
        <v>510</v>
      </c>
      <c r="K388" s="9" t="s">
        <v>49</v>
      </c>
      <c r="L388" s="13">
        <v>0</v>
      </c>
      <c r="M388" s="9" t="s">
        <v>34</v>
      </c>
    </row>
    <row r="389" spans="1:13" ht="20.25" customHeight="1" x14ac:dyDescent="0.25">
      <c r="A389" s="9" t="s">
        <v>797</v>
      </c>
      <c r="B389" s="10">
        <v>45643</v>
      </c>
      <c r="C389" s="9" t="s">
        <v>71</v>
      </c>
      <c r="D389" s="9" t="s">
        <v>51</v>
      </c>
      <c r="E389" s="11" t="s">
        <v>30</v>
      </c>
      <c r="F389" s="11" t="s">
        <v>63</v>
      </c>
      <c r="G389" s="3">
        <v>2400</v>
      </c>
      <c r="H389" s="3">
        <v>1700</v>
      </c>
      <c r="I389" s="12">
        <v>2</v>
      </c>
      <c r="J389" s="9" t="s">
        <v>798</v>
      </c>
      <c r="K389" s="9" t="s">
        <v>49</v>
      </c>
      <c r="L389" s="13">
        <v>0</v>
      </c>
      <c r="M389" s="9" t="s">
        <v>34</v>
      </c>
    </row>
    <row r="390" spans="1:13" ht="20.25" customHeight="1" x14ac:dyDescent="0.25">
      <c r="A390" s="9" t="s">
        <v>799</v>
      </c>
      <c r="B390" s="10">
        <v>45644</v>
      </c>
      <c r="C390" s="9" t="s">
        <v>36</v>
      </c>
      <c r="D390" s="9" t="s">
        <v>29</v>
      </c>
      <c r="E390" s="11" t="s">
        <v>30</v>
      </c>
      <c r="F390" s="11" t="s">
        <v>63</v>
      </c>
      <c r="G390" s="3">
        <v>1200</v>
      </c>
      <c r="H390" s="3">
        <v>850</v>
      </c>
      <c r="I390" s="12">
        <v>1</v>
      </c>
      <c r="J390" s="9" t="s">
        <v>800</v>
      </c>
      <c r="K390" s="9" t="s">
        <v>49</v>
      </c>
      <c r="L390" s="13">
        <v>0</v>
      </c>
      <c r="M390" s="9" t="s">
        <v>34</v>
      </c>
    </row>
    <row r="391" spans="1:13" ht="20.25" customHeight="1" x14ac:dyDescent="0.25">
      <c r="A391" s="9" t="s">
        <v>801</v>
      </c>
      <c r="B391" s="10">
        <v>45644</v>
      </c>
      <c r="C391" s="9" t="s">
        <v>28</v>
      </c>
      <c r="D391" s="9" t="s">
        <v>51</v>
      </c>
      <c r="E391" s="11" t="s">
        <v>43</v>
      </c>
      <c r="F391" s="11" t="s">
        <v>44</v>
      </c>
      <c r="G391" s="3">
        <v>45</v>
      </c>
      <c r="H391" s="3">
        <v>20</v>
      </c>
      <c r="I391" s="12">
        <v>1</v>
      </c>
      <c r="J391" s="9" t="s">
        <v>802</v>
      </c>
      <c r="K391" s="9" t="s">
        <v>33</v>
      </c>
      <c r="L391" s="13">
        <v>1</v>
      </c>
      <c r="M391" s="9" t="s">
        <v>34</v>
      </c>
    </row>
    <row r="392" spans="1:13" ht="20.25" customHeight="1" x14ac:dyDescent="0.25">
      <c r="A392" s="9" t="s">
        <v>803</v>
      </c>
      <c r="B392" s="10">
        <v>45645</v>
      </c>
      <c r="C392" s="9" t="s">
        <v>62</v>
      </c>
      <c r="D392" s="9" t="s">
        <v>42</v>
      </c>
      <c r="E392" s="11" t="s">
        <v>43</v>
      </c>
      <c r="F392" s="11" t="s">
        <v>47</v>
      </c>
      <c r="G392" s="3">
        <v>330</v>
      </c>
      <c r="H392" s="3">
        <v>195</v>
      </c>
      <c r="I392" s="12">
        <v>3</v>
      </c>
      <c r="J392" s="9" t="s">
        <v>804</v>
      </c>
      <c r="K392" s="9" t="s">
        <v>49</v>
      </c>
      <c r="L392" s="13">
        <v>0</v>
      </c>
      <c r="M392" s="9" t="s">
        <v>34</v>
      </c>
    </row>
    <row r="393" spans="1:13" ht="20.25" customHeight="1" x14ac:dyDescent="0.25">
      <c r="A393" s="9" t="s">
        <v>805</v>
      </c>
      <c r="B393" s="10">
        <v>45645</v>
      </c>
      <c r="C393" s="9" t="s">
        <v>71</v>
      </c>
      <c r="D393" s="9" t="s">
        <v>42</v>
      </c>
      <c r="E393" s="11" t="s">
        <v>43</v>
      </c>
      <c r="F393" s="11" t="s">
        <v>47</v>
      </c>
      <c r="G393" s="3">
        <v>-220</v>
      </c>
      <c r="H393" s="3">
        <v>-130</v>
      </c>
      <c r="I393" s="12">
        <v>-2</v>
      </c>
      <c r="J393" s="9" t="s">
        <v>806</v>
      </c>
      <c r="K393" s="9" t="s">
        <v>49</v>
      </c>
      <c r="L393" s="13">
        <v>0</v>
      </c>
      <c r="M393" s="9" t="s">
        <v>76</v>
      </c>
    </row>
    <row r="394" spans="1:13" ht="20.25" customHeight="1" x14ac:dyDescent="0.25">
      <c r="A394" s="9" t="s">
        <v>807</v>
      </c>
      <c r="B394" s="10">
        <v>45646</v>
      </c>
      <c r="C394" s="9" t="s">
        <v>28</v>
      </c>
      <c r="D394" s="9" t="s">
        <v>29</v>
      </c>
      <c r="E394" s="11" t="s">
        <v>30</v>
      </c>
      <c r="F394" s="11" t="s">
        <v>63</v>
      </c>
      <c r="G394" s="3">
        <v>1200</v>
      </c>
      <c r="H394" s="3">
        <v>850</v>
      </c>
      <c r="I394" s="12">
        <v>1</v>
      </c>
      <c r="J394" s="9" t="s">
        <v>808</v>
      </c>
      <c r="K394" s="9" t="s">
        <v>49</v>
      </c>
      <c r="L394" s="13">
        <v>0</v>
      </c>
      <c r="M394" s="9" t="s">
        <v>34</v>
      </c>
    </row>
    <row r="395" spans="1:13" ht="20.25" customHeight="1" x14ac:dyDescent="0.25">
      <c r="A395" s="9" t="s">
        <v>809</v>
      </c>
      <c r="B395" s="10">
        <v>45646</v>
      </c>
      <c r="C395" s="9" t="s">
        <v>71</v>
      </c>
      <c r="D395" s="9" t="s">
        <v>51</v>
      </c>
      <c r="E395" s="11" t="s">
        <v>43</v>
      </c>
      <c r="F395" s="11" t="s">
        <v>47</v>
      </c>
      <c r="G395" s="3">
        <v>220</v>
      </c>
      <c r="H395" s="3">
        <v>130</v>
      </c>
      <c r="I395" s="12">
        <v>2</v>
      </c>
      <c r="J395" s="9" t="s">
        <v>810</v>
      </c>
      <c r="K395" s="9" t="s">
        <v>49</v>
      </c>
      <c r="L395" s="13">
        <v>0</v>
      </c>
      <c r="M395" s="9" t="s">
        <v>34</v>
      </c>
    </row>
    <row r="396" spans="1:13" ht="20.25" customHeight="1" x14ac:dyDescent="0.25">
      <c r="A396" s="9" t="s">
        <v>811</v>
      </c>
      <c r="B396" s="10">
        <v>45647</v>
      </c>
      <c r="C396" s="9" t="s">
        <v>41</v>
      </c>
      <c r="D396" s="9" t="s">
        <v>29</v>
      </c>
      <c r="E396" s="11" t="s">
        <v>58</v>
      </c>
      <c r="F396" s="11" t="s">
        <v>87</v>
      </c>
      <c r="G396" s="3">
        <v>180</v>
      </c>
      <c r="H396" s="3">
        <v>110</v>
      </c>
      <c r="I396" s="12">
        <v>1</v>
      </c>
      <c r="J396" s="9" t="s">
        <v>812</v>
      </c>
      <c r="K396" s="9" t="s">
        <v>33</v>
      </c>
      <c r="L396" s="13">
        <v>1</v>
      </c>
      <c r="M396" s="9" t="s">
        <v>34</v>
      </c>
    </row>
    <row r="397" spans="1:13" ht="20.25" customHeight="1" x14ac:dyDescent="0.25">
      <c r="A397" s="9" t="s">
        <v>813</v>
      </c>
      <c r="B397" s="10">
        <v>45647</v>
      </c>
      <c r="C397" s="9" t="s">
        <v>28</v>
      </c>
      <c r="D397" s="9" t="s">
        <v>29</v>
      </c>
      <c r="E397" s="11" t="s">
        <v>30</v>
      </c>
      <c r="F397" s="11" t="s">
        <v>63</v>
      </c>
      <c r="G397" s="3">
        <v>-2400</v>
      </c>
      <c r="H397" s="3">
        <v>-1700</v>
      </c>
      <c r="I397" s="12">
        <v>-2</v>
      </c>
      <c r="J397" s="9" t="s">
        <v>814</v>
      </c>
      <c r="K397" s="9" t="s">
        <v>49</v>
      </c>
      <c r="L397" s="13">
        <v>0</v>
      </c>
      <c r="M397" s="9" t="s">
        <v>76</v>
      </c>
    </row>
    <row r="398" spans="1:13" ht="20.25" customHeight="1" x14ac:dyDescent="0.25">
      <c r="A398" s="9" t="s">
        <v>815</v>
      </c>
      <c r="B398" s="10">
        <v>45647</v>
      </c>
      <c r="C398" s="9" t="s">
        <v>28</v>
      </c>
      <c r="D398" s="9" t="s">
        <v>29</v>
      </c>
      <c r="E398" s="11" t="s">
        <v>43</v>
      </c>
      <c r="F398" s="11" t="s">
        <v>90</v>
      </c>
      <c r="G398" s="3">
        <v>300</v>
      </c>
      <c r="H398" s="3">
        <v>180</v>
      </c>
      <c r="I398" s="12">
        <v>2</v>
      </c>
      <c r="J398" s="9" t="s">
        <v>816</v>
      </c>
      <c r="K398" s="9" t="s">
        <v>49</v>
      </c>
      <c r="L398" s="13">
        <v>0</v>
      </c>
      <c r="M398" s="9" t="s">
        <v>34</v>
      </c>
    </row>
    <row r="399" spans="1:13" ht="20.25" customHeight="1" x14ac:dyDescent="0.25">
      <c r="A399" s="9" t="s">
        <v>817</v>
      </c>
      <c r="B399" s="10">
        <v>45647</v>
      </c>
      <c r="C399" s="9" t="s">
        <v>54</v>
      </c>
      <c r="D399" s="9" t="s">
        <v>29</v>
      </c>
      <c r="E399" s="11" t="s">
        <v>37</v>
      </c>
      <c r="F399" s="11" t="s">
        <v>72</v>
      </c>
      <c r="G399" s="3">
        <v>440</v>
      </c>
      <c r="H399" s="3">
        <v>260</v>
      </c>
      <c r="I399" s="12">
        <v>2</v>
      </c>
      <c r="J399" s="9" t="s">
        <v>818</v>
      </c>
      <c r="K399" s="9" t="s">
        <v>49</v>
      </c>
      <c r="L399" s="13">
        <v>0</v>
      </c>
      <c r="M399" s="9" t="s">
        <v>34</v>
      </c>
    </row>
    <row r="400" spans="1:13" ht="20.25" customHeight="1" x14ac:dyDescent="0.25">
      <c r="A400" s="9" t="s">
        <v>819</v>
      </c>
      <c r="B400" s="10">
        <v>45648</v>
      </c>
      <c r="C400" s="9" t="s">
        <v>36</v>
      </c>
      <c r="D400" s="9" t="s">
        <v>42</v>
      </c>
      <c r="E400" s="11" t="s">
        <v>30</v>
      </c>
      <c r="F400" s="11" t="s">
        <v>80</v>
      </c>
      <c r="G400" s="3">
        <v>4250</v>
      </c>
      <c r="H400" s="3">
        <v>3000</v>
      </c>
      <c r="I400" s="12">
        <v>5</v>
      </c>
      <c r="J400" s="9" t="s">
        <v>820</v>
      </c>
      <c r="K400" s="9" t="s">
        <v>33</v>
      </c>
      <c r="L400" s="13">
        <v>1</v>
      </c>
      <c r="M400" s="9" t="s">
        <v>34</v>
      </c>
    </row>
    <row r="401" spans="1:13" ht="20.25" customHeight="1" x14ac:dyDescent="0.25">
      <c r="A401" s="9" t="s">
        <v>821</v>
      </c>
      <c r="B401" s="10">
        <v>45648</v>
      </c>
      <c r="C401" s="9" t="s">
        <v>71</v>
      </c>
      <c r="D401" s="9" t="s">
        <v>29</v>
      </c>
      <c r="E401" s="11" t="s">
        <v>58</v>
      </c>
      <c r="F401" s="11" t="s">
        <v>68</v>
      </c>
      <c r="G401" s="3">
        <v>350</v>
      </c>
      <c r="H401" s="3">
        <v>220</v>
      </c>
      <c r="I401" s="12">
        <v>1</v>
      </c>
      <c r="J401" s="9" t="s">
        <v>268</v>
      </c>
      <c r="K401" s="9" t="s">
        <v>49</v>
      </c>
      <c r="L401" s="13">
        <v>0</v>
      </c>
      <c r="M401" s="9" t="s">
        <v>34</v>
      </c>
    </row>
    <row r="402" spans="1:13" ht="20.25" customHeight="1" x14ac:dyDescent="0.25">
      <c r="A402" s="9" t="s">
        <v>822</v>
      </c>
      <c r="B402" s="10">
        <v>45648</v>
      </c>
      <c r="C402" s="9" t="s">
        <v>36</v>
      </c>
      <c r="D402" s="9" t="s">
        <v>42</v>
      </c>
      <c r="E402" s="11" t="s">
        <v>30</v>
      </c>
      <c r="F402" s="11" t="s">
        <v>80</v>
      </c>
      <c r="G402" s="3">
        <v>1700</v>
      </c>
      <c r="H402" s="3">
        <v>1200</v>
      </c>
      <c r="I402" s="12">
        <v>2</v>
      </c>
      <c r="J402" s="9" t="s">
        <v>823</v>
      </c>
      <c r="K402" s="9" t="s">
        <v>49</v>
      </c>
      <c r="L402" s="13">
        <v>0</v>
      </c>
      <c r="M402" s="9" t="s">
        <v>34</v>
      </c>
    </row>
    <row r="403" spans="1:13" ht="20.25" customHeight="1" x14ac:dyDescent="0.25">
      <c r="A403" s="9" t="s">
        <v>824</v>
      </c>
      <c r="B403" s="10">
        <v>45649</v>
      </c>
      <c r="C403" s="9" t="s">
        <v>28</v>
      </c>
      <c r="D403" s="9" t="s">
        <v>29</v>
      </c>
      <c r="E403" s="11" t="s">
        <v>37</v>
      </c>
      <c r="F403" s="11" t="s">
        <v>72</v>
      </c>
      <c r="G403" s="3">
        <v>220</v>
      </c>
      <c r="H403" s="3">
        <v>130</v>
      </c>
      <c r="I403" s="12">
        <v>1</v>
      </c>
      <c r="J403" s="9" t="s">
        <v>825</v>
      </c>
      <c r="K403" s="9" t="s">
        <v>49</v>
      </c>
      <c r="L403" s="13">
        <v>0</v>
      </c>
      <c r="M403" s="9" t="s">
        <v>34</v>
      </c>
    </row>
    <row r="404" spans="1:13" ht="20.25" customHeight="1" x14ac:dyDescent="0.25">
      <c r="A404" s="9" t="s">
        <v>826</v>
      </c>
      <c r="B404" s="10">
        <v>45649</v>
      </c>
      <c r="C404" s="9" t="s">
        <v>28</v>
      </c>
      <c r="D404" s="9" t="s">
        <v>29</v>
      </c>
      <c r="E404" s="11" t="s">
        <v>58</v>
      </c>
      <c r="F404" s="11" t="s">
        <v>87</v>
      </c>
      <c r="G404" s="3">
        <v>180</v>
      </c>
      <c r="H404" s="3">
        <v>110</v>
      </c>
      <c r="I404" s="12">
        <v>1</v>
      </c>
      <c r="J404" s="9" t="s">
        <v>827</v>
      </c>
      <c r="K404" s="9" t="s">
        <v>33</v>
      </c>
      <c r="L404" s="13">
        <v>1</v>
      </c>
      <c r="M404" s="9" t="s">
        <v>34</v>
      </c>
    </row>
    <row r="405" spans="1:13" ht="20.25" customHeight="1" x14ac:dyDescent="0.25">
      <c r="A405" s="9" t="s">
        <v>828</v>
      </c>
      <c r="B405" s="10">
        <v>45649</v>
      </c>
      <c r="C405" s="9" t="s">
        <v>36</v>
      </c>
      <c r="D405" s="9" t="s">
        <v>29</v>
      </c>
      <c r="E405" s="11" t="s">
        <v>43</v>
      </c>
      <c r="F405" s="11" t="s">
        <v>90</v>
      </c>
      <c r="G405" s="3">
        <v>150</v>
      </c>
      <c r="H405" s="3">
        <v>90</v>
      </c>
      <c r="I405" s="12">
        <v>1</v>
      </c>
      <c r="J405" s="9" t="s">
        <v>829</v>
      </c>
      <c r="K405" s="9" t="s">
        <v>49</v>
      </c>
      <c r="L405" s="13">
        <v>0</v>
      </c>
      <c r="M405" s="9" t="s">
        <v>34</v>
      </c>
    </row>
    <row r="406" spans="1:13" ht="20.25" customHeight="1" x14ac:dyDescent="0.25">
      <c r="A406" s="9" t="s">
        <v>830</v>
      </c>
      <c r="B406" s="10">
        <v>45650</v>
      </c>
      <c r="C406" s="9" t="s">
        <v>28</v>
      </c>
      <c r="D406" s="9" t="s">
        <v>29</v>
      </c>
      <c r="E406" s="11" t="s">
        <v>30</v>
      </c>
      <c r="F406" s="11" t="s">
        <v>63</v>
      </c>
      <c r="G406" s="3">
        <v>1200</v>
      </c>
      <c r="H406" s="3">
        <v>850</v>
      </c>
      <c r="I406" s="12">
        <v>1</v>
      </c>
      <c r="J406" s="9" t="s">
        <v>831</v>
      </c>
      <c r="K406" s="9" t="s">
        <v>49</v>
      </c>
      <c r="L406" s="13">
        <v>0</v>
      </c>
      <c r="M406" s="9" t="s">
        <v>34</v>
      </c>
    </row>
    <row r="407" spans="1:13" ht="20.25" customHeight="1" x14ac:dyDescent="0.25">
      <c r="A407" s="9" t="s">
        <v>832</v>
      </c>
      <c r="B407" s="10">
        <v>45650</v>
      </c>
      <c r="C407" s="9" t="s">
        <v>28</v>
      </c>
      <c r="D407" s="9" t="s">
        <v>29</v>
      </c>
      <c r="E407" s="11" t="s">
        <v>58</v>
      </c>
      <c r="F407" s="11" t="s">
        <v>68</v>
      </c>
      <c r="G407" s="3">
        <v>700</v>
      </c>
      <c r="H407" s="3">
        <v>440</v>
      </c>
      <c r="I407" s="12">
        <v>2</v>
      </c>
      <c r="J407" s="9" t="s">
        <v>833</v>
      </c>
      <c r="K407" s="9" t="s">
        <v>33</v>
      </c>
      <c r="L407" s="13">
        <v>1</v>
      </c>
      <c r="M407" s="9" t="s">
        <v>34</v>
      </c>
    </row>
    <row r="408" spans="1:13" ht="20.25" customHeight="1" x14ac:dyDescent="0.25">
      <c r="A408" s="9" t="s">
        <v>834</v>
      </c>
      <c r="B408" s="10">
        <v>45651</v>
      </c>
      <c r="C408" s="9" t="s">
        <v>54</v>
      </c>
      <c r="D408" s="9" t="s">
        <v>29</v>
      </c>
      <c r="E408" s="11" t="s">
        <v>58</v>
      </c>
      <c r="F408" s="11" t="s">
        <v>87</v>
      </c>
      <c r="G408" s="3">
        <v>180</v>
      </c>
      <c r="H408" s="3">
        <v>110</v>
      </c>
      <c r="I408" s="12">
        <v>1</v>
      </c>
      <c r="J408" s="9" t="s">
        <v>722</v>
      </c>
      <c r="K408" s="9" t="s">
        <v>33</v>
      </c>
      <c r="L408" s="13">
        <v>1</v>
      </c>
      <c r="M408" s="9" t="s">
        <v>34</v>
      </c>
    </row>
    <row r="409" spans="1:13" ht="20.25" customHeight="1" x14ac:dyDescent="0.25">
      <c r="A409" s="9" t="s">
        <v>835</v>
      </c>
      <c r="B409" s="10">
        <v>45651</v>
      </c>
      <c r="C409" s="9" t="s">
        <v>62</v>
      </c>
      <c r="D409" s="9" t="s">
        <v>51</v>
      </c>
      <c r="E409" s="11" t="s">
        <v>58</v>
      </c>
      <c r="F409" s="11" t="s">
        <v>68</v>
      </c>
      <c r="G409" s="3">
        <v>350</v>
      </c>
      <c r="H409" s="3">
        <v>220</v>
      </c>
      <c r="I409" s="12">
        <v>1</v>
      </c>
      <c r="J409" s="9" t="s">
        <v>812</v>
      </c>
      <c r="K409" s="9" t="s">
        <v>49</v>
      </c>
      <c r="L409" s="13">
        <v>0</v>
      </c>
      <c r="M409" s="9" t="s">
        <v>34</v>
      </c>
    </row>
    <row r="410" spans="1:13" ht="20.25" customHeight="1" x14ac:dyDescent="0.25">
      <c r="A410" s="9" t="s">
        <v>836</v>
      </c>
      <c r="B410" s="10">
        <v>45651</v>
      </c>
      <c r="C410" s="9" t="s">
        <v>41</v>
      </c>
      <c r="D410" s="9" t="s">
        <v>29</v>
      </c>
      <c r="E410" s="11" t="s">
        <v>58</v>
      </c>
      <c r="F410" s="11" t="s">
        <v>59</v>
      </c>
      <c r="G410" s="3">
        <v>150</v>
      </c>
      <c r="H410" s="3">
        <v>90</v>
      </c>
      <c r="I410" s="12">
        <v>1</v>
      </c>
      <c r="J410" s="9" t="s">
        <v>837</v>
      </c>
      <c r="K410" s="9" t="s">
        <v>49</v>
      </c>
      <c r="L410" s="13">
        <v>0</v>
      </c>
      <c r="M410" s="9" t="s">
        <v>34</v>
      </c>
    </row>
    <row r="411" spans="1:13" ht="20.25" customHeight="1" x14ac:dyDescent="0.25">
      <c r="A411" s="9" t="s">
        <v>838</v>
      </c>
      <c r="B411" s="10">
        <v>45652</v>
      </c>
      <c r="C411" s="9" t="s">
        <v>54</v>
      </c>
      <c r="D411" s="9" t="s">
        <v>29</v>
      </c>
      <c r="E411" s="11" t="s">
        <v>37</v>
      </c>
      <c r="F411" s="11" t="s">
        <v>55</v>
      </c>
      <c r="G411" s="3">
        <v>-90</v>
      </c>
      <c r="H411" s="3">
        <v>-55</v>
      </c>
      <c r="I411" s="12">
        <v>-1</v>
      </c>
      <c r="J411" s="9" t="s">
        <v>839</v>
      </c>
      <c r="K411" s="9" t="s">
        <v>49</v>
      </c>
      <c r="L411" s="13">
        <v>0</v>
      </c>
      <c r="M411" s="9" t="s">
        <v>76</v>
      </c>
    </row>
    <row r="412" spans="1:13" ht="20.25" customHeight="1" x14ac:dyDescent="0.25">
      <c r="A412" s="9" t="s">
        <v>840</v>
      </c>
      <c r="B412" s="10">
        <v>45653</v>
      </c>
      <c r="C412" s="9" t="s">
        <v>28</v>
      </c>
      <c r="D412" s="9" t="s">
        <v>29</v>
      </c>
      <c r="E412" s="11" t="s">
        <v>43</v>
      </c>
      <c r="F412" s="11" t="s">
        <v>44</v>
      </c>
      <c r="G412" s="3">
        <v>135</v>
      </c>
      <c r="H412" s="3">
        <v>60</v>
      </c>
      <c r="I412" s="12">
        <v>3</v>
      </c>
      <c r="J412" s="9" t="s">
        <v>841</v>
      </c>
      <c r="K412" s="9" t="s">
        <v>33</v>
      </c>
      <c r="L412" s="13">
        <v>1</v>
      </c>
      <c r="M412" s="9" t="s">
        <v>34</v>
      </c>
    </row>
    <row r="413" spans="1:13" ht="20.25" customHeight="1" x14ac:dyDescent="0.25">
      <c r="A413" s="9" t="s">
        <v>842</v>
      </c>
      <c r="B413" s="10">
        <v>45653</v>
      </c>
      <c r="C413" s="9" t="s">
        <v>62</v>
      </c>
      <c r="D413" s="9" t="s">
        <v>42</v>
      </c>
      <c r="E413" s="11" t="s">
        <v>43</v>
      </c>
      <c r="F413" s="11" t="s">
        <v>44</v>
      </c>
      <c r="G413" s="3">
        <v>45</v>
      </c>
      <c r="H413" s="3">
        <v>20</v>
      </c>
      <c r="I413" s="12">
        <v>1</v>
      </c>
      <c r="J413" s="9" t="s">
        <v>843</v>
      </c>
      <c r="K413" s="9" t="s">
        <v>33</v>
      </c>
      <c r="L413" s="13">
        <v>1</v>
      </c>
      <c r="M413" s="9" t="s">
        <v>34</v>
      </c>
    </row>
    <row r="414" spans="1:13" ht="20.25" customHeight="1" x14ac:dyDescent="0.25">
      <c r="A414" s="9" t="s">
        <v>844</v>
      </c>
      <c r="B414" s="10">
        <v>45654</v>
      </c>
      <c r="C414" s="9" t="s">
        <v>28</v>
      </c>
      <c r="D414" s="9" t="s">
        <v>42</v>
      </c>
      <c r="E414" s="11" t="s">
        <v>43</v>
      </c>
      <c r="F414" s="11" t="s">
        <v>44</v>
      </c>
      <c r="G414" s="3">
        <v>90</v>
      </c>
      <c r="H414" s="3">
        <v>40</v>
      </c>
      <c r="I414" s="12">
        <v>2</v>
      </c>
      <c r="J414" s="9" t="s">
        <v>489</v>
      </c>
      <c r="K414" s="9" t="s">
        <v>49</v>
      </c>
      <c r="L414" s="13">
        <v>0</v>
      </c>
      <c r="M414" s="9" t="s">
        <v>34</v>
      </c>
    </row>
    <row r="415" spans="1:13" ht="20.25" customHeight="1" x14ac:dyDescent="0.25">
      <c r="A415" s="9" t="s">
        <v>845</v>
      </c>
      <c r="B415" s="10">
        <v>45654</v>
      </c>
      <c r="C415" s="9" t="s">
        <v>62</v>
      </c>
      <c r="D415" s="9" t="s">
        <v>29</v>
      </c>
      <c r="E415" s="11" t="s">
        <v>43</v>
      </c>
      <c r="F415" s="11" t="s">
        <v>44</v>
      </c>
      <c r="G415" s="3">
        <v>90</v>
      </c>
      <c r="H415" s="3">
        <v>40</v>
      </c>
      <c r="I415" s="12">
        <v>2</v>
      </c>
      <c r="J415" s="9" t="s">
        <v>846</v>
      </c>
      <c r="K415" s="9" t="s">
        <v>49</v>
      </c>
      <c r="L415" s="13">
        <v>0</v>
      </c>
      <c r="M415" s="9" t="s">
        <v>34</v>
      </c>
    </row>
    <row r="416" spans="1:13" ht="20.25" customHeight="1" x14ac:dyDescent="0.25">
      <c r="A416" s="9" t="s">
        <v>847</v>
      </c>
      <c r="B416" s="10">
        <v>45655</v>
      </c>
      <c r="C416" s="9" t="s">
        <v>62</v>
      </c>
      <c r="D416" s="9" t="s">
        <v>29</v>
      </c>
      <c r="E416" s="11" t="s">
        <v>37</v>
      </c>
      <c r="F416" s="11" t="s">
        <v>72</v>
      </c>
      <c r="G416" s="3">
        <v>440</v>
      </c>
      <c r="H416" s="3">
        <v>260</v>
      </c>
      <c r="I416" s="12">
        <v>2</v>
      </c>
      <c r="J416" s="9" t="s">
        <v>848</v>
      </c>
      <c r="K416" s="9" t="s">
        <v>49</v>
      </c>
      <c r="L416" s="13">
        <v>0</v>
      </c>
      <c r="M416" s="9" t="s">
        <v>34</v>
      </c>
    </row>
    <row r="417" spans="1:13" ht="20.25" customHeight="1" x14ac:dyDescent="0.25">
      <c r="A417" s="9" t="s">
        <v>849</v>
      </c>
      <c r="B417" s="10">
        <v>45655</v>
      </c>
      <c r="C417" s="9" t="s">
        <v>41</v>
      </c>
      <c r="D417" s="9" t="s">
        <v>29</v>
      </c>
      <c r="E417" s="11" t="s">
        <v>43</v>
      </c>
      <c r="F417" s="11" t="s">
        <v>90</v>
      </c>
      <c r="G417" s="3">
        <v>150</v>
      </c>
      <c r="H417" s="3">
        <v>90</v>
      </c>
      <c r="I417" s="12">
        <v>1</v>
      </c>
      <c r="J417" s="9" t="s">
        <v>850</v>
      </c>
      <c r="K417" s="9" t="s">
        <v>49</v>
      </c>
      <c r="L417" s="13">
        <v>0</v>
      </c>
      <c r="M417" s="9" t="s">
        <v>34</v>
      </c>
    </row>
    <row r="418" spans="1:13" ht="20.25" customHeight="1" x14ac:dyDescent="0.25">
      <c r="A418" s="9" t="s">
        <v>851</v>
      </c>
      <c r="B418" s="10">
        <v>45655</v>
      </c>
      <c r="C418" s="9" t="s">
        <v>62</v>
      </c>
      <c r="D418" s="9" t="s">
        <v>42</v>
      </c>
      <c r="E418" s="11" t="s">
        <v>58</v>
      </c>
      <c r="F418" s="11" t="s">
        <v>59</v>
      </c>
      <c r="G418" s="3">
        <v>450</v>
      </c>
      <c r="H418" s="3">
        <v>270</v>
      </c>
      <c r="I418" s="12">
        <v>3</v>
      </c>
      <c r="J418" s="9" t="s">
        <v>852</v>
      </c>
      <c r="K418" s="9" t="s">
        <v>49</v>
      </c>
      <c r="L418" s="13">
        <v>0</v>
      </c>
      <c r="M418" s="9" t="s">
        <v>34</v>
      </c>
    </row>
    <row r="419" spans="1:13" ht="20.25" customHeight="1" x14ac:dyDescent="0.25">
      <c r="A419" s="9" t="s">
        <v>853</v>
      </c>
      <c r="B419" s="10">
        <v>45656</v>
      </c>
      <c r="C419" s="9" t="s">
        <v>71</v>
      </c>
      <c r="D419" s="9" t="s">
        <v>29</v>
      </c>
      <c r="E419" s="11" t="s">
        <v>58</v>
      </c>
      <c r="F419" s="11" t="s">
        <v>87</v>
      </c>
      <c r="G419" s="3">
        <v>180</v>
      </c>
      <c r="H419" s="3">
        <v>110</v>
      </c>
      <c r="I419" s="12">
        <v>1</v>
      </c>
      <c r="J419" s="9" t="s">
        <v>854</v>
      </c>
      <c r="K419" s="9" t="s">
        <v>33</v>
      </c>
      <c r="L419" s="13">
        <v>1</v>
      </c>
      <c r="M419" s="9" t="s">
        <v>34</v>
      </c>
    </row>
    <row r="420" spans="1:13" ht="20.25" customHeight="1" x14ac:dyDescent="0.25">
      <c r="A420" s="9" t="s">
        <v>855</v>
      </c>
      <c r="B420" s="10">
        <v>45656</v>
      </c>
      <c r="C420" s="9" t="s">
        <v>28</v>
      </c>
      <c r="D420" s="9" t="s">
        <v>29</v>
      </c>
      <c r="E420" s="11" t="s">
        <v>58</v>
      </c>
      <c r="F420" s="11" t="s">
        <v>87</v>
      </c>
      <c r="G420" s="3">
        <v>540</v>
      </c>
      <c r="H420" s="3">
        <v>330</v>
      </c>
      <c r="I420" s="12">
        <v>3</v>
      </c>
      <c r="J420" s="9" t="s">
        <v>856</v>
      </c>
      <c r="K420" s="9" t="s">
        <v>49</v>
      </c>
      <c r="L420" s="13">
        <v>0</v>
      </c>
      <c r="M420" s="9" t="s">
        <v>34</v>
      </c>
    </row>
    <row r="421" spans="1:13" ht="20.25" customHeight="1" x14ac:dyDescent="0.25">
      <c r="A421" s="9" t="s">
        <v>857</v>
      </c>
      <c r="B421" s="10">
        <v>45657</v>
      </c>
      <c r="C421" s="9" t="s">
        <v>36</v>
      </c>
      <c r="D421" s="9" t="s">
        <v>29</v>
      </c>
      <c r="E421" s="11" t="s">
        <v>58</v>
      </c>
      <c r="F421" s="11" t="s">
        <v>68</v>
      </c>
      <c r="G421" s="3">
        <v>350</v>
      </c>
      <c r="H421" s="3">
        <v>220</v>
      </c>
      <c r="I421" s="12">
        <v>1</v>
      </c>
      <c r="J421" s="9" t="s">
        <v>691</v>
      </c>
      <c r="K421" s="9" t="s">
        <v>33</v>
      </c>
      <c r="L421" s="13">
        <v>1</v>
      </c>
      <c r="M421" s="9" t="s">
        <v>34</v>
      </c>
    </row>
    <row r="422" spans="1:13" ht="20.25" customHeight="1" x14ac:dyDescent="0.25">
      <c r="A422" s="9" t="s">
        <v>858</v>
      </c>
      <c r="B422" s="10">
        <v>45657</v>
      </c>
      <c r="C422" s="9" t="s">
        <v>71</v>
      </c>
      <c r="D422" s="9" t="s">
        <v>29</v>
      </c>
      <c r="E422" s="11" t="s">
        <v>30</v>
      </c>
      <c r="F422" s="11" t="s">
        <v>31</v>
      </c>
      <c r="G422" s="3">
        <v>650</v>
      </c>
      <c r="H422" s="3">
        <v>450</v>
      </c>
      <c r="I422" s="12">
        <v>1</v>
      </c>
      <c r="J422" s="9" t="s">
        <v>859</v>
      </c>
      <c r="K422" s="9" t="s">
        <v>49</v>
      </c>
      <c r="L422" s="13">
        <v>0</v>
      </c>
      <c r="M422" s="9" t="s">
        <v>34</v>
      </c>
    </row>
    <row r="423" spans="1:13" ht="20.25" customHeight="1" x14ac:dyDescent="0.25">
      <c r="A423" s="9" t="s">
        <v>860</v>
      </c>
      <c r="B423" s="10">
        <v>45657</v>
      </c>
      <c r="C423" s="9" t="s">
        <v>28</v>
      </c>
      <c r="D423" s="9" t="s">
        <v>29</v>
      </c>
      <c r="E423" s="11" t="s">
        <v>43</v>
      </c>
      <c r="F423" s="11" t="s">
        <v>47</v>
      </c>
      <c r="G423" s="3">
        <v>110</v>
      </c>
      <c r="H423" s="3">
        <v>65</v>
      </c>
      <c r="I423" s="12">
        <v>1</v>
      </c>
      <c r="J423" s="9" t="s">
        <v>861</v>
      </c>
      <c r="K423" s="9" t="s">
        <v>33</v>
      </c>
      <c r="L423" s="13">
        <v>1</v>
      </c>
      <c r="M423" s="9" t="s">
        <v>34</v>
      </c>
    </row>
    <row r="424" spans="1:13" ht="20.25" customHeight="1" x14ac:dyDescent="0.25">
      <c r="A424" s="9" t="s">
        <v>862</v>
      </c>
      <c r="B424" s="10">
        <v>45658</v>
      </c>
      <c r="C424" s="9" t="s">
        <v>71</v>
      </c>
      <c r="D424" s="9" t="s">
        <v>51</v>
      </c>
      <c r="E424" s="11" t="s">
        <v>58</v>
      </c>
      <c r="F424" s="11" t="s">
        <v>59</v>
      </c>
      <c r="G424" s="3">
        <v>300</v>
      </c>
      <c r="H424" s="3">
        <v>180</v>
      </c>
      <c r="I424" s="12">
        <v>2</v>
      </c>
      <c r="J424" s="9" t="s">
        <v>863</v>
      </c>
      <c r="K424" s="9" t="s">
        <v>33</v>
      </c>
      <c r="L424" s="13">
        <v>1</v>
      </c>
      <c r="M424" s="9" t="s">
        <v>34</v>
      </c>
    </row>
    <row r="425" spans="1:13" ht="20.25" customHeight="1" x14ac:dyDescent="0.25">
      <c r="A425" s="9" t="s">
        <v>864</v>
      </c>
      <c r="B425" s="10">
        <v>45658</v>
      </c>
      <c r="C425" s="9" t="s">
        <v>62</v>
      </c>
      <c r="D425" s="9" t="s">
        <v>29</v>
      </c>
      <c r="E425" s="11" t="s">
        <v>30</v>
      </c>
      <c r="F425" s="11" t="s">
        <v>31</v>
      </c>
      <c r="G425" s="3">
        <v>650</v>
      </c>
      <c r="H425" s="3">
        <v>450</v>
      </c>
      <c r="I425" s="12">
        <v>1</v>
      </c>
      <c r="J425" s="9" t="s">
        <v>865</v>
      </c>
      <c r="K425" s="9" t="s">
        <v>33</v>
      </c>
      <c r="L425" s="13">
        <v>1</v>
      </c>
      <c r="M425" s="9" t="s">
        <v>34</v>
      </c>
    </row>
    <row r="426" spans="1:13" ht="20.25" customHeight="1" x14ac:dyDescent="0.25">
      <c r="A426" s="9" t="s">
        <v>866</v>
      </c>
      <c r="B426" s="10">
        <v>45658</v>
      </c>
      <c r="C426" s="9" t="s">
        <v>28</v>
      </c>
      <c r="D426" s="9" t="s">
        <v>51</v>
      </c>
      <c r="E426" s="11" t="s">
        <v>58</v>
      </c>
      <c r="F426" s="11" t="s">
        <v>59</v>
      </c>
      <c r="G426" s="3">
        <v>150</v>
      </c>
      <c r="H426" s="3">
        <v>90</v>
      </c>
      <c r="I426" s="12">
        <v>1</v>
      </c>
      <c r="J426" s="9" t="s">
        <v>867</v>
      </c>
      <c r="K426" s="9" t="s">
        <v>33</v>
      </c>
      <c r="L426" s="13">
        <v>1</v>
      </c>
      <c r="M426" s="9" t="s">
        <v>34</v>
      </c>
    </row>
    <row r="427" spans="1:13" ht="20.25" customHeight="1" x14ac:dyDescent="0.25">
      <c r="A427" s="9" t="s">
        <v>868</v>
      </c>
      <c r="B427" s="10">
        <v>45659</v>
      </c>
      <c r="C427" s="9" t="s">
        <v>41</v>
      </c>
      <c r="D427" s="9" t="s">
        <v>29</v>
      </c>
      <c r="E427" s="11" t="s">
        <v>30</v>
      </c>
      <c r="F427" s="11" t="s">
        <v>63</v>
      </c>
      <c r="G427" s="3">
        <v>1200</v>
      </c>
      <c r="H427" s="3">
        <v>850</v>
      </c>
      <c r="I427" s="12">
        <v>1</v>
      </c>
      <c r="J427" s="9" t="s">
        <v>869</v>
      </c>
      <c r="K427" s="9" t="s">
        <v>33</v>
      </c>
      <c r="L427" s="13">
        <v>1</v>
      </c>
      <c r="M427" s="9" t="s">
        <v>34</v>
      </c>
    </row>
    <row r="428" spans="1:13" ht="20.25" customHeight="1" x14ac:dyDescent="0.25">
      <c r="A428" s="9" t="s">
        <v>870</v>
      </c>
      <c r="B428" s="10">
        <v>45660</v>
      </c>
      <c r="C428" s="9" t="s">
        <v>62</v>
      </c>
      <c r="D428" s="9" t="s">
        <v>29</v>
      </c>
      <c r="E428" s="11" t="s">
        <v>30</v>
      </c>
      <c r="F428" s="11" t="s">
        <v>80</v>
      </c>
      <c r="G428" s="3">
        <v>2550</v>
      </c>
      <c r="H428" s="3">
        <v>1800</v>
      </c>
      <c r="I428" s="12">
        <v>3</v>
      </c>
      <c r="J428" s="9" t="s">
        <v>157</v>
      </c>
      <c r="K428" s="9" t="s">
        <v>49</v>
      </c>
      <c r="L428" s="13">
        <v>0</v>
      </c>
      <c r="M428" s="9" t="s">
        <v>34</v>
      </c>
    </row>
    <row r="429" spans="1:13" ht="20.25" customHeight="1" x14ac:dyDescent="0.25">
      <c r="A429" s="9" t="s">
        <v>871</v>
      </c>
      <c r="B429" s="10">
        <v>45660</v>
      </c>
      <c r="C429" s="9" t="s">
        <v>62</v>
      </c>
      <c r="D429" s="9" t="s">
        <v>42</v>
      </c>
      <c r="E429" s="11" t="s">
        <v>30</v>
      </c>
      <c r="F429" s="11" t="s">
        <v>63</v>
      </c>
      <c r="G429" s="3">
        <v>2400</v>
      </c>
      <c r="H429" s="3">
        <v>1700</v>
      </c>
      <c r="I429" s="12">
        <v>2</v>
      </c>
      <c r="J429" s="9" t="s">
        <v>872</v>
      </c>
      <c r="K429" s="9" t="s">
        <v>33</v>
      </c>
      <c r="L429" s="13">
        <v>1</v>
      </c>
      <c r="M429" s="9" t="s">
        <v>34</v>
      </c>
    </row>
    <row r="430" spans="1:13" ht="20.25" customHeight="1" x14ac:dyDescent="0.25">
      <c r="A430" s="9" t="s">
        <v>873</v>
      </c>
      <c r="B430" s="10">
        <v>45661</v>
      </c>
      <c r="C430" s="9" t="s">
        <v>62</v>
      </c>
      <c r="D430" s="9" t="s">
        <v>29</v>
      </c>
      <c r="E430" s="11" t="s">
        <v>58</v>
      </c>
      <c r="F430" s="11" t="s">
        <v>87</v>
      </c>
      <c r="G430" s="3">
        <v>180</v>
      </c>
      <c r="H430" s="3">
        <v>110</v>
      </c>
      <c r="I430" s="12">
        <v>1</v>
      </c>
      <c r="J430" s="9" t="s">
        <v>874</v>
      </c>
      <c r="K430" s="9" t="s">
        <v>33</v>
      </c>
      <c r="L430" s="13">
        <v>1</v>
      </c>
      <c r="M430" s="9" t="s">
        <v>34</v>
      </c>
    </row>
    <row r="431" spans="1:13" ht="20.25" customHeight="1" x14ac:dyDescent="0.25">
      <c r="A431" s="9" t="s">
        <v>875</v>
      </c>
      <c r="B431" s="10">
        <v>45661</v>
      </c>
      <c r="C431" s="9" t="s">
        <v>71</v>
      </c>
      <c r="D431" s="9" t="s">
        <v>42</v>
      </c>
      <c r="E431" s="11" t="s">
        <v>58</v>
      </c>
      <c r="F431" s="11" t="s">
        <v>87</v>
      </c>
      <c r="G431" s="3">
        <v>360</v>
      </c>
      <c r="H431" s="3">
        <v>220</v>
      </c>
      <c r="I431" s="12">
        <v>2</v>
      </c>
      <c r="J431" s="9" t="s">
        <v>876</v>
      </c>
      <c r="K431" s="9" t="s">
        <v>49</v>
      </c>
      <c r="L431" s="13">
        <v>0</v>
      </c>
      <c r="M431" s="9" t="s">
        <v>34</v>
      </c>
    </row>
    <row r="432" spans="1:13" ht="20.25" customHeight="1" x14ac:dyDescent="0.25">
      <c r="A432" s="9" t="s">
        <v>877</v>
      </c>
      <c r="B432" s="10">
        <v>45661</v>
      </c>
      <c r="C432" s="9" t="s">
        <v>62</v>
      </c>
      <c r="D432" s="9" t="s">
        <v>51</v>
      </c>
      <c r="E432" s="11" t="s">
        <v>43</v>
      </c>
      <c r="F432" s="11" t="s">
        <v>47</v>
      </c>
      <c r="G432" s="3">
        <v>110</v>
      </c>
      <c r="H432" s="3">
        <v>65</v>
      </c>
      <c r="I432" s="12">
        <v>1</v>
      </c>
      <c r="J432" s="9" t="s">
        <v>777</v>
      </c>
      <c r="K432" s="9" t="s">
        <v>33</v>
      </c>
      <c r="L432" s="13">
        <v>1</v>
      </c>
      <c r="M432" s="9" t="s">
        <v>34</v>
      </c>
    </row>
    <row r="433" spans="1:13" ht="20.25" customHeight="1" x14ac:dyDescent="0.25">
      <c r="A433" s="9" t="s">
        <v>878</v>
      </c>
      <c r="B433" s="10">
        <v>45662</v>
      </c>
      <c r="C433" s="9" t="s">
        <v>41</v>
      </c>
      <c r="D433" s="9" t="s">
        <v>29</v>
      </c>
      <c r="E433" s="11" t="s">
        <v>37</v>
      </c>
      <c r="F433" s="11" t="s">
        <v>38</v>
      </c>
      <c r="G433" s="3">
        <v>120</v>
      </c>
      <c r="H433" s="3">
        <v>70</v>
      </c>
      <c r="I433" s="12">
        <v>1</v>
      </c>
      <c r="J433" s="9" t="s">
        <v>879</v>
      </c>
      <c r="K433" s="9" t="s">
        <v>49</v>
      </c>
      <c r="L433" s="13">
        <v>0</v>
      </c>
      <c r="M433" s="9" t="s">
        <v>34</v>
      </c>
    </row>
    <row r="434" spans="1:13" ht="20.25" customHeight="1" x14ac:dyDescent="0.25">
      <c r="A434" s="9" t="s">
        <v>880</v>
      </c>
      <c r="B434" s="10">
        <v>45662</v>
      </c>
      <c r="C434" s="9" t="s">
        <v>28</v>
      </c>
      <c r="D434" s="9" t="s">
        <v>42</v>
      </c>
      <c r="E434" s="11" t="s">
        <v>58</v>
      </c>
      <c r="F434" s="11" t="s">
        <v>68</v>
      </c>
      <c r="G434" s="3">
        <v>1050</v>
      </c>
      <c r="H434" s="3">
        <v>660</v>
      </c>
      <c r="I434" s="12">
        <v>3</v>
      </c>
      <c r="J434" s="9" t="s">
        <v>688</v>
      </c>
      <c r="K434" s="9" t="s">
        <v>33</v>
      </c>
      <c r="L434" s="13">
        <v>1</v>
      </c>
      <c r="M434" s="9" t="s">
        <v>34</v>
      </c>
    </row>
    <row r="435" spans="1:13" ht="20.25" customHeight="1" x14ac:dyDescent="0.25">
      <c r="A435" s="9" t="s">
        <v>881</v>
      </c>
      <c r="B435" s="10">
        <v>45662</v>
      </c>
      <c r="C435" s="9" t="s">
        <v>36</v>
      </c>
      <c r="D435" s="9" t="s">
        <v>29</v>
      </c>
      <c r="E435" s="11" t="s">
        <v>58</v>
      </c>
      <c r="F435" s="11" t="s">
        <v>59</v>
      </c>
      <c r="G435" s="3">
        <v>150</v>
      </c>
      <c r="H435" s="3">
        <v>90</v>
      </c>
      <c r="I435" s="12">
        <v>1</v>
      </c>
      <c r="J435" s="9" t="s">
        <v>882</v>
      </c>
      <c r="K435" s="9" t="s">
        <v>49</v>
      </c>
      <c r="L435" s="13">
        <v>0</v>
      </c>
      <c r="M435" s="9" t="s">
        <v>34</v>
      </c>
    </row>
    <row r="436" spans="1:13" ht="20.25" customHeight="1" x14ac:dyDescent="0.25">
      <c r="A436" s="9" t="s">
        <v>883</v>
      </c>
      <c r="B436" s="10">
        <v>45664</v>
      </c>
      <c r="C436" s="9" t="s">
        <v>41</v>
      </c>
      <c r="D436" s="9" t="s">
        <v>42</v>
      </c>
      <c r="E436" s="11" t="s">
        <v>58</v>
      </c>
      <c r="F436" s="11" t="s">
        <v>59</v>
      </c>
      <c r="G436" s="3">
        <v>150</v>
      </c>
      <c r="H436" s="3">
        <v>90</v>
      </c>
      <c r="I436" s="12">
        <v>1</v>
      </c>
      <c r="J436" s="9" t="s">
        <v>671</v>
      </c>
      <c r="K436" s="9" t="s">
        <v>49</v>
      </c>
      <c r="L436" s="13">
        <v>0</v>
      </c>
      <c r="M436" s="9" t="s">
        <v>34</v>
      </c>
    </row>
    <row r="437" spans="1:13" ht="20.25" customHeight="1" x14ac:dyDescent="0.25">
      <c r="A437" s="9" t="s">
        <v>884</v>
      </c>
      <c r="B437" s="10">
        <v>45664</v>
      </c>
      <c r="C437" s="9" t="s">
        <v>28</v>
      </c>
      <c r="D437" s="9" t="s">
        <v>29</v>
      </c>
      <c r="E437" s="11" t="s">
        <v>43</v>
      </c>
      <c r="F437" s="11" t="s">
        <v>47</v>
      </c>
      <c r="G437" s="3">
        <v>110</v>
      </c>
      <c r="H437" s="3">
        <v>65</v>
      </c>
      <c r="I437" s="12">
        <v>1</v>
      </c>
      <c r="J437" s="9" t="s">
        <v>747</v>
      </c>
      <c r="K437" s="9" t="s">
        <v>33</v>
      </c>
      <c r="L437" s="13">
        <v>1</v>
      </c>
      <c r="M437" s="9" t="s">
        <v>34</v>
      </c>
    </row>
    <row r="438" spans="1:13" ht="20.25" customHeight="1" x14ac:dyDescent="0.25">
      <c r="A438" s="9" t="s">
        <v>885</v>
      </c>
      <c r="B438" s="10">
        <v>45665</v>
      </c>
      <c r="C438" s="9" t="s">
        <v>71</v>
      </c>
      <c r="D438" s="9" t="s">
        <v>42</v>
      </c>
      <c r="E438" s="11" t="s">
        <v>30</v>
      </c>
      <c r="F438" s="11" t="s">
        <v>31</v>
      </c>
      <c r="G438" s="3">
        <v>650</v>
      </c>
      <c r="H438" s="3">
        <v>450</v>
      </c>
      <c r="I438" s="12">
        <v>1</v>
      </c>
      <c r="J438" s="9" t="s">
        <v>886</v>
      </c>
      <c r="K438" s="9" t="s">
        <v>49</v>
      </c>
      <c r="L438" s="13">
        <v>0</v>
      </c>
      <c r="M438" s="9" t="s">
        <v>34</v>
      </c>
    </row>
    <row r="439" spans="1:13" ht="20.25" customHeight="1" x14ac:dyDescent="0.25">
      <c r="A439" s="9" t="s">
        <v>887</v>
      </c>
      <c r="B439" s="10">
        <v>45666</v>
      </c>
      <c r="C439" s="9" t="s">
        <v>41</v>
      </c>
      <c r="D439" s="9" t="s">
        <v>29</v>
      </c>
      <c r="E439" s="11" t="s">
        <v>30</v>
      </c>
      <c r="F439" s="11" t="s">
        <v>31</v>
      </c>
      <c r="G439" s="3">
        <v>650</v>
      </c>
      <c r="H439" s="3">
        <v>450</v>
      </c>
      <c r="I439" s="12">
        <v>1</v>
      </c>
      <c r="J439" s="9" t="s">
        <v>543</v>
      </c>
      <c r="K439" s="9" t="s">
        <v>49</v>
      </c>
      <c r="L439" s="13">
        <v>0</v>
      </c>
      <c r="M439" s="9" t="s">
        <v>34</v>
      </c>
    </row>
    <row r="440" spans="1:13" ht="20.25" customHeight="1" x14ac:dyDescent="0.25">
      <c r="A440" s="9" t="s">
        <v>888</v>
      </c>
      <c r="B440" s="10">
        <v>45666</v>
      </c>
      <c r="C440" s="9" t="s">
        <v>28</v>
      </c>
      <c r="D440" s="9" t="s">
        <v>51</v>
      </c>
      <c r="E440" s="11" t="s">
        <v>43</v>
      </c>
      <c r="F440" s="11" t="s">
        <v>47</v>
      </c>
      <c r="G440" s="3">
        <v>110</v>
      </c>
      <c r="H440" s="3">
        <v>65</v>
      </c>
      <c r="I440" s="12">
        <v>1</v>
      </c>
      <c r="J440" s="9" t="s">
        <v>495</v>
      </c>
      <c r="K440" s="9" t="s">
        <v>33</v>
      </c>
      <c r="L440" s="13">
        <v>1</v>
      </c>
      <c r="M440" s="9" t="s">
        <v>34</v>
      </c>
    </row>
    <row r="441" spans="1:13" ht="20.25" customHeight="1" x14ac:dyDescent="0.25">
      <c r="A441" s="9" t="s">
        <v>889</v>
      </c>
      <c r="B441" s="10">
        <v>45666</v>
      </c>
      <c r="C441" s="9" t="s">
        <v>71</v>
      </c>
      <c r="D441" s="9" t="s">
        <v>51</v>
      </c>
      <c r="E441" s="11" t="s">
        <v>58</v>
      </c>
      <c r="F441" s="11" t="s">
        <v>87</v>
      </c>
      <c r="G441" s="3">
        <v>180</v>
      </c>
      <c r="H441" s="3">
        <v>110</v>
      </c>
      <c r="I441" s="12">
        <v>1</v>
      </c>
      <c r="J441" s="9" t="s">
        <v>890</v>
      </c>
      <c r="K441" s="9" t="s">
        <v>33</v>
      </c>
      <c r="L441" s="13">
        <v>1</v>
      </c>
      <c r="M441" s="9" t="s">
        <v>34</v>
      </c>
    </row>
    <row r="442" spans="1:13" ht="20.25" customHeight="1" x14ac:dyDescent="0.25">
      <c r="A442" s="9" t="s">
        <v>891</v>
      </c>
      <c r="B442" s="10">
        <v>45667</v>
      </c>
      <c r="C442" s="9" t="s">
        <v>41</v>
      </c>
      <c r="D442" s="9" t="s">
        <v>42</v>
      </c>
      <c r="E442" s="11" t="s">
        <v>30</v>
      </c>
      <c r="F442" s="11" t="s">
        <v>31</v>
      </c>
      <c r="G442" s="3">
        <v>650</v>
      </c>
      <c r="H442" s="3">
        <v>450</v>
      </c>
      <c r="I442" s="12">
        <v>1</v>
      </c>
      <c r="J442" s="9" t="s">
        <v>892</v>
      </c>
      <c r="K442" s="9" t="s">
        <v>33</v>
      </c>
      <c r="L442" s="13">
        <v>1</v>
      </c>
      <c r="M442" s="9" t="s">
        <v>34</v>
      </c>
    </row>
    <row r="443" spans="1:13" ht="20.25" customHeight="1" x14ac:dyDescent="0.25">
      <c r="A443" s="9" t="s">
        <v>893</v>
      </c>
      <c r="B443" s="10">
        <v>45667</v>
      </c>
      <c r="C443" s="9" t="s">
        <v>36</v>
      </c>
      <c r="D443" s="9" t="s">
        <v>42</v>
      </c>
      <c r="E443" s="11" t="s">
        <v>30</v>
      </c>
      <c r="F443" s="11" t="s">
        <v>63</v>
      </c>
      <c r="G443" s="3">
        <v>-1200</v>
      </c>
      <c r="H443" s="3">
        <v>-850</v>
      </c>
      <c r="I443" s="12">
        <v>-1</v>
      </c>
      <c r="J443" s="9" t="s">
        <v>894</v>
      </c>
      <c r="K443" s="9" t="s">
        <v>33</v>
      </c>
      <c r="L443" s="13">
        <v>1</v>
      </c>
      <c r="M443" s="9" t="s">
        <v>76</v>
      </c>
    </row>
    <row r="444" spans="1:13" ht="20.25" customHeight="1" x14ac:dyDescent="0.25">
      <c r="A444" s="9" t="s">
        <v>895</v>
      </c>
      <c r="B444" s="10">
        <v>45667</v>
      </c>
      <c r="C444" s="9" t="s">
        <v>28</v>
      </c>
      <c r="D444" s="9" t="s">
        <v>42</v>
      </c>
      <c r="E444" s="11" t="s">
        <v>43</v>
      </c>
      <c r="F444" s="11" t="s">
        <v>47</v>
      </c>
      <c r="G444" s="3">
        <v>110</v>
      </c>
      <c r="H444" s="3">
        <v>65</v>
      </c>
      <c r="I444" s="12">
        <v>1</v>
      </c>
      <c r="J444" s="9" t="s">
        <v>896</v>
      </c>
      <c r="K444" s="9" t="s">
        <v>49</v>
      </c>
      <c r="L444" s="13">
        <v>0</v>
      </c>
      <c r="M444" s="9" t="s">
        <v>34</v>
      </c>
    </row>
    <row r="445" spans="1:13" ht="20.25" customHeight="1" x14ac:dyDescent="0.25">
      <c r="A445" s="9" t="s">
        <v>897</v>
      </c>
      <c r="B445" s="10">
        <v>45667</v>
      </c>
      <c r="C445" s="9" t="s">
        <v>28</v>
      </c>
      <c r="D445" s="9" t="s">
        <v>42</v>
      </c>
      <c r="E445" s="11" t="s">
        <v>43</v>
      </c>
      <c r="F445" s="11" t="s">
        <v>44</v>
      </c>
      <c r="G445" s="3">
        <v>45</v>
      </c>
      <c r="H445" s="3">
        <v>20</v>
      </c>
      <c r="I445" s="12">
        <v>1</v>
      </c>
      <c r="J445" s="9" t="s">
        <v>898</v>
      </c>
      <c r="K445" s="9" t="s">
        <v>49</v>
      </c>
      <c r="L445" s="13">
        <v>0</v>
      </c>
      <c r="M445" s="9" t="s">
        <v>34</v>
      </c>
    </row>
    <row r="446" spans="1:13" ht="20.25" customHeight="1" x14ac:dyDescent="0.25">
      <c r="A446" s="9" t="s">
        <v>899</v>
      </c>
      <c r="B446" s="10">
        <v>45667</v>
      </c>
      <c r="C446" s="9" t="s">
        <v>36</v>
      </c>
      <c r="D446" s="9" t="s">
        <v>29</v>
      </c>
      <c r="E446" s="11" t="s">
        <v>37</v>
      </c>
      <c r="F446" s="11" t="s">
        <v>55</v>
      </c>
      <c r="G446" s="3">
        <v>180</v>
      </c>
      <c r="H446" s="3">
        <v>110</v>
      </c>
      <c r="I446" s="12">
        <v>2</v>
      </c>
      <c r="J446" s="9" t="s">
        <v>900</v>
      </c>
      <c r="K446" s="9" t="s">
        <v>33</v>
      </c>
      <c r="L446" s="13">
        <v>1</v>
      </c>
      <c r="M446" s="9" t="s">
        <v>34</v>
      </c>
    </row>
    <row r="447" spans="1:13" ht="20.25" customHeight="1" x14ac:dyDescent="0.25">
      <c r="A447" s="9" t="s">
        <v>901</v>
      </c>
      <c r="B447" s="10">
        <v>45667</v>
      </c>
      <c r="C447" s="9" t="s">
        <v>62</v>
      </c>
      <c r="D447" s="9" t="s">
        <v>29</v>
      </c>
      <c r="E447" s="11" t="s">
        <v>58</v>
      </c>
      <c r="F447" s="11" t="s">
        <v>59</v>
      </c>
      <c r="G447" s="3">
        <v>150</v>
      </c>
      <c r="H447" s="3">
        <v>90</v>
      </c>
      <c r="I447" s="12">
        <v>1</v>
      </c>
      <c r="J447" s="9" t="s">
        <v>902</v>
      </c>
      <c r="K447" s="9" t="s">
        <v>49</v>
      </c>
      <c r="L447" s="13">
        <v>0</v>
      </c>
      <c r="M447" s="9" t="s">
        <v>34</v>
      </c>
    </row>
    <row r="448" spans="1:13" ht="20.25" customHeight="1" x14ac:dyDescent="0.25">
      <c r="A448" s="9" t="s">
        <v>903</v>
      </c>
      <c r="B448" s="10">
        <v>45668</v>
      </c>
      <c r="C448" s="9" t="s">
        <v>28</v>
      </c>
      <c r="D448" s="9" t="s">
        <v>29</v>
      </c>
      <c r="E448" s="11" t="s">
        <v>58</v>
      </c>
      <c r="F448" s="11" t="s">
        <v>59</v>
      </c>
      <c r="G448" s="3">
        <v>300</v>
      </c>
      <c r="H448" s="3">
        <v>180</v>
      </c>
      <c r="I448" s="12">
        <v>2</v>
      </c>
      <c r="J448" s="9" t="s">
        <v>904</v>
      </c>
      <c r="K448" s="9" t="s">
        <v>49</v>
      </c>
      <c r="L448" s="13">
        <v>0</v>
      </c>
      <c r="M448" s="9" t="s">
        <v>34</v>
      </c>
    </row>
    <row r="449" spans="1:13" ht="20.25" customHeight="1" x14ac:dyDescent="0.25">
      <c r="A449" s="9" t="s">
        <v>905</v>
      </c>
      <c r="B449" s="10">
        <v>45669</v>
      </c>
      <c r="C449" s="9" t="s">
        <v>71</v>
      </c>
      <c r="D449" s="9" t="s">
        <v>29</v>
      </c>
      <c r="E449" s="11" t="s">
        <v>43</v>
      </c>
      <c r="F449" s="11" t="s">
        <v>47</v>
      </c>
      <c r="G449" s="3">
        <v>220</v>
      </c>
      <c r="H449" s="3">
        <v>130</v>
      </c>
      <c r="I449" s="12">
        <v>2</v>
      </c>
      <c r="J449" s="9" t="s">
        <v>906</v>
      </c>
      <c r="K449" s="9" t="s">
        <v>49</v>
      </c>
      <c r="L449" s="13">
        <v>0</v>
      </c>
      <c r="M449" s="9" t="s">
        <v>34</v>
      </c>
    </row>
    <row r="450" spans="1:13" ht="20.25" customHeight="1" x14ac:dyDescent="0.25">
      <c r="A450" s="9" t="s">
        <v>907</v>
      </c>
      <c r="B450" s="10">
        <v>45669</v>
      </c>
      <c r="C450" s="9" t="s">
        <v>28</v>
      </c>
      <c r="D450" s="9" t="s">
        <v>29</v>
      </c>
      <c r="E450" s="11" t="s">
        <v>43</v>
      </c>
      <c r="F450" s="11" t="s">
        <v>44</v>
      </c>
      <c r="G450" s="3">
        <v>90</v>
      </c>
      <c r="H450" s="3">
        <v>40</v>
      </c>
      <c r="I450" s="12">
        <v>2</v>
      </c>
      <c r="J450" s="9" t="s">
        <v>908</v>
      </c>
      <c r="K450" s="9" t="s">
        <v>49</v>
      </c>
      <c r="L450" s="13">
        <v>0</v>
      </c>
      <c r="M450" s="9" t="s">
        <v>34</v>
      </c>
    </row>
    <row r="451" spans="1:13" ht="20.25" customHeight="1" x14ac:dyDescent="0.25">
      <c r="A451" s="9" t="s">
        <v>909</v>
      </c>
      <c r="B451" s="10">
        <v>45670</v>
      </c>
      <c r="C451" s="9" t="s">
        <v>36</v>
      </c>
      <c r="D451" s="9" t="s">
        <v>51</v>
      </c>
      <c r="E451" s="11" t="s">
        <v>30</v>
      </c>
      <c r="F451" s="11" t="s">
        <v>63</v>
      </c>
      <c r="G451" s="3">
        <v>1200</v>
      </c>
      <c r="H451" s="3">
        <v>850</v>
      </c>
      <c r="I451" s="12">
        <v>1</v>
      </c>
      <c r="J451" s="9" t="s">
        <v>910</v>
      </c>
      <c r="K451" s="9" t="s">
        <v>49</v>
      </c>
      <c r="L451" s="13">
        <v>0</v>
      </c>
      <c r="M451" s="9" t="s">
        <v>34</v>
      </c>
    </row>
    <row r="452" spans="1:13" ht="20.25" customHeight="1" x14ac:dyDescent="0.25">
      <c r="A452" s="9" t="s">
        <v>911</v>
      </c>
      <c r="B452" s="10">
        <v>45670</v>
      </c>
      <c r="C452" s="9" t="s">
        <v>54</v>
      </c>
      <c r="D452" s="9" t="s">
        <v>29</v>
      </c>
      <c r="E452" s="11" t="s">
        <v>43</v>
      </c>
      <c r="F452" s="11" t="s">
        <v>90</v>
      </c>
      <c r="G452" s="3">
        <v>150</v>
      </c>
      <c r="H452" s="3">
        <v>90</v>
      </c>
      <c r="I452" s="12">
        <v>1</v>
      </c>
      <c r="J452" s="9" t="s">
        <v>912</v>
      </c>
      <c r="K452" s="9" t="s">
        <v>49</v>
      </c>
      <c r="L452" s="13">
        <v>0</v>
      </c>
      <c r="M452" s="9" t="s">
        <v>34</v>
      </c>
    </row>
    <row r="453" spans="1:13" ht="20.25" customHeight="1" x14ac:dyDescent="0.25">
      <c r="A453" s="9" t="s">
        <v>913</v>
      </c>
      <c r="B453" s="10">
        <v>45670</v>
      </c>
      <c r="C453" s="9" t="s">
        <v>41</v>
      </c>
      <c r="D453" s="9" t="s">
        <v>51</v>
      </c>
      <c r="E453" s="11" t="s">
        <v>30</v>
      </c>
      <c r="F453" s="11" t="s">
        <v>63</v>
      </c>
      <c r="G453" s="3">
        <v>1200</v>
      </c>
      <c r="H453" s="3">
        <v>850</v>
      </c>
      <c r="I453" s="12">
        <v>1</v>
      </c>
      <c r="J453" s="9" t="s">
        <v>914</v>
      </c>
      <c r="K453" s="9" t="s">
        <v>33</v>
      </c>
      <c r="L453" s="13">
        <v>1</v>
      </c>
      <c r="M453" s="9" t="s">
        <v>34</v>
      </c>
    </row>
    <row r="454" spans="1:13" ht="20.25" customHeight="1" x14ac:dyDescent="0.25">
      <c r="A454" s="9" t="s">
        <v>915</v>
      </c>
      <c r="B454" s="10">
        <v>45671</v>
      </c>
      <c r="C454" s="9" t="s">
        <v>28</v>
      </c>
      <c r="D454" s="9" t="s">
        <v>29</v>
      </c>
      <c r="E454" s="11" t="s">
        <v>30</v>
      </c>
      <c r="F454" s="11" t="s">
        <v>80</v>
      </c>
      <c r="G454" s="3">
        <v>1700</v>
      </c>
      <c r="H454" s="3">
        <v>1200</v>
      </c>
      <c r="I454" s="12">
        <v>2</v>
      </c>
      <c r="J454" s="9" t="s">
        <v>916</v>
      </c>
      <c r="K454" s="9" t="s">
        <v>33</v>
      </c>
      <c r="L454" s="13">
        <v>1</v>
      </c>
      <c r="M454" s="9" t="s">
        <v>34</v>
      </c>
    </row>
    <row r="455" spans="1:13" ht="20.25" customHeight="1" x14ac:dyDescent="0.25">
      <c r="A455" s="9" t="s">
        <v>917</v>
      </c>
      <c r="B455" s="10">
        <v>45672</v>
      </c>
      <c r="C455" s="9" t="s">
        <v>36</v>
      </c>
      <c r="D455" s="9" t="s">
        <v>29</v>
      </c>
      <c r="E455" s="11" t="s">
        <v>37</v>
      </c>
      <c r="F455" s="11" t="s">
        <v>55</v>
      </c>
      <c r="G455" s="3">
        <v>90</v>
      </c>
      <c r="H455" s="3">
        <v>55</v>
      </c>
      <c r="I455" s="12">
        <v>1</v>
      </c>
      <c r="J455" s="9" t="s">
        <v>918</v>
      </c>
      <c r="K455" s="9" t="s">
        <v>49</v>
      </c>
      <c r="L455" s="13">
        <v>0</v>
      </c>
      <c r="M455" s="9" t="s">
        <v>34</v>
      </c>
    </row>
    <row r="456" spans="1:13" ht="20.25" customHeight="1" x14ac:dyDescent="0.25">
      <c r="A456" s="9" t="s">
        <v>919</v>
      </c>
      <c r="B456" s="10">
        <v>45672</v>
      </c>
      <c r="C456" s="9" t="s">
        <v>28</v>
      </c>
      <c r="D456" s="9" t="s">
        <v>51</v>
      </c>
      <c r="E456" s="11" t="s">
        <v>58</v>
      </c>
      <c r="F456" s="11" t="s">
        <v>68</v>
      </c>
      <c r="G456" s="3">
        <v>700</v>
      </c>
      <c r="H456" s="3">
        <v>440</v>
      </c>
      <c r="I456" s="12">
        <v>2</v>
      </c>
      <c r="J456" s="9" t="s">
        <v>920</v>
      </c>
      <c r="K456" s="9" t="s">
        <v>49</v>
      </c>
      <c r="L456" s="13">
        <v>0</v>
      </c>
      <c r="M456" s="9" t="s">
        <v>34</v>
      </c>
    </row>
    <row r="457" spans="1:13" ht="20.25" customHeight="1" x14ac:dyDescent="0.25">
      <c r="A457" s="9" t="s">
        <v>921</v>
      </c>
      <c r="B457" s="10">
        <v>45672</v>
      </c>
      <c r="C457" s="9" t="s">
        <v>36</v>
      </c>
      <c r="D457" s="9" t="s">
        <v>51</v>
      </c>
      <c r="E457" s="11" t="s">
        <v>43</v>
      </c>
      <c r="F457" s="11" t="s">
        <v>90</v>
      </c>
      <c r="G457" s="3">
        <v>450</v>
      </c>
      <c r="H457" s="3">
        <v>270</v>
      </c>
      <c r="I457" s="12">
        <v>3</v>
      </c>
      <c r="J457" s="9" t="s">
        <v>922</v>
      </c>
      <c r="K457" s="9" t="s">
        <v>33</v>
      </c>
      <c r="L457" s="13">
        <v>1</v>
      </c>
      <c r="M457" s="9" t="s">
        <v>34</v>
      </c>
    </row>
    <row r="458" spans="1:13" ht="20.25" customHeight="1" x14ac:dyDescent="0.25">
      <c r="A458" s="9" t="s">
        <v>923</v>
      </c>
      <c r="B458" s="10">
        <v>45672</v>
      </c>
      <c r="C458" s="9" t="s">
        <v>41</v>
      </c>
      <c r="D458" s="9" t="s">
        <v>51</v>
      </c>
      <c r="E458" s="11" t="s">
        <v>30</v>
      </c>
      <c r="F458" s="11" t="s">
        <v>63</v>
      </c>
      <c r="G458" s="3">
        <v>1200</v>
      </c>
      <c r="H458" s="3">
        <v>850</v>
      </c>
      <c r="I458" s="12">
        <v>1</v>
      </c>
      <c r="J458" s="9" t="s">
        <v>924</v>
      </c>
      <c r="K458" s="9" t="s">
        <v>49</v>
      </c>
      <c r="L458" s="13">
        <v>0</v>
      </c>
      <c r="M458" s="9" t="s">
        <v>34</v>
      </c>
    </row>
    <row r="459" spans="1:13" ht="20.25" customHeight="1" x14ac:dyDescent="0.25">
      <c r="A459" s="9" t="s">
        <v>925</v>
      </c>
      <c r="B459" s="10">
        <v>45673</v>
      </c>
      <c r="C459" s="9" t="s">
        <v>28</v>
      </c>
      <c r="D459" s="9" t="s">
        <v>51</v>
      </c>
      <c r="E459" s="11" t="s">
        <v>58</v>
      </c>
      <c r="F459" s="11" t="s">
        <v>59</v>
      </c>
      <c r="G459" s="3">
        <v>150</v>
      </c>
      <c r="H459" s="3">
        <v>90</v>
      </c>
      <c r="I459" s="12">
        <v>1</v>
      </c>
      <c r="J459" s="9" t="s">
        <v>926</v>
      </c>
      <c r="K459" s="9" t="s">
        <v>49</v>
      </c>
      <c r="L459" s="13">
        <v>0</v>
      </c>
      <c r="M459" s="9" t="s">
        <v>34</v>
      </c>
    </row>
    <row r="460" spans="1:13" ht="20.25" customHeight="1" x14ac:dyDescent="0.25">
      <c r="A460" s="9" t="s">
        <v>927</v>
      </c>
      <c r="B460" s="10">
        <v>45673</v>
      </c>
      <c r="C460" s="9" t="s">
        <v>28</v>
      </c>
      <c r="D460" s="9" t="s">
        <v>29</v>
      </c>
      <c r="E460" s="11" t="s">
        <v>43</v>
      </c>
      <c r="F460" s="11" t="s">
        <v>47</v>
      </c>
      <c r="G460" s="3">
        <v>220</v>
      </c>
      <c r="H460" s="3">
        <v>130</v>
      </c>
      <c r="I460" s="12">
        <v>2</v>
      </c>
      <c r="J460" s="9" t="s">
        <v>928</v>
      </c>
      <c r="K460" s="9" t="s">
        <v>49</v>
      </c>
      <c r="L460" s="13">
        <v>0</v>
      </c>
      <c r="M460" s="9" t="s">
        <v>34</v>
      </c>
    </row>
    <row r="461" spans="1:13" ht="20.25" customHeight="1" x14ac:dyDescent="0.25">
      <c r="A461" s="9" t="s">
        <v>929</v>
      </c>
      <c r="B461" s="10">
        <v>45674</v>
      </c>
      <c r="C461" s="9" t="s">
        <v>36</v>
      </c>
      <c r="D461" s="9" t="s">
        <v>51</v>
      </c>
      <c r="E461" s="11" t="s">
        <v>43</v>
      </c>
      <c r="F461" s="11" t="s">
        <v>90</v>
      </c>
      <c r="G461" s="3">
        <v>150</v>
      </c>
      <c r="H461" s="3">
        <v>90</v>
      </c>
      <c r="I461" s="12">
        <v>1</v>
      </c>
      <c r="J461" s="9" t="s">
        <v>930</v>
      </c>
      <c r="K461" s="9" t="s">
        <v>33</v>
      </c>
      <c r="L461" s="13">
        <v>1</v>
      </c>
      <c r="M461" s="9" t="s">
        <v>34</v>
      </c>
    </row>
    <row r="462" spans="1:13" ht="20.25" customHeight="1" x14ac:dyDescent="0.25">
      <c r="A462" s="9" t="s">
        <v>931</v>
      </c>
      <c r="B462" s="10">
        <v>45674</v>
      </c>
      <c r="C462" s="9" t="s">
        <v>62</v>
      </c>
      <c r="D462" s="9" t="s">
        <v>29</v>
      </c>
      <c r="E462" s="11" t="s">
        <v>30</v>
      </c>
      <c r="F462" s="11" t="s">
        <v>31</v>
      </c>
      <c r="G462" s="3">
        <v>650</v>
      </c>
      <c r="H462" s="3">
        <v>450</v>
      </c>
      <c r="I462" s="12">
        <v>1</v>
      </c>
      <c r="J462" s="9" t="s">
        <v>932</v>
      </c>
      <c r="K462" s="9" t="s">
        <v>49</v>
      </c>
      <c r="L462" s="13">
        <v>0</v>
      </c>
      <c r="M462" s="9" t="s">
        <v>34</v>
      </c>
    </row>
    <row r="463" spans="1:13" ht="20.25" customHeight="1" x14ac:dyDescent="0.25">
      <c r="A463" s="9" t="s">
        <v>933</v>
      </c>
      <c r="B463" s="10">
        <v>45674</v>
      </c>
      <c r="C463" s="9" t="s">
        <v>62</v>
      </c>
      <c r="D463" s="9" t="s">
        <v>29</v>
      </c>
      <c r="E463" s="11" t="s">
        <v>58</v>
      </c>
      <c r="F463" s="11" t="s">
        <v>87</v>
      </c>
      <c r="G463" s="3">
        <v>540</v>
      </c>
      <c r="H463" s="3">
        <v>330</v>
      </c>
      <c r="I463" s="12">
        <v>3</v>
      </c>
      <c r="J463" s="9" t="s">
        <v>191</v>
      </c>
      <c r="K463" s="9" t="s">
        <v>49</v>
      </c>
      <c r="L463" s="13">
        <v>0</v>
      </c>
      <c r="M463" s="9" t="s">
        <v>34</v>
      </c>
    </row>
    <row r="464" spans="1:13" ht="20.25" customHeight="1" x14ac:dyDescent="0.25">
      <c r="A464" s="9" t="s">
        <v>934</v>
      </c>
      <c r="B464" s="10">
        <v>45675</v>
      </c>
      <c r="C464" s="9" t="s">
        <v>28</v>
      </c>
      <c r="D464" s="9" t="s">
        <v>29</v>
      </c>
      <c r="E464" s="11" t="s">
        <v>37</v>
      </c>
      <c r="F464" s="11" t="s">
        <v>55</v>
      </c>
      <c r="G464" s="3">
        <v>90</v>
      </c>
      <c r="H464" s="3">
        <v>55</v>
      </c>
      <c r="I464" s="12">
        <v>1</v>
      </c>
      <c r="J464" s="9" t="s">
        <v>935</v>
      </c>
      <c r="K464" s="9" t="s">
        <v>49</v>
      </c>
      <c r="L464" s="13">
        <v>0</v>
      </c>
      <c r="M464" s="9" t="s">
        <v>34</v>
      </c>
    </row>
    <row r="465" spans="1:13" ht="20.25" customHeight="1" x14ac:dyDescent="0.25">
      <c r="A465" s="9" t="s">
        <v>936</v>
      </c>
      <c r="B465" s="10">
        <v>45675</v>
      </c>
      <c r="C465" s="9" t="s">
        <v>41</v>
      </c>
      <c r="D465" s="9" t="s">
        <v>29</v>
      </c>
      <c r="E465" s="11" t="s">
        <v>30</v>
      </c>
      <c r="F465" s="11" t="s">
        <v>31</v>
      </c>
      <c r="G465" s="3">
        <v>1950</v>
      </c>
      <c r="H465" s="3">
        <v>1350</v>
      </c>
      <c r="I465" s="12">
        <v>3</v>
      </c>
      <c r="J465" s="9" t="s">
        <v>937</v>
      </c>
      <c r="K465" s="9" t="s">
        <v>49</v>
      </c>
      <c r="L465" s="13">
        <v>0</v>
      </c>
      <c r="M465" s="9" t="s">
        <v>34</v>
      </c>
    </row>
    <row r="466" spans="1:13" ht="20.25" customHeight="1" x14ac:dyDescent="0.25">
      <c r="A466" s="9" t="s">
        <v>938</v>
      </c>
      <c r="B466" s="10">
        <v>45675</v>
      </c>
      <c r="C466" s="9" t="s">
        <v>36</v>
      </c>
      <c r="D466" s="9" t="s">
        <v>29</v>
      </c>
      <c r="E466" s="11" t="s">
        <v>43</v>
      </c>
      <c r="F466" s="11" t="s">
        <v>44</v>
      </c>
      <c r="G466" s="3">
        <v>90</v>
      </c>
      <c r="H466" s="3">
        <v>40</v>
      </c>
      <c r="I466" s="12">
        <v>2</v>
      </c>
      <c r="J466" s="9" t="s">
        <v>939</v>
      </c>
      <c r="K466" s="9" t="s">
        <v>49</v>
      </c>
      <c r="L466" s="13">
        <v>0</v>
      </c>
      <c r="M466" s="9" t="s">
        <v>34</v>
      </c>
    </row>
    <row r="467" spans="1:13" ht="20.25" customHeight="1" x14ac:dyDescent="0.25">
      <c r="A467" s="9" t="s">
        <v>940</v>
      </c>
      <c r="B467" s="10">
        <v>45676</v>
      </c>
      <c r="C467" s="9" t="s">
        <v>36</v>
      </c>
      <c r="D467" s="9" t="s">
        <v>42</v>
      </c>
      <c r="E467" s="11" t="s">
        <v>43</v>
      </c>
      <c r="F467" s="11" t="s">
        <v>47</v>
      </c>
      <c r="G467" s="3">
        <v>220</v>
      </c>
      <c r="H467" s="3">
        <v>130</v>
      </c>
      <c r="I467" s="12">
        <v>2</v>
      </c>
      <c r="J467" s="9" t="s">
        <v>941</v>
      </c>
      <c r="K467" s="9" t="s">
        <v>49</v>
      </c>
      <c r="L467" s="13">
        <v>0</v>
      </c>
      <c r="M467" s="9" t="s">
        <v>34</v>
      </c>
    </row>
    <row r="468" spans="1:13" ht="20.25" customHeight="1" x14ac:dyDescent="0.25">
      <c r="A468" s="9" t="s">
        <v>942</v>
      </c>
      <c r="B468" s="10">
        <v>45676</v>
      </c>
      <c r="C468" s="9" t="s">
        <v>41</v>
      </c>
      <c r="D468" s="9" t="s">
        <v>42</v>
      </c>
      <c r="E468" s="11" t="s">
        <v>30</v>
      </c>
      <c r="F468" s="11" t="s">
        <v>80</v>
      </c>
      <c r="G468" s="3">
        <v>850</v>
      </c>
      <c r="H468" s="3">
        <v>600</v>
      </c>
      <c r="I468" s="12">
        <v>1</v>
      </c>
      <c r="J468" s="9" t="s">
        <v>943</v>
      </c>
      <c r="K468" s="9" t="s">
        <v>49</v>
      </c>
      <c r="L468" s="13">
        <v>0</v>
      </c>
      <c r="M468" s="9" t="s">
        <v>34</v>
      </c>
    </row>
    <row r="469" spans="1:13" ht="20.25" customHeight="1" x14ac:dyDescent="0.25">
      <c r="A469" s="9" t="s">
        <v>944</v>
      </c>
      <c r="B469" s="10">
        <v>45678</v>
      </c>
      <c r="C469" s="9" t="s">
        <v>62</v>
      </c>
      <c r="D469" s="9" t="s">
        <v>29</v>
      </c>
      <c r="E469" s="11" t="s">
        <v>30</v>
      </c>
      <c r="F469" s="11" t="s">
        <v>63</v>
      </c>
      <c r="G469" s="3">
        <v>1200</v>
      </c>
      <c r="H469" s="3">
        <v>850</v>
      </c>
      <c r="I469" s="12">
        <v>1</v>
      </c>
      <c r="J469" s="9" t="s">
        <v>945</v>
      </c>
      <c r="K469" s="9" t="s">
        <v>49</v>
      </c>
      <c r="L469" s="13">
        <v>0</v>
      </c>
      <c r="M469" s="9" t="s">
        <v>34</v>
      </c>
    </row>
    <row r="470" spans="1:13" ht="20.25" customHeight="1" x14ac:dyDescent="0.25">
      <c r="A470" s="9" t="s">
        <v>946</v>
      </c>
      <c r="B470" s="10">
        <v>45678</v>
      </c>
      <c r="C470" s="9" t="s">
        <v>62</v>
      </c>
      <c r="D470" s="9" t="s">
        <v>29</v>
      </c>
      <c r="E470" s="11" t="s">
        <v>30</v>
      </c>
      <c r="F470" s="11" t="s">
        <v>31</v>
      </c>
      <c r="G470" s="3">
        <v>650</v>
      </c>
      <c r="H470" s="3">
        <v>450</v>
      </c>
      <c r="I470" s="12">
        <v>1</v>
      </c>
      <c r="J470" s="9" t="s">
        <v>88</v>
      </c>
      <c r="K470" s="9" t="s">
        <v>33</v>
      </c>
      <c r="L470" s="13">
        <v>1</v>
      </c>
      <c r="M470" s="9" t="s">
        <v>34</v>
      </c>
    </row>
    <row r="471" spans="1:13" ht="20.25" customHeight="1" x14ac:dyDescent="0.25">
      <c r="A471" s="9" t="s">
        <v>947</v>
      </c>
      <c r="B471" s="10">
        <v>45679</v>
      </c>
      <c r="C471" s="9" t="s">
        <v>71</v>
      </c>
      <c r="D471" s="9" t="s">
        <v>29</v>
      </c>
      <c r="E471" s="11" t="s">
        <v>43</v>
      </c>
      <c r="F471" s="11" t="s">
        <v>90</v>
      </c>
      <c r="G471" s="3">
        <v>150</v>
      </c>
      <c r="H471" s="3">
        <v>90</v>
      </c>
      <c r="I471" s="12">
        <v>1</v>
      </c>
      <c r="J471" s="9" t="s">
        <v>948</v>
      </c>
      <c r="K471" s="9" t="s">
        <v>49</v>
      </c>
      <c r="L471" s="13">
        <v>0</v>
      </c>
      <c r="M471" s="9" t="s">
        <v>34</v>
      </c>
    </row>
    <row r="472" spans="1:13" ht="20.25" customHeight="1" x14ac:dyDescent="0.25">
      <c r="A472" s="9" t="s">
        <v>949</v>
      </c>
      <c r="B472" s="10">
        <v>45679</v>
      </c>
      <c r="C472" s="9" t="s">
        <v>36</v>
      </c>
      <c r="D472" s="9" t="s">
        <v>29</v>
      </c>
      <c r="E472" s="11" t="s">
        <v>30</v>
      </c>
      <c r="F472" s="11" t="s">
        <v>31</v>
      </c>
      <c r="G472" s="3">
        <v>650</v>
      </c>
      <c r="H472" s="3">
        <v>450</v>
      </c>
      <c r="I472" s="12">
        <v>1</v>
      </c>
      <c r="J472" s="9" t="s">
        <v>950</v>
      </c>
      <c r="K472" s="9" t="s">
        <v>49</v>
      </c>
      <c r="L472" s="13">
        <v>0</v>
      </c>
      <c r="M472" s="9" t="s">
        <v>34</v>
      </c>
    </row>
    <row r="473" spans="1:13" ht="20.25" customHeight="1" x14ac:dyDescent="0.25">
      <c r="A473" s="9" t="s">
        <v>951</v>
      </c>
      <c r="B473" s="10">
        <v>45679</v>
      </c>
      <c r="C473" s="9" t="s">
        <v>41</v>
      </c>
      <c r="D473" s="9" t="s">
        <v>42</v>
      </c>
      <c r="E473" s="11" t="s">
        <v>58</v>
      </c>
      <c r="F473" s="11" t="s">
        <v>68</v>
      </c>
      <c r="G473" s="3">
        <v>350</v>
      </c>
      <c r="H473" s="3">
        <v>220</v>
      </c>
      <c r="I473" s="12">
        <v>1</v>
      </c>
      <c r="J473" s="9" t="s">
        <v>252</v>
      </c>
      <c r="K473" s="9" t="s">
        <v>49</v>
      </c>
      <c r="L473" s="13">
        <v>0</v>
      </c>
      <c r="M473" s="9" t="s">
        <v>34</v>
      </c>
    </row>
    <row r="474" spans="1:13" ht="20.25" customHeight="1" x14ac:dyDescent="0.25">
      <c r="A474" s="9" t="s">
        <v>952</v>
      </c>
      <c r="B474" s="10">
        <v>45679</v>
      </c>
      <c r="C474" s="9" t="s">
        <v>28</v>
      </c>
      <c r="D474" s="9" t="s">
        <v>29</v>
      </c>
      <c r="E474" s="11" t="s">
        <v>58</v>
      </c>
      <c r="F474" s="11" t="s">
        <v>87</v>
      </c>
      <c r="G474" s="3">
        <v>180</v>
      </c>
      <c r="H474" s="3">
        <v>110</v>
      </c>
      <c r="I474" s="12">
        <v>1</v>
      </c>
      <c r="J474" s="9" t="s">
        <v>953</v>
      </c>
      <c r="K474" s="9" t="s">
        <v>49</v>
      </c>
      <c r="L474" s="13">
        <v>0</v>
      </c>
      <c r="M474" s="9" t="s">
        <v>34</v>
      </c>
    </row>
    <row r="475" spans="1:13" ht="20.25" customHeight="1" x14ac:dyDescent="0.25">
      <c r="A475" s="9" t="s">
        <v>954</v>
      </c>
      <c r="B475" s="10">
        <v>45680</v>
      </c>
      <c r="C475" s="9" t="s">
        <v>71</v>
      </c>
      <c r="D475" s="9" t="s">
        <v>51</v>
      </c>
      <c r="E475" s="11" t="s">
        <v>37</v>
      </c>
      <c r="F475" s="11" t="s">
        <v>55</v>
      </c>
      <c r="G475" s="3">
        <v>90</v>
      </c>
      <c r="H475" s="3">
        <v>55</v>
      </c>
      <c r="I475" s="12">
        <v>1</v>
      </c>
      <c r="J475" s="9" t="s">
        <v>955</v>
      </c>
      <c r="K475" s="9" t="s">
        <v>33</v>
      </c>
      <c r="L475" s="13">
        <v>1</v>
      </c>
      <c r="M475" s="9" t="s">
        <v>34</v>
      </c>
    </row>
    <row r="476" spans="1:13" ht="20.25" customHeight="1" x14ac:dyDescent="0.25">
      <c r="A476" s="9" t="s">
        <v>956</v>
      </c>
      <c r="B476" s="10">
        <v>45680</v>
      </c>
      <c r="C476" s="9" t="s">
        <v>36</v>
      </c>
      <c r="D476" s="9" t="s">
        <v>29</v>
      </c>
      <c r="E476" s="11" t="s">
        <v>30</v>
      </c>
      <c r="F476" s="11" t="s">
        <v>31</v>
      </c>
      <c r="G476" s="3">
        <v>1300</v>
      </c>
      <c r="H476" s="3">
        <v>900</v>
      </c>
      <c r="I476" s="12">
        <v>2</v>
      </c>
      <c r="J476" s="9" t="s">
        <v>957</v>
      </c>
      <c r="K476" s="9" t="s">
        <v>33</v>
      </c>
      <c r="L476" s="13">
        <v>1</v>
      </c>
      <c r="M476" s="9" t="s">
        <v>34</v>
      </c>
    </row>
    <row r="477" spans="1:13" ht="20.25" customHeight="1" x14ac:dyDescent="0.25">
      <c r="A477" s="9" t="s">
        <v>958</v>
      </c>
      <c r="B477" s="10">
        <v>45680</v>
      </c>
      <c r="C477" s="9" t="s">
        <v>41</v>
      </c>
      <c r="D477" s="9" t="s">
        <v>42</v>
      </c>
      <c r="E477" s="11" t="s">
        <v>30</v>
      </c>
      <c r="F477" s="11" t="s">
        <v>31</v>
      </c>
      <c r="G477" s="3">
        <v>650</v>
      </c>
      <c r="H477" s="3">
        <v>450</v>
      </c>
      <c r="I477" s="12">
        <v>1</v>
      </c>
      <c r="J477" s="9" t="s">
        <v>247</v>
      </c>
      <c r="K477" s="9" t="s">
        <v>49</v>
      </c>
      <c r="L477" s="13">
        <v>0</v>
      </c>
      <c r="M477" s="9" t="s">
        <v>34</v>
      </c>
    </row>
    <row r="478" spans="1:13" ht="20.25" customHeight="1" x14ac:dyDescent="0.25">
      <c r="A478" s="9" t="s">
        <v>959</v>
      </c>
      <c r="B478" s="10">
        <v>45681</v>
      </c>
      <c r="C478" s="9" t="s">
        <v>28</v>
      </c>
      <c r="D478" s="9" t="s">
        <v>29</v>
      </c>
      <c r="E478" s="11" t="s">
        <v>43</v>
      </c>
      <c r="F478" s="11" t="s">
        <v>90</v>
      </c>
      <c r="G478" s="3">
        <v>150</v>
      </c>
      <c r="H478" s="3">
        <v>90</v>
      </c>
      <c r="I478" s="12">
        <v>1</v>
      </c>
      <c r="J478" s="9" t="s">
        <v>960</v>
      </c>
      <c r="K478" s="9" t="s">
        <v>33</v>
      </c>
      <c r="L478" s="13">
        <v>1</v>
      </c>
      <c r="M478" s="9" t="s">
        <v>34</v>
      </c>
    </row>
    <row r="479" spans="1:13" ht="20.25" customHeight="1" x14ac:dyDescent="0.25">
      <c r="A479" s="9" t="s">
        <v>961</v>
      </c>
      <c r="B479" s="10">
        <v>45681</v>
      </c>
      <c r="C479" s="9" t="s">
        <v>28</v>
      </c>
      <c r="D479" s="9" t="s">
        <v>51</v>
      </c>
      <c r="E479" s="11" t="s">
        <v>43</v>
      </c>
      <c r="F479" s="11" t="s">
        <v>44</v>
      </c>
      <c r="G479" s="3">
        <v>90</v>
      </c>
      <c r="H479" s="3">
        <v>40</v>
      </c>
      <c r="I479" s="12">
        <v>2</v>
      </c>
      <c r="J479" s="9" t="s">
        <v>962</v>
      </c>
      <c r="K479" s="9" t="s">
        <v>49</v>
      </c>
      <c r="L479" s="13">
        <v>0</v>
      </c>
      <c r="M479" s="9" t="s">
        <v>34</v>
      </c>
    </row>
    <row r="480" spans="1:13" ht="20.25" customHeight="1" x14ac:dyDescent="0.25">
      <c r="A480" s="9" t="s">
        <v>963</v>
      </c>
      <c r="B480" s="10">
        <v>45681</v>
      </c>
      <c r="C480" s="9" t="s">
        <v>62</v>
      </c>
      <c r="D480" s="9" t="s">
        <v>29</v>
      </c>
      <c r="E480" s="11" t="s">
        <v>43</v>
      </c>
      <c r="F480" s="11" t="s">
        <v>47</v>
      </c>
      <c r="G480" s="3">
        <v>440</v>
      </c>
      <c r="H480" s="3">
        <v>260</v>
      </c>
      <c r="I480" s="12">
        <v>4</v>
      </c>
      <c r="J480" s="9" t="s">
        <v>964</v>
      </c>
      <c r="K480" s="9" t="s">
        <v>33</v>
      </c>
      <c r="L480" s="13">
        <v>1</v>
      </c>
      <c r="M480" s="9" t="s">
        <v>34</v>
      </c>
    </row>
    <row r="481" spans="1:13" ht="20.25" customHeight="1" x14ac:dyDescent="0.25">
      <c r="A481" s="9" t="s">
        <v>965</v>
      </c>
      <c r="B481" s="10">
        <v>45681</v>
      </c>
      <c r="C481" s="9" t="s">
        <v>28</v>
      </c>
      <c r="D481" s="9" t="s">
        <v>51</v>
      </c>
      <c r="E481" s="11" t="s">
        <v>30</v>
      </c>
      <c r="F481" s="11" t="s">
        <v>63</v>
      </c>
      <c r="G481" s="3">
        <v>1200</v>
      </c>
      <c r="H481" s="3">
        <v>850</v>
      </c>
      <c r="I481" s="12">
        <v>1</v>
      </c>
      <c r="J481" s="9" t="s">
        <v>966</v>
      </c>
      <c r="K481" s="9" t="s">
        <v>49</v>
      </c>
      <c r="L481" s="13">
        <v>0</v>
      </c>
      <c r="M481" s="9" t="s">
        <v>34</v>
      </c>
    </row>
    <row r="482" spans="1:13" ht="20.25" customHeight="1" x14ac:dyDescent="0.25">
      <c r="A482" s="9" t="s">
        <v>967</v>
      </c>
      <c r="B482" s="10">
        <v>45682</v>
      </c>
      <c r="C482" s="9" t="s">
        <v>71</v>
      </c>
      <c r="D482" s="9" t="s">
        <v>29</v>
      </c>
      <c r="E482" s="11" t="s">
        <v>58</v>
      </c>
      <c r="F482" s="11" t="s">
        <v>59</v>
      </c>
      <c r="G482" s="3">
        <v>-150</v>
      </c>
      <c r="H482" s="3">
        <v>-90</v>
      </c>
      <c r="I482" s="12">
        <v>-1</v>
      </c>
      <c r="J482" s="9" t="s">
        <v>223</v>
      </c>
      <c r="K482" s="9" t="s">
        <v>49</v>
      </c>
      <c r="L482" s="13">
        <v>0</v>
      </c>
      <c r="M482" s="9" t="s">
        <v>76</v>
      </c>
    </row>
    <row r="483" spans="1:13" ht="20.25" customHeight="1" x14ac:dyDescent="0.25">
      <c r="A483" s="9" t="s">
        <v>968</v>
      </c>
      <c r="B483" s="10">
        <v>45682</v>
      </c>
      <c r="C483" s="9" t="s">
        <v>28</v>
      </c>
      <c r="D483" s="9" t="s">
        <v>29</v>
      </c>
      <c r="E483" s="11" t="s">
        <v>37</v>
      </c>
      <c r="F483" s="11" t="s">
        <v>72</v>
      </c>
      <c r="G483" s="3">
        <v>-220</v>
      </c>
      <c r="H483" s="3">
        <v>-130</v>
      </c>
      <c r="I483" s="12">
        <v>-1</v>
      </c>
      <c r="J483" s="9" t="s">
        <v>848</v>
      </c>
      <c r="K483" s="9" t="s">
        <v>49</v>
      </c>
      <c r="L483" s="13">
        <v>0</v>
      </c>
      <c r="M483" s="9" t="s">
        <v>76</v>
      </c>
    </row>
    <row r="484" spans="1:13" ht="20.25" customHeight="1" x14ac:dyDescent="0.25">
      <c r="A484" s="9" t="s">
        <v>969</v>
      </c>
      <c r="B484" s="10">
        <v>45682</v>
      </c>
      <c r="C484" s="9" t="s">
        <v>28</v>
      </c>
      <c r="D484" s="9" t="s">
        <v>42</v>
      </c>
      <c r="E484" s="11" t="s">
        <v>30</v>
      </c>
      <c r="F484" s="11" t="s">
        <v>80</v>
      </c>
      <c r="G484" s="3">
        <v>2550</v>
      </c>
      <c r="H484" s="3">
        <v>1800</v>
      </c>
      <c r="I484" s="12">
        <v>3</v>
      </c>
      <c r="J484" s="9" t="s">
        <v>970</v>
      </c>
      <c r="K484" s="9" t="s">
        <v>33</v>
      </c>
      <c r="L484" s="13">
        <v>1</v>
      </c>
      <c r="M484" s="9" t="s">
        <v>34</v>
      </c>
    </row>
    <row r="485" spans="1:13" ht="20.25" customHeight="1" x14ac:dyDescent="0.25">
      <c r="A485" s="9" t="s">
        <v>971</v>
      </c>
      <c r="B485" s="10">
        <v>45683</v>
      </c>
      <c r="C485" s="9" t="s">
        <v>28</v>
      </c>
      <c r="D485" s="9" t="s">
        <v>42</v>
      </c>
      <c r="E485" s="11" t="s">
        <v>43</v>
      </c>
      <c r="F485" s="11" t="s">
        <v>44</v>
      </c>
      <c r="G485" s="3">
        <v>90</v>
      </c>
      <c r="H485" s="3">
        <v>40</v>
      </c>
      <c r="I485" s="12">
        <v>2</v>
      </c>
      <c r="J485" s="9" t="s">
        <v>972</v>
      </c>
      <c r="K485" s="9" t="s">
        <v>49</v>
      </c>
      <c r="L485" s="13">
        <v>0</v>
      </c>
      <c r="M485" s="9" t="s">
        <v>34</v>
      </c>
    </row>
    <row r="486" spans="1:13" ht="20.25" customHeight="1" x14ac:dyDescent="0.25">
      <c r="A486" s="9" t="s">
        <v>973</v>
      </c>
      <c r="B486" s="10">
        <v>45683</v>
      </c>
      <c r="C486" s="9" t="s">
        <v>28</v>
      </c>
      <c r="D486" s="9" t="s">
        <v>42</v>
      </c>
      <c r="E486" s="11" t="s">
        <v>37</v>
      </c>
      <c r="F486" s="11" t="s">
        <v>38</v>
      </c>
      <c r="G486" s="3">
        <v>240</v>
      </c>
      <c r="H486" s="3">
        <v>140</v>
      </c>
      <c r="I486" s="12">
        <v>2</v>
      </c>
      <c r="J486" s="9" t="s">
        <v>974</v>
      </c>
      <c r="K486" s="9" t="s">
        <v>33</v>
      </c>
      <c r="L486" s="13">
        <v>1</v>
      </c>
      <c r="M486" s="9" t="s">
        <v>34</v>
      </c>
    </row>
    <row r="487" spans="1:13" ht="20.25" customHeight="1" x14ac:dyDescent="0.25">
      <c r="A487" s="9" t="s">
        <v>975</v>
      </c>
      <c r="B487" s="10">
        <v>45683</v>
      </c>
      <c r="C487" s="9" t="s">
        <v>54</v>
      </c>
      <c r="D487" s="9" t="s">
        <v>51</v>
      </c>
      <c r="E487" s="11" t="s">
        <v>30</v>
      </c>
      <c r="F487" s="11" t="s">
        <v>31</v>
      </c>
      <c r="G487" s="3">
        <v>650</v>
      </c>
      <c r="H487" s="3">
        <v>450</v>
      </c>
      <c r="I487" s="12">
        <v>1</v>
      </c>
      <c r="J487" s="9" t="s">
        <v>694</v>
      </c>
      <c r="K487" s="9" t="s">
        <v>33</v>
      </c>
      <c r="L487" s="13">
        <v>1</v>
      </c>
      <c r="M487" s="9" t="s">
        <v>34</v>
      </c>
    </row>
    <row r="488" spans="1:13" ht="20.25" customHeight="1" x14ac:dyDescent="0.25">
      <c r="A488" s="9" t="s">
        <v>976</v>
      </c>
      <c r="B488" s="10">
        <v>45684</v>
      </c>
      <c r="C488" s="9" t="s">
        <v>28</v>
      </c>
      <c r="D488" s="9" t="s">
        <v>42</v>
      </c>
      <c r="E488" s="11" t="s">
        <v>43</v>
      </c>
      <c r="F488" s="11" t="s">
        <v>90</v>
      </c>
      <c r="G488" s="3">
        <v>150</v>
      </c>
      <c r="H488" s="3">
        <v>90</v>
      </c>
      <c r="I488" s="12">
        <v>1</v>
      </c>
      <c r="J488" s="9" t="s">
        <v>977</v>
      </c>
      <c r="K488" s="9" t="s">
        <v>49</v>
      </c>
      <c r="L488" s="13">
        <v>0</v>
      </c>
      <c r="M488" s="9" t="s">
        <v>34</v>
      </c>
    </row>
    <row r="489" spans="1:13" ht="20.25" customHeight="1" x14ac:dyDescent="0.25">
      <c r="A489" s="9" t="s">
        <v>978</v>
      </c>
      <c r="B489" s="10">
        <v>45684</v>
      </c>
      <c r="C489" s="9" t="s">
        <v>62</v>
      </c>
      <c r="D489" s="9" t="s">
        <v>29</v>
      </c>
      <c r="E489" s="11" t="s">
        <v>43</v>
      </c>
      <c r="F489" s="11" t="s">
        <v>90</v>
      </c>
      <c r="G489" s="3">
        <v>150</v>
      </c>
      <c r="H489" s="3">
        <v>90</v>
      </c>
      <c r="I489" s="12">
        <v>1</v>
      </c>
      <c r="J489" s="9" t="s">
        <v>779</v>
      </c>
      <c r="K489" s="9" t="s">
        <v>49</v>
      </c>
      <c r="L489" s="13">
        <v>0</v>
      </c>
      <c r="M489" s="9" t="s">
        <v>34</v>
      </c>
    </row>
    <row r="490" spans="1:13" ht="20.25" customHeight="1" x14ac:dyDescent="0.25">
      <c r="A490" s="9" t="s">
        <v>979</v>
      </c>
      <c r="B490" s="10">
        <v>45685</v>
      </c>
      <c r="C490" s="9" t="s">
        <v>71</v>
      </c>
      <c r="D490" s="9" t="s">
        <v>29</v>
      </c>
      <c r="E490" s="11" t="s">
        <v>30</v>
      </c>
      <c r="F490" s="11" t="s">
        <v>31</v>
      </c>
      <c r="G490" s="3">
        <v>1300</v>
      </c>
      <c r="H490" s="3">
        <v>900</v>
      </c>
      <c r="I490" s="12">
        <v>2</v>
      </c>
      <c r="J490" s="9" t="s">
        <v>980</v>
      </c>
      <c r="K490" s="9" t="s">
        <v>49</v>
      </c>
      <c r="L490" s="13">
        <v>0</v>
      </c>
      <c r="M490" s="9" t="s">
        <v>34</v>
      </c>
    </row>
    <row r="491" spans="1:13" ht="20.25" customHeight="1" x14ac:dyDescent="0.25">
      <c r="A491" s="9" t="s">
        <v>981</v>
      </c>
      <c r="B491" s="10">
        <v>45685</v>
      </c>
      <c r="C491" s="9" t="s">
        <v>36</v>
      </c>
      <c r="D491" s="9" t="s">
        <v>29</v>
      </c>
      <c r="E491" s="11" t="s">
        <v>58</v>
      </c>
      <c r="F491" s="11" t="s">
        <v>68</v>
      </c>
      <c r="G491" s="3">
        <v>700</v>
      </c>
      <c r="H491" s="3">
        <v>440</v>
      </c>
      <c r="I491" s="12">
        <v>2</v>
      </c>
      <c r="J491" s="9" t="s">
        <v>125</v>
      </c>
      <c r="K491" s="9" t="s">
        <v>33</v>
      </c>
      <c r="L491" s="13">
        <v>1</v>
      </c>
      <c r="M491" s="9" t="s">
        <v>34</v>
      </c>
    </row>
    <row r="492" spans="1:13" ht="20.25" customHeight="1" x14ac:dyDescent="0.25">
      <c r="A492" s="9" t="s">
        <v>982</v>
      </c>
      <c r="B492" s="10">
        <v>45685</v>
      </c>
      <c r="C492" s="9" t="s">
        <v>71</v>
      </c>
      <c r="D492" s="9" t="s">
        <v>51</v>
      </c>
      <c r="E492" s="11" t="s">
        <v>58</v>
      </c>
      <c r="F492" s="11" t="s">
        <v>68</v>
      </c>
      <c r="G492" s="3">
        <v>1400</v>
      </c>
      <c r="H492" s="3">
        <v>880</v>
      </c>
      <c r="I492" s="12">
        <v>4</v>
      </c>
      <c r="J492" s="9" t="s">
        <v>433</v>
      </c>
      <c r="K492" s="9" t="s">
        <v>49</v>
      </c>
      <c r="L492" s="13">
        <v>0</v>
      </c>
      <c r="M492" s="9" t="s">
        <v>34</v>
      </c>
    </row>
    <row r="493" spans="1:13" ht="20.25" customHeight="1" x14ac:dyDescent="0.25">
      <c r="A493" s="9" t="s">
        <v>983</v>
      </c>
      <c r="B493" s="10">
        <v>45686</v>
      </c>
      <c r="C493" s="9" t="s">
        <v>71</v>
      </c>
      <c r="D493" s="9" t="s">
        <v>29</v>
      </c>
      <c r="E493" s="11" t="s">
        <v>58</v>
      </c>
      <c r="F493" s="11" t="s">
        <v>59</v>
      </c>
      <c r="G493" s="3">
        <v>150</v>
      </c>
      <c r="H493" s="3">
        <v>90</v>
      </c>
      <c r="I493" s="12">
        <v>1</v>
      </c>
      <c r="J493" s="9" t="s">
        <v>984</v>
      </c>
      <c r="K493" s="9" t="s">
        <v>49</v>
      </c>
      <c r="L493" s="13">
        <v>0</v>
      </c>
      <c r="M493" s="9" t="s">
        <v>34</v>
      </c>
    </row>
    <row r="494" spans="1:13" ht="20.25" customHeight="1" x14ac:dyDescent="0.25">
      <c r="A494" s="9" t="s">
        <v>985</v>
      </c>
      <c r="B494" s="10">
        <v>45686</v>
      </c>
      <c r="C494" s="9" t="s">
        <v>41</v>
      </c>
      <c r="D494" s="9" t="s">
        <v>29</v>
      </c>
      <c r="E494" s="11" t="s">
        <v>30</v>
      </c>
      <c r="F494" s="11" t="s">
        <v>63</v>
      </c>
      <c r="G494" s="3">
        <v>1200</v>
      </c>
      <c r="H494" s="3">
        <v>850</v>
      </c>
      <c r="I494" s="12">
        <v>1</v>
      </c>
      <c r="J494" s="9" t="s">
        <v>986</v>
      </c>
      <c r="K494" s="9" t="s">
        <v>33</v>
      </c>
      <c r="L494" s="13">
        <v>1</v>
      </c>
      <c r="M494" s="9" t="s">
        <v>34</v>
      </c>
    </row>
    <row r="495" spans="1:13" ht="20.25" customHeight="1" x14ac:dyDescent="0.25">
      <c r="A495" s="9" t="s">
        <v>987</v>
      </c>
      <c r="B495" s="10">
        <v>45687</v>
      </c>
      <c r="C495" s="9" t="s">
        <v>28</v>
      </c>
      <c r="D495" s="9" t="s">
        <v>51</v>
      </c>
      <c r="E495" s="11" t="s">
        <v>37</v>
      </c>
      <c r="F495" s="11" t="s">
        <v>38</v>
      </c>
      <c r="G495" s="3">
        <v>120</v>
      </c>
      <c r="H495" s="3">
        <v>70</v>
      </c>
      <c r="I495" s="12">
        <v>1</v>
      </c>
      <c r="J495" s="9" t="s">
        <v>988</v>
      </c>
      <c r="K495" s="9" t="s">
        <v>33</v>
      </c>
      <c r="L495" s="13">
        <v>1</v>
      </c>
      <c r="M495" s="9" t="s">
        <v>34</v>
      </c>
    </row>
    <row r="496" spans="1:13" ht="20.25" customHeight="1" x14ac:dyDescent="0.25">
      <c r="A496" s="9" t="s">
        <v>989</v>
      </c>
      <c r="B496" s="10">
        <v>45689</v>
      </c>
      <c r="C496" s="9" t="s">
        <v>36</v>
      </c>
      <c r="D496" s="9" t="s">
        <v>42</v>
      </c>
      <c r="E496" s="11" t="s">
        <v>43</v>
      </c>
      <c r="F496" s="11" t="s">
        <v>44</v>
      </c>
      <c r="G496" s="3">
        <v>90</v>
      </c>
      <c r="H496" s="3">
        <v>40</v>
      </c>
      <c r="I496" s="12">
        <v>2</v>
      </c>
      <c r="J496" s="9" t="s">
        <v>990</v>
      </c>
      <c r="K496" s="9" t="s">
        <v>49</v>
      </c>
      <c r="L496" s="13">
        <v>0</v>
      </c>
      <c r="M496" s="9" t="s">
        <v>34</v>
      </c>
    </row>
    <row r="497" spans="1:13" ht="20.25" customHeight="1" x14ac:dyDescent="0.25">
      <c r="A497" s="9" t="s">
        <v>991</v>
      </c>
      <c r="B497" s="10">
        <v>45689</v>
      </c>
      <c r="C497" s="9" t="s">
        <v>54</v>
      </c>
      <c r="D497" s="9" t="s">
        <v>29</v>
      </c>
      <c r="E497" s="11" t="s">
        <v>58</v>
      </c>
      <c r="F497" s="11" t="s">
        <v>59</v>
      </c>
      <c r="G497" s="3">
        <v>300</v>
      </c>
      <c r="H497" s="3">
        <v>180</v>
      </c>
      <c r="I497" s="12">
        <v>2</v>
      </c>
      <c r="J497" s="9" t="s">
        <v>992</v>
      </c>
      <c r="K497" s="9" t="s">
        <v>49</v>
      </c>
      <c r="L497" s="13">
        <v>0</v>
      </c>
      <c r="M497" s="9" t="s">
        <v>34</v>
      </c>
    </row>
    <row r="498" spans="1:13" ht="20.25" customHeight="1" x14ac:dyDescent="0.25">
      <c r="A498" s="9" t="s">
        <v>993</v>
      </c>
      <c r="B498" s="10">
        <v>45690</v>
      </c>
      <c r="C498" s="9" t="s">
        <v>62</v>
      </c>
      <c r="D498" s="9" t="s">
        <v>29</v>
      </c>
      <c r="E498" s="11" t="s">
        <v>30</v>
      </c>
      <c r="F498" s="11" t="s">
        <v>80</v>
      </c>
      <c r="G498" s="3">
        <v>850</v>
      </c>
      <c r="H498" s="3">
        <v>600</v>
      </c>
      <c r="I498" s="12">
        <v>1</v>
      </c>
      <c r="J498" s="9" t="s">
        <v>994</v>
      </c>
      <c r="K498" s="9" t="s">
        <v>49</v>
      </c>
      <c r="L498" s="13">
        <v>0</v>
      </c>
      <c r="M498" s="9" t="s">
        <v>34</v>
      </c>
    </row>
    <row r="499" spans="1:13" ht="20.25" customHeight="1" x14ac:dyDescent="0.25">
      <c r="A499" s="9" t="s">
        <v>995</v>
      </c>
      <c r="B499" s="10">
        <v>45690</v>
      </c>
      <c r="C499" s="9" t="s">
        <v>54</v>
      </c>
      <c r="D499" s="9" t="s">
        <v>29</v>
      </c>
      <c r="E499" s="11" t="s">
        <v>37</v>
      </c>
      <c r="F499" s="11" t="s">
        <v>38</v>
      </c>
      <c r="G499" s="3">
        <v>120</v>
      </c>
      <c r="H499" s="3">
        <v>70</v>
      </c>
      <c r="I499" s="12">
        <v>1</v>
      </c>
      <c r="J499" s="9" t="s">
        <v>996</v>
      </c>
      <c r="K499" s="9" t="s">
        <v>33</v>
      </c>
      <c r="L499" s="13">
        <v>1</v>
      </c>
      <c r="M499" s="9" t="s">
        <v>34</v>
      </c>
    </row>
    <row r="500" spans="1:13" ht="20.25" customHeight="1" x14ac:dyDescent="0.25">
      <c r="A500" s="9" t="s">
        <v>997</v>
      </c>
      <c r="B500" s="10">
        <v>45690</v>
      </c>
      <c r="C500" s="9" t="s">
        <v>36</v>
      </c>
      <c r="D500" s="9" t="s">
        <v>29</v>
      </c>
      <c r="E500" s="11" t="s">
        <v>58</v>
      </c>
      <c r="F500" s="11" t="s">
        <v>87</v>
      </c>
      <c r="G500" s="3">
        <v>180</v>
      </c>
      <c r="H500" s="3">
        <v>110</v>
      </c>
      <c r="I500" s="12">
        <v>1</v>
      </c>
      <c r="J500" s="9" t="s">
        <v>998</v>
      </c>
      <c r="K500" s="9" t="s">
        <v>49</v>
      </c>
      <c r="L500" s="13">
        <v>0</v>
      </c>
      <c r="M500" s="9" t="s">
        <v>34</v>
      </c>
    </row>
    <row r="501" spans="1:13" ht="20.25" customHeight="1" x14ac:dyDescent="0.25">
      <c r="A501" s="9" t="s">
        <v>999</v>
      </c>
      <c r="B501" s="10">
        <v>45690</v>
      </c>
      <c r="C501" s="9" t="s">
        <v>41</v>
      </c>
      <c r="D501" s="9" t="s">
        <v>29</v>
      </c>
      <c r="E501" s="11" t="s">
        <v>43</v>
      </c>
      <c r="F501" s="11" t="s">
        <v>44</v>
      </c>
      <c r="G501" s="3">
        <v>-45</v>
      </c>
      <c r="H501" s="3">
        <v>-20</v>
      </c>
      <c r="I501" s="12">
        <v>-1</v>
      </c>
      <c r="J501" s="9" t="s">
        <v>1000</v>
      </c>
      <c r="K501" s="9" t="s">
        <v>49</v>
      </c>
      <c r="L501" s="13">
        <v>0</v>
      </c>
      <c r="M501" s="9" t="s">
        <v>76</v>
      </c>
    </row>
    <row r="502" spans="1:13" ht="20.25" customHeight="1" x14ac:dyDescent="0.25">
      <c r="A502" s="9" t="s">
        <v>1001</v>
      </c>
      <c r="B502" s="10">
        <v>45690</v>
      </c>
      <c r="C502" s="9" t="s">
        <v>36</v>
      </c>
      <c r="D502" s="9" t="s">
        <v>51</v>
      </c>
      <c r="E502" s="11" t="s">
        <v>58</v>
      </c>
      <c r="F502" s="11" t="s">
        <v>68</v>
      </c>
      <c r="G502" s="3">
        <v>1050</v>
      </c>
      <c r="H502" s="3">
        <v>660</v>
      </c>
      <c r="I502" s="12">
        <v>3</v>
      </c>
      <c r="J502" s="9" t="s">
        <v>155</v>
      </c>
      <c r="K502" s="9" t="s">
        <v>49</v>
      </c>
      <c r="L502" s="13">
        <v>0</v>
      </c>
      <c r="M502" s="9" t="s">
        <v>34</v>
      </c>
    </row>
    <row r="503" spans="1:13" ht="20.25" customHeight="1" x14ac:dyDescent="0.25">
      <c r="A503" s="9" t="s">
        <v>1002</v>
      </c>
      <c r="B503" s="10">
        <v>45691</v>
      </c>
      <c r="C503" s="9" t="s">
        <v>36</v>
      </c>
      <c r="D503" s="9" t="s">
        <v>51</v>
      </c>
      <c r="E503" s="11" t="s">
        <v>30</v>
      </c>
      <c r="F503" s="11" t="s">
        <v>63</v>
      </c>
      <c r="G503" s="3">
        <v>1200</v>
      </c>
      <c r="H503" s="3">
        <v>850</v>
      </c>
      <c r="I503" s="12">
        <v>1</v>
      </c>
      <c r="J503" s="9" t="s">
        <v>1003</v>
      </c>
      <c r="K503" s="9" t="s">
        <v>49</v>
      </c>
      <c r="L503" s="13">
        <v>0</v>
      </c>
      <c r="M503" s="9" t="s">
        <v>34</v>
      </c>
    </row>
    <row r="504" spans="1:13" ht="20.25" customHeight="1" x14ac:dyDescent="0.25">
      <c r="A504" s="9" t="s">
        <v>1004</v>
      </c>
      <c r="B504" s="10">
        <v>45691</v>
      </c>
      <c r="C504" s="9" t="s">
        <v>28</v>
      </c>
      <c r="D504" s="9" t="s">
        <v>51</v>
      </c>
      <c r="E504" s="11" t="s">
        <v>30</v>
      </c>
      <c r="F504" s="11" t="s">
        <v>31</v>
      </c>
      <c r="G504" s="3">
        <v>1300</v>
      </c>
      <c r="H504" s="3">
        <v>900</v>
      </c>
      <c r="I504" s="12">
        <v>2</v>
      </c>
      <c r="J504" s="9" t="s">
        <v>1005</v>
      </c>
      <c r="K504" s="9" t="s">
        <v>49</v>
      </c>
      <c r="L504" s="13">
        <v>0</v>
      </c>
      <c r="M504" s="9" t="s">
        <v>34</v>
      </c>
    </row>
    <row r="505" spans="1:13" ht="20.25" customHeight="1" x14ac:dyDescent="0.25">
      <c r="A505" s="9" t="s">
        <v>1006</v>
      </c>
      <c r="B505" s="10">
        <v>45691</v>
      </c>
      <c r="C505" s="9" t="s">
        <v>71</v>
      </c>
      <c r="D505" s="9" t="s">
        <v>29</v>
      </c>
      <c r="E505" s="11" t="s">
        <v>43</v>
      </c>
      <c r="F505" s="11" t="s">
        <v>47</v>
      </c>
      <c r="G505" s="3">
        <v>-110</v>
      </c>
      <c r="H505" s="3">
        <v>-65</v>
      </c>
      <c r="I505" s="12">
        <v>-1</v>
      </c>
      <c r="J505" s="9" t="s">
        <v>1007</v>
      </c>
      <c r="K505" s="9" t="s">
        <v>49</v>
      </c>
      <c r="L505" s="13">
        <v>0</v>
      </c>
      <c r="M505" s="9" t="s">
        <v>76</v>
      </c>
    </row>
    <row r="506" spans="1:13" ht="20.25" customHeight="1" x14ac:dyDescent="0.25">
      <c r="A506" s="9" t="s">
        <v>1008</v>
      </c>
      <c r="B506" s="10">
        <v>45691</v>
      </c>
      <c r="C506" s="9" t="s">
        <v>28</v>
      </c>
      <c r="D506" s="9" t="s">
        <v>42</v>
      </c>
      <c r="E506" s="11" t="s">
        <v>30</v>
      </c>
      <c r="F506" s="11" t="s">
        <v>63</v>
      </c>
      <c r="G506" s="3">
        <v>2400</v>
      </c>
      <c r="H506" s="3">
        <v>1700</v>
      </c>
      <c r="I506" s="12">
        <v>2</v>
      </c>
      <c r="J506" s="9" t="s">
        <v>1009</v>
      </c>
      <c r="K506" s="9" t="s">
        <v>33</v>
      </c>
      <c r="L506" s="13">
        <v>1</v>
      </c>
      <c r="M506" s="9" t="s">
        <v>34</v>
      </c>
    </row>
    <row r="507" spans="1:13" ht="20.25" customHeight="1" x14ac:dyDescent="0.25">
      <c r="A507" s="9" t="s">
        <v>1010</v>
      </c>
      <c r="B507" s="10">
        <v>45691</v>
      </c>
      <c r="C507" s="9" t="s">
        <v>36</v>
      </c>
      <c r="D507" s="9" t="s">
        <v>29</v>
      </c>
      <c r="E507" s="11" t="s">
        <v>43</v>
      </c>
      <c r="F507" s="11" t="s">
        <v>90</v>
      </c>
      <c r="G507" s="3">
        <v>150</v>
      </c>
      <c r="H507" s="3">
        <v>90</v>
      </c>
      <c r="I507" s="12">
        <v>1</v>
      </c>
      <c r="J507" s="9" t="s">
        <v>1011</v>
      </c>
      <c r="K507" s="9" t="s">
        <v>33</v>
      </c>
      <c r="L507" s="13">
        <v>1</v>
      </c>
      <c r="M507" s="9" t="s">
        <v>34</v>
      </c>
    </row>
    <row r="508" spans="1:13" ht="20.25" customHeight="1" x14ac:dyDescent="0.25">
      <c r="A508" s="9" t="s">
        <v>1012</v>
      </c>
      <c r="B508" s="10">
        <v>45691</v>
      </c>
      <c r="C508" s="9" t="s">
        <v>54</v>
      </c>
      <c r="D508" s="9" t="s">
        <v>29</v>
      </c>
      <c r="E508" s="11" t="s">
        <v>30</v>
      </c>
      <c r="F508" s="11" t="s">
        <v>80</v>
      </c>
      <c r="G508" s="3">
        <v>1700</v>
      </c>
      <c r="H508" s="3">
        <v>1200</v>
      </c>
      <c r="I508" s="12">
        <v>2</v>
      </c>
      <c r="J508" s="9" t="s">
        <v>1013</v>
      </c>
      <c r="K508" s="9" t="s">
        <v>49</v>
      </c>
      <c r="L508" s="13">
        <v>0</v>
      </c>
      <c r="M508" s="9" t="s">
        <v>34</v>
      </c>
    </row>
    <row r="509" spans="1:13" ht="20.25" customHeight="1" x14ac:dyDescent="0.25">
      <c r="A509" s="9" t="s">
        <v>1014</v>
      </c>
      <c r="B509" s="10">
        <v>45692</v>
      </c>
      <c r="C509" s="9" t="s">
        <v>28</v>
      </c>
      <c r="D509" s="9" t="s">
        <v>42</v>
      </c>
      <c r="E509" s="11" t="s">
        <v>58</v>
      </c>
      <c r="F509" s="11" t="s">
        <v>68</v>
      </c>
      <c r="G509" s="3">
        <v>-350</v>
      </c>
      <c r="H509" s="3">
        <v>-220</v>
      </c>
      <c r="I509" s="12">
        <v>-1</v>
      </c>
      <c r="J509" s="9" t="s">
        <v>1015</v>
      </c>
      <c r="K509" s="9" t="s">
        <v>49</v>
      </c>
      <c r="L509" s="13">
        <v>0</v>
      </c>
      <c r="M509" s="9" t="s">
        <v>76</v>
      </c>
    </row>
    <row r="510" spans="1:13" ht="20.25" customHeight="1" x14ac:dyDescent="0.25">
      <c r="A510" s="9" t="s">
        <v>1016</v>
      </c>
      <c r="B510" s="10">
        <v>45692</v>
      </c>
      <c r="C510" s="9" t="s">
        <v>28</v>
      </c>
      <c r="D510" s="9" t="s">
        <v>29</v>
      </c>
      <c r="E510" s="11" t="s">
        <v>58</v>
      </c>
      <c r="F510" s="11" t="s">
        <v>68</v>
      </c>
      <c r="G510" s="3">
        <v>350</v>
      </c>
      <c r="H510" s="3">
        <v>220</v>
      </c>
      <c r="I510" s="12">
        <v>1</v>
      </c>
      <c r="J510" s="9" t="s">
        <v>926</v>
      </c>
      <c r="K510" s="9" t="s">
        <v>33</v>
      </c>
      <c r="L510" s="13">
        <v>1</v>
      </c>
      <c r="M510" s="9" t="s">
        <v>34</v>
      </c>
    </row>
    <row r="511" spans="1:13" ht="20.25" customHeight="1" x14ac:dyDescent="0.25">
      <c r="A511" s="9" t="s">
        <v>1017</v>
      </c>
      <c r="B511" s="10">
        <v>45692</v>
      </c>
      <c r="C511" s="9" t="s">
        <v>28</v>
      </c>
      <c r="D511" s="9" t="s">
        <v>29</v>
      </c>
      <c r="E511" s="11" t="s">
        <v>43</v>
      </c>
      <c r="F511" s="11" t="s">
        <v>90</v>
      </c>
      <c r="G511" s="3">
        <v>150</v>
      </c>
      <c r="H511" s="3">
        <v>90</v>
      </c>
      <c r="I511" s="12">
        <v>1</v>
      </c>
      <c r="J511" s="9" t="s">
        <v>1018</v>
      </c>
      <c r="K511" s="9" t="s">
        <v>49</v>
      </c>
      <c r="L511" s="13">
        <v>0</v>
      </c>
      <c r="M511" s="9" t="s">
        <v>34</v>
      </c>
    </row>
    <row r="512" spans="1:13" ht="20.25" customHeight="1" x14ac:dyDescent="0.25">
      <c r="A512" s="9" t="s">
        <v>1019</v>
      </c>
      <c r="B512" s="10">
        <v>45692</v>
      </c>
      <c r="C512" s="9" t="s">
        <v>62</v>
      </c>
      <c r="D512" s="9" t="s">
        <v>42</v>
      </c>
      <c r="E512" s="11" t="s">
        <v>43</v>
      </c>
      <c r="F512" s="11" t="s">
        <v>90</v>
      </c>
      <c r="G512" s="3">
        <v>150</v>
      </c>
      <c r="H512" s="3">
        <v>90</v>
      </c>
      <c r="I512" s="12">
        <v>1</v>
      </c>
      <c r="J512" s="9" t="s">
        <v>1020</v>
      </c>
      <c r="K512" s="9" t="s">
        <v>49</v>
      </c>
      <c r="L512" s="13">
        <v>0</v>
      </c>
      <c r="M512" s="9" t="s">
        <v>34</v>
      </c>
    </row>
    <row r="513" spans="1:13" ht="20.25" customHeight="1" x14ac:dyDescent="0.25">
      <c r="A513" s="9" t="s">
        <v>1021</v>
      </c>
      <c r="B513" s="10">
        <v>45692</v>
      </c>
      <c r="C513" s="9" t="s">
        <v>71</v>
      </c>
      <c r="D513" s="9" t="s">
        <v>29</v>
      </c>
      <c r="E513" s="11" t="s">
        <v>30</v>
      </c>
      <c r="F513" s="11" t="s">
        <v>31</v>
      </c>
      <c r="G513" s="3">
        <v>650</v>
      </c>
      <c r="H513" s="3">
        <v>450</v>
      </c>
      <c r="I513" s="12">
        <v>1</v>
      </c>
      <c r="J513" s="9" t="s">
        <v>1022</v>
      </c>
      <c r="K513" s="9" t="s">
        <v>49</v>
      </c>
      <c r="L513" s="13">
        <v>0</v>
      </c>
      <c r="M513" s="9" t="s">
        <v>34</v>
      </c>
    </row>
    <row r="514" spans="1:13" ht="20.25" customHeight="1" x14ac:dyDescent="0.25">
      <c r="A514" s="9" t="s">
        <v>1023</v>
      </c>
      <c r="B514" s="10">
        <v>45693</v>
      </c>
      <c r="C514" s="9" t="s">
        <v>36</v>
      </c>
      <c r="D514" s="9" t="s">
        <v>51</v>
      </c>
      <c r="E514" s="11" t="s">
        <v>58</v>
      </c>
      <c r="F514" s="11" t="s">
        <v>59</v>
      </c>
      <c r="G514" s="3">
        <v>150</v>
      </c>
      <c r="H514" s="3">
        <v>90</v>
      </c>
      <c r="I514" s="12">
        <v>1</v>
      </c>
      <c r="J514" s="9" t="s">
        <v>1024</v>
      </c>
      <c r="K514" s="9" t="s">
        <v>49</v>
      </c>
      <c r="L514" s="13">
        <v>0</v>
      </c>
      <c r="M514" s="9" t="s">
        <v>34</v>
      </c>
    </row>
    <row r="515" spans="1:13" ht="20.25" customHeight="1" x14ac:dyDescent="0.25">
      <c r="A515" s="9" t="s">
        <v>1025</v>
      </c>
      <c r="B515" s="10">
        <v>45693</v>
      </c>
      <c r="C515" s="9" t="s">
        <v>54</v>
      </c>
      <c r="D515" s="9" t="s">
        <v>29</v>
      </c>
      <c r="E515" s="11" t="s">
        <v>30</v>
      </c>
      <c r="F515" s="11" t="s">
        <v>80</v>
      </c>
      <c r="G515" s="3">
        <v>3400</v>
      </c>
      <c r="H515" s="3">
        <v>2400</v>
      </c>
      <c r="I515" s="12">
        <v>4</v>
      </c>
      <c r="J515" s="9" t="s">
        <v>1026</v>
      </c>
      <c r="K515" s="9" t="s">
        <v>49</v>
      </c>
      <c r="L515" s="13">
        <v>0</v>
      </c>
      <c r="M515" s="9" t="s">
        <v>34</v>
      </c>
    </row>
    <row r="516" spans="1:13" ht="20.25" customHeight="1" x14ac:dyDescent="0.25">
      <c r="A516" s="9" t="s">
        <v>1027</v>
      </c>
      <c r="B516" s="10">
        <v>45693</v>
      </c>
      <c r="C516" s="9" t="s">
        <v>54</v>
      </c>
      <c r="D516" s="9" t="s">
        <v>51</v>
      </c>
      <c r="E516" s="11" t="s">
        <v>58</v>
      </c>
      <c r="F516" s="11" t="s">
        <v>87</v>
      </c>
      <c r="G516" s="3">
        <v>180</v>
      </c>
      <c r="H516" s="3">
        <v>110</v>
      </c>
      <c r="I516" s="12">
        <v>1</v>
      </c>
      <c r="J516" s="9" t="s">
        <v>1028</v>
      </c>
      <c r="K516" s="9" t="s">
        <v>49</v>
      </c>
      <c r="L516" s="13">
        <v>0</v>
      </c>
      <c r="M516" s="9" t="s">
        <v>34</v>
      </c>
    </row>
    <row r="517" spans="1:13" ht="20.25" customHeight="1" x14ac:dyDescent="0.25">
      <c r="A517" s="9" t="s">
        <v>1029</v>
      </c>
      <c r="B517" s="10">
        <v>45694</v>
      </c>
      <c r="C517" s="9" t="s">
        <v>36</v>
      </c>
      <c r="D517" s="9" t="s">
        <v>29</v>
      </c>
      <c r="E517" s="11" t="s">
        <v>58</v>
      </c>
      <c r="F517" s="11" t="s">
        <v>59</v>
      </c>
      <c r="G517" s="3">
        <v>300</v>
      </c>
      <c r="H517" s="3">
        <v>180</v>
      </c>
      <c r="I517" s="12">
        <v>2</v>
      </c>
      <c r="J517" s="9" t="s">
        <v>1030</v>
      </c>
      <c r="K517" s="9" t="s">
        <v>49</v>
      </c>
      <c r="L517" s="13">
        <v>0</v>
      </c>
      <c r="M517" s="9" t="s">
        <v>34</v>
      </c>
    </row>
    <row r="518" spans="1:13" ht="20.25" customHeight="1" x14ac:dyDescent="0.25">
      <c r="A518" s="9" t="s">
        <v>1031</v>
      </c>
      <c r="B518" s="10">
        <v>45694</v>
      </c>
      <c r="C518" s="9" t="s">
        <v>41</v>
      </c>
      <c r="D518" s="9" t="s">
        <v>29</v>
      </c>
      <c r="E518" s="11" t="s">
        <v>43</v>
      </c>
      <c r="F518" s="11" t="s">
        <v>90</v>
      </c>
      <c r="G518" s="3">
        <v>750</v>
      </c>
      <c r="H518" s="3">
        <v>450</v>
      </c>
      <c r="I518" s="12">
        <v>5</v>
      </c>
      <c r="J518" s="9" t="s">
        <v>477</v>
      </c>
      <c r="K518" s="9" t="s">
        <v>33</v>
      </c>
      <c r="L518" s="13">
        <v>1</v>
      </c>
      <c r="M518" s="9" t="s">
        <v>34</v>
      </c>
    </row>
    <row r="519" spans="1:13" ht="20.25" customHeight="1" x14ac:dyDescent="0.25">
      <c r="A519" s="9" t="s">
        <v>1032</v>
      </c>
      <c r="B519" s="10">
        <v>45694</v>
      </c>
      <c r="C519" s="9" t="s">
        <v>41</v>
      </c>
      <c r="D519" s="9" t="s">
        <v>51</v>
      </c>
      <c r="E519" s="11" t="s">
        <v>43</v>
      </c>
      <c r="F519" s="11" t="s">
        <v>90</v>
      </c>
      <c r="G519" s="3">
        <v>-150</v>
      </c>
      <c r="H519" s="3">
        <v>-90</v>
      </c>
      <c r="I519" s="12">
        <v>-1</v>
      </c>
      <c r="J519" s="9" t="s">
        <v>701</v>
      </c>
      <c r="K519" s="9" t="s">
        <v>49</v>
      </c>
      <c r="L519" s="13">
        <v>0</v>
      </c>
      <c r="M519" s="9" t="s">
        <v>76</v>
      </c>
    </row>
    <row r="520" spans="1:13" ht="20.25" customHeight="1" x14ac:dyDescent="0.25">
      <c r="A520" s="9" t="s">
        <v>1033</v>
      </c>
      <c r="B520" s="10">
        <v>45694</v>
      </c>
      <c r="C520" s="9" t="s">
        <v>41</v>
      </c>
      <c r="D520" s="9" t="s">
        <v>29</v>
      </c>
      <c r="E520" s="11" t="s">
        <v>58</v>
      </c>
      <c r="F520" s="11" t="s">
        <v>87</v>
      </c>
      <c r="G520" s="3">
        <v>360</v>
      </c>
      <c r="H520" s="3">
        <v>220</v>
      </c>
      <c r="I520" s="12">
        <v>2</v>
      </c>
      <c r="J520" s="9" t="s">
        <v>1034</v>
      </c>
      <c r="K520" s="9" t="s">
        <v>49</v>
      </c>
      <c r="L520" s="13">
        <v>0</v>
      </c>
      <c r="M520" s="9" t="s">
        <v>34</v>
      </c>
    </row>
    <row r="521" spans="1:13" ht="20.25" customHeight="1" x14ac:dyDescent="0.25">
      <c r="A521" s="9" t="s">
        <v>1035</v>
      </c>
      <c r="B521" s="10">
        <v>45694</v>
      </c>
      <c r="C521" s="9" t="s">
        <v>28</v>
      </c>
      <c r="D521" s="9" t="s">
        <v>29</v>
      </c>
      <c r="E521" s="11" t="s">
        <v>58</v>
      </c>
      <c r="F521" s="11" t="s">
        <v>59</v>
      </c>
      <c r="G521" s="3">
        <v>150</v>
      </c>
      <c r="H521" s="3">
        <v>90</v>
      </c>
      <c r="I521" s="12">
        <v>1</v>
      </c>
      <c r="J521" s="9" t="s">
        <v>1036</v>
      </c>
      <c r="K521" s="9" t="s">
        <v>33</v>
      </c>
      <c r="L521" s="13">
        <v>1</v>
      </c>
      <c r="M521" s="9" t="s">
        <v>34</v>
      </c>
    </row>
    <row r="522" spans="1:13" ht="20.25" customHeight="1" x14ac:dyDescent="0.25">
      <c r="A522" s="9" t="s">
        <v>1037</v>
      </c>
      <c r="B522" s="10">
        <v>45695</v>
      </c>
      <c r="C522" s="9" t="s">
        <v>54</v>
      </c>
      <c r="D522" s="9" t="s">
        <v>29</v>
      </c>
      <c r="E522" s="11" t="s">
        <v>43</v>
      </c>
      <c r="F522" s="11" t="s">
        <v>90</v>
      </c>
      <c r="G522" s="3">
        <v>150</v>
      </c>
      <c r="H522" s="3">
        <v>90</v>
      </c>
      <c r="I522" s="12">
        <v>1</v>
      </c>
      <c r="J522" s="9" t="s">
        <v>1038</v>
      </c>
      <c r="K522" s="9" t="s">
        <v>49</v>
      </c>
      <c r="L522" s="13">
        <v>0</v>
      </c>
      <c r="M522" s="9" t="s">
        <v>34</v>
      </c>
    </row>
    <row r="523" spans="1:13" ht="20.25" customHeight="1" x14ac:dyDescent="0.25">
      <c r="A523" s="9" t="s">
        <v>1039</v>
      </c>
      <c r="B523" s="10">
        <v>45695</v>
      </c>
      <c r="C523" s="9" t="s">
        <v>71</v>
      </c>
      <c r="D523" s="9" t="s">
        <v>29</v>
      </c>
      <c r="E523" s="11" t="s">
        <v>43</v>
      </c>
      <c r="F523" s="11" t="s">
        <v>47</v>
      </c>
      <c r="G523" s="3">
        <v>110</v>
      </c>
      <c r="H523" s="3">
        <v>65</v>
      </c>
      <c r="I523" s="12">
        <v>1</v>
      </c>
      <c r="J523" s="9" t="s">
        <v>334</v>
      </c>
      <c r="K523" s="9" t="s">
        <v>33</v>
      </c>
      <c r="L523" s="13">
        <v>1</v>
      </c>
      <c r="M523" s="9" t="s">
        <v>34</v>
      </c>
    </row>
    <row r="524" spans="1:13" ht="20.25" customHeight="1" x14ac:dyDescent="0.25">
      <c r="A524" s="9" t="s">
        <v>1040</v>
      </c>
      <c r="B524" s="10">
        <v>45695</v>
      </c>
      <c r="C524" s="9" t="s">
        <v>28</v>
      </c>
      <c r="D524" s="9" t="s">
        <v>29</v>
      </c>
      <c r="E524" s="11" t="s">
        <v>30</v>
      </c>
      <c r="F524" s="11" t="s">
        <v>31</v>
      </c>
      <c r="G524" s="3">
        <v>1950</v>
      </c>
      <c r="H524" s="3">
        <v>1350</v>
      </c>
      <c r="I524" s="12">
        <v>3</v>
      </c>
      <c r="J524" s="9" t="s">
        <v>820</v>
      </c>
      <c r="K524" s="9" t="s">
        <v>49</v>
      </c>
      <c r="L524" s="13">
        <v>0</v>
      </c>
      <c r="M524" s="9" t="s">
        <v>34</v>
      </c>
    </row>
    <row r="525" spans="1:13" ht="20.25" customHeight="1" x14ac:dyDescent="0.25">
      <c r="A525" s="9" t="s">
        <v>1041</v>
      </c>
      <c r="B525" s="10">
        <v>45695</v>
      </c>
      <c r="C525" s="9" t="s">
        <v>36</v>
      </c>
      <c r="D525" s="9" t="s">
        <v>29</v>
      </c>
      <c r="E525" s="11" t="s">
        <v>58</v>
      </c>
      <c r="F525" s="11" t="s">
        <v>68</v>
      </c>
      <c r="G525" s="3">
        <v>350</v>
      </c>
      <c r="H525" s="3">
        <v>220</v>
      </c>
      <c r="I525" s="12">
        <v>1</v>
      </c>
      <c r="J525" s="9" t="s">
        <v>1042</v>
      </c>
      <c r="K525" s="9" t="s">
        <v>49</v>
      </c>
      <c r="L525" s="13">
        <v>0</v>
      </c>
      <c r="M525" s="9" t="s">
        <v>34</v>
      </c>
    </row>
    <row r="526" spans="1:13" ht="20.25" customHeight="1" x14ac:dyDescent="0.25">
      <c r="A526" s="9" t="s">
        <v>1043</v>
      </c>
      <c r="B526" s="10">
        <v>45695</v>
      </c>
      <c r="C526" s="9" t="s">
        <v>28</v>
      </c>
      <c r="D526" s="9" t="s">
        <v>42</v>
      </c>
      <c r="E526" s="11" t="s">
        <v>58</v>
      </c>
      <c r="F526" s="11" t="s">
        <v>59</v>
      </c>
      <c r="G526" s="3">
        <v>150</v>
      </c>
      <c r="H526" s="3">
        <v>90</v>
      </c>
      <c r="I526" s="12">
        <v>1</v>
      </c>
      <c r="J526" s="9" t="s">
        <v>340</v>
      </c>
      <c r="K526" s="9" t="s">
        <v>33</v>
      </c>
      <c r="L526" s="13">
        <v>1</v>
      </c>
      <c r="M526" s="9" t="s">
        <v>34</v>
      </c>
    </row>
    <row r="527" spans="1:13" ht="20.25" customHeight="1" x14ac:dyDescent="0.25">
      <c r="A527" s="9" t="s">
        <v>1044</v>
      </c>
      <c r="B527" s="10">
        <v>45696</v>
      </c>
      <c r="C527" s="9" t="s">
        <v>28</v>
      </c>
      <c r="D527" s="9" t="s">
        <v>29</v>
      </c>
      <c r="E527" s="11" t="s">
        <v>30</v>
      </c>
      <c r="F527" s="11" t="s">
        <v>31</v>
      </c>
      <c r="G527" s="3">
        <v>650</v>
      </c>
      <c r="H527" s="3">
        <v>450</v>
      </c>
      <c r="I527" s="12">
        <v>1</v>
      </c>
      <c r="J527" s="9" t="s">
        <v>831</v>
      </c>
      <c r="K527" s="9" t="s">
        <v>33</v>
      </c>
      <c r="L527" s="13">
        <v>1</v>
      </c>
      <c r="M527" s="9" t="s">
        <v>34</v>
      </c>
    </row>
    <row r="528" spans="1:13" ht="20.25" customHeight="1" x14ac:dyDescent="0.25">
      <c r="A528" s="9" t="s">
        <v>1045</v>
      </c>
      <c r="B528" s="10">
        <v>45696</v>
      </c>
      <c r="C528" s="9" t="s">
        <v>41</v>
      </c>
      <c r="D528" s="9" t="s">
        <v>29</v>
      </c>
      <c r="E528" s="11" t="s">
        <v>30</v>
      </c>
      <c r="F528" s="11" t="s">
        <v>31</v>
      </c>
      <c r="G528" s="3">
        <v>1950</v>
      </c>
      <c r="H528" s="3">
        <v>1350</v>
      </c>
      <c r="I528" s="12">
        <v>3</v>
      </c>
      <c r="J528" s="9" t="s">
        <v>1046</v>
      </c>
      <c r="K528" s="9" t="s">
        <v>49</v>
      </c>
      <c r="L528" s="13">
        <v>0</v>
      </c>
      <c r="M528" s="9" t="s">
        <v>34</v>
      </c>
    </row>
    <row r="529" spans="1:13" ht="20.25" customHeight="1" x14ac:dyDescent="0.25">
      <c r="A529" s="9" t="s">
        <v>1047</v>
      </c>
      <c r="B529" s="10">
        <v>45696</v>
      </c>
      <c r="C529" s="9" t="s">
        <v>28</v>
      </c>
      <c r="D529" s="9" t="s">
        <v>29</v>
      </c>
      <c r="E529" s="11" t="s">
        <v>30</v>
      </c>
      <c r="F529" s="11" t="s">
        <v>80</v>
      </c>
      <c r="G529" s="3">
        <v>850</v>
      </c>
      <c r="H529" s="3">
        <v>600</v>
      </c>
      <c r="I529" s="12">
        <v>1</v>
      </c>
      <c r="J529" s="9" t="s">
        <v>254</v>
      </c>
      <c r="K529" s="9" t="s">
        <v>49</v>
      </c>
      <c r="L529" s="13">
        <v>0</v>
      </c>
      <c r="M529" s="9" t="s">
        <v>34</v>
      </c>
    </row>
    <row r="530" spans="1:13" ht="20.25" customHeight="1" x14ac:dyDescent="0.25">
      <c r="A530" s="9" t="s">
        <v>1048</v>
      </c>
      <c r="B530" s="10">
        <v>45696</v>
      </c>
      <c r="C530" s="9" t="s">
        <v>36</v>
      </c>
      <c r="D530" s="9" t="s">
        <v>29</v>
      </c>
      <c r="E530" s="11" t="s">
        <v>37</v>
      </c>
      <c r="F530" s="11" t="s">
        <v>55</v>
      </c>
      <c r="G530" s="3">
        <v>-180</v>
      </c>
      <c r="H530" s="3">
        <v>-110</v>
      </c>
      <c r="I530" s="12">
        <v>-2</v>
      </c>
      <c r="J530" s="9" t="s">
        <v>452</v>
      </c>
      <c r="K530" s="9" t="s">
        <v>33</v>
      </c>
      <c r="L530" s="13">
        <v>1</v>
      </c>
      <c r="M530" s="9" t="s">
        <v>76</v>
      </c>
    </row>
    <row r="531" spans="1:13" ht="20.25" customHeight="1" x14ac:dyDescent="0.25">
      <c r="A531" s="9" t="s">
        <v>1049</v>
      </c>
      <c r="B531" s="10">
        <v>45696</v>
      </c>
      <c r="C531" s="9" t="s">
        <v>71</v>
      </c>
      <c r="D531" s="9" t="s">
        <v>42</v>
      </c>
      <c r="E531" s="11" t="s">
        <v>30</v>
      </c>
      <c r="F531" s="11" t="s">
        <v>80</v>
      </c>
      <c r="G531" s="3">
        <v>1700</v>
      </c>
      <c r="H531" s="3">
        <v>1200</v>
      </c>
      <c r="I531" s="12">
        <v>2</v>
      </c>
      <c r="J531" s="9" t="s">
        <v>1050</v>
      </c>
      <c r="K531" s="9" t="s">
        <v>33</v>
      </c>
      <c r="L531" s="13">
        <v>1</v>
      </c>
      <c r="M531" s="9" t="s">
        <v>34</v>
      </c>
    </row>
    <row r="532" spans="1:13" ht="20.25" customHeight="1" x14ac:dyDescent="0.25">
      <c r="A532" s="9" t="s">
        <v>1051</v>
      </c>
      <c r="B532" s="10">
        <v>45697</v>
      </c>
      <c r="C532" s="9" t="s">
        <v>28</v>
      </c>
      <c r="D532" s="9" t="s">
        <v>29</v>
      </c>
      <c r="E532" s="11" t="s">
        <v>30</v>
      </c>
      <c r="F532" s="11" t="s">
        <v>80</v>
      </c>
      <c r="G532" s="3">
        <v>1700</v>
      </c>
      <c r="H532" s="3">
        <v>1200</v>
      </c>
      <c r="I532" s="12">
        <v>2</v>
      </c>
      <c r="J532" s="9" t="s">
        <v>1052</v>
      </c>
      <c r="K532" s="9" t="s">
        <v>49</v>
      </c>
      <c r="L532" s="13">
        <v>0</v>
      </c>
      <c r="M532" s="9" t="s">
        <v>34</v>
      </c>
    </row>
    <row r="533" spans="1:13" ht="20.25" customHeight="1" x14ac:dyDescent="0.25">
      <c r="A533" s="9" t="s">
        <v>1053</v>
      </c>
      <c r="B533" s="10">
        <v>45697</v>
      </c>
      <c r="C533" s="9" t="s">
        <v>62</v>
      </c>
      <c r="D533" s="9" t="s">
        <v>42</v>
      </c>
      <c r="E533" s="11" t="s">
        <v>30</v>
      </c>
      <c r="F533" s="11" t="s">
        <v>63</v>
      </c>
      <c r="G533" s="3">
        <v>3600</v>
      </c>
      <c r="H533" s="3">
        <v>2550</v>
      </c>
      <c r="I533" s="12">
        <v>3</v>
      </c>
      <c r="J533" s="9" t="s">
        <v>1054</v>
      </c>
      <c r="K533" s="9" t="s">
        <v>49</v>
      </c>
      <c r="L533" s="13">
        <v>0</v>
      </c>
      <c r="M533" s="9" t="s">
        <v>34</v>
      </c>
    </row>
    <row r="534" spans="1:13" ht="20.25" customHeight="1" x14ac:dyDescent="0.25">
      <c r="A534" s="9" t="s">
        <v>1055</v>
      </c>
      <c r="B534" s="10">
        <v>45697</v>
      </c>
      <c r="C534" s="9" t="s">
        <v>28</v>
      </c>
      <c r="D534" s="9" t="s">
        <v>29</v>
      </c>
      <c r="E534" s="11" t="s">
        <v>43</v>
      </c>
      <c r="F534" s="11" t="s">
        <v>47</v>
      </c>
      <c r="G534" s="3">
        <v>220</v>
      </c>
      <c r="H534" s="3">
        <v>130</v>
      </c>
      <c r="I534" s="12">
        <v>2</v>
      </c>
      <c r="J534" s="9" t="s">
        <v>1056</v>
      </c>
      <c r="K534" s="9" t="s">
        <v>33</v>
      </c>
      <c r="L534" s="13">
        <v>1</v>
      </c>
      <c r="M534" s="9" t="s">
        <v>34</v>
      </c>
    </row>
    <row r="535" spans="1:13" ht="20.25" customHeight="1" x14ac:dyDescent="0.25">
      <c r="A535" s="9" t="s">
        <v>1057</v>
      </c>
      <c r="B535" s="10">
        <v>45698</v>
      </c>
      <c r="C535" s="9" t="s">
        <v>36</v>
      </c>
      <c r="D535" s="9" t="s">
        <v>51</v>
      </c>
      <c r="E535" s="11" t="s">
        <v>43</v>
      </c>
      <c r="F535" s="11" t="s">
        <v>47</v>
      </c>
      <c r="G535" s="3">
        <v>110</v>
      </c>
      <c r="H535" s="3">
        <v>65</v>
      </c>
      <c r="I535" s="12">
        <v>1</v>
      </c>
      <c r="J535" s="9" t="s">
        <v>1058</v>
      </c>
      <c r="K535" s="9" t="s">
        <v>33</v>
      </c>
      <c r="L535" s="13">
        <v>1</v>
      </c>
      <c r="M535" s="9" t="s">
        <v>34</v>
      </c>
    </row>
    <row r="536" spans="1:13" ht="20.25" customHeight="1" x14ac:dyDescent="0.25">
      <c r="A536" s="9" t="s">
        <v>1059</v>
      </c>
      <c r="B536" s="10">
        <v>45698</v>
      </c>
      <c r="C536" s="9" t="s">
        <v>36</v>
      </c>
      <c r="D536" s="9" t="s">
        <v>51</v>
      </c>
      <c r="E536" s="11" t="s">
        <v>58</v>
      </c>
      <c r="F536" s="11" t="s">
        <v>87</v>
      </c>
      <c r="G536" s="3">
        <v>180</v>
      </c>
      <c r="H536" s="3">
        <v>110</v>
      </c>
      <c r="I536" s="12">
        <v>1</v>
      </c>
      <c r="J536" s="9" t="s">
        <v>1060</v>
      </c>
      <c r="K536" s="9" t="s">
        <v>49</v>
      </c>
      <c r="L536" s="13">
        <v>0</v>
      </c>
      <c r="M536" s="9" t="s">
        <v>34</v>
      </c>
    </row>
    <row r="537" spans="1:13" ht="20.25" customHeight="1" x14ac:dyDescent="0.25">
      <c r="A537" s="9" t="s">
        <v>1061</v>
      </c>
      <c r="B537" s="10">
        <v>45698</v>
      </c>
      <c r="C537" s="9" t="s">
        <v>28</v>
      </c>
      <c r="D537" s="9" t="s">
        <v>42</v>
      </c>
      <c r="E537" s="11" t="s">
        <v>58</v>
      </c>
      <c r="F537" s="11" t="s">
        <v>87</v>
      </c>
      <c r="G537" s="3">
        <v>180</v>
      </c>
      <c r="H537" s="3">
        <v>110</v>
      </c>
      <c r="I537" s="12">
        <v>1</v>
      </c>
      <c r="J537" s="9" t="s">
        <v>171</v>
      </c>
      <c r="K537" s="9" t="s">
        <v>49</v>
      </c>
      <c r="L537" s="13">
        <v>0</v>
      </c>
      <c r="M537" s="9" t="s">
        <v>34</v>
      </c>
    </row>
    <row r="538" spans="1:13" ht="20.25" customHeight="1" x14ac:dyDescent="0.25">
      <c r="A538" s="9" t="s">
        <v>1062</v>
      </c>
      <c r="B538" s="10">
        <v>45699</v>
      </c>
      <c r="C538" s="9" t="s">
        <v>28</v>
      </c>
      <c r="D538" s="9" t="s">
        <v>51</v>
      </c>
      <c r="E538" s="11" t="s">
        <v>43</v>
      </c>
      <c r="F538" s="11" t="s">
        <v>47</v>
      </c>
      <c r="G538" s="3">
        <v>110</v>
      </c>
      <c r="H538" s="3">
        <v>65</v>
      </c>
      <c r="I538" s="12">
        <v>1</v>
      </c>
      <c r="J538" s="9" t="s">
        <v>1063</v>
      </c>
      <c r="K538" s="9" t="s">
        <v>49</v>
      </c>
      <c r="L538" s="13">
        <v>0</v>
      </c>
      <c r="M538" s="9" t="s">
        <v>34</v>
      </c>
    </row>
    <row r="539" spans="1:13" ht="20.25" customHeight="1" x14ac:dyDescent="0.25">
      <c r="A539" s="9" t="s">
        <v>1064</v>
      </c>
      <c r="B539" s="10">
        <v>45700</v>
      </c>
      <c r="C539" s="9" t="s">
        <v>41</v>
      </c>
      <c r="D539" s="9" t="s">
        <v>51</v>
      </c>
      <c r="E539" s="11" t="s">
        <v>30</v>
      </c>
      <c r="F539" s="11" t="s">
        <v>31</v>
      </c>
      <c r="G539" s="3">
        <v>650</v>
      </c>
      <c r="H539" s="3">
        <v>450</v>
      </c>
      <c r="I539" s="12">
        <v>1</v>
      </c>
      <c r="J539" s="9" t="s">
        <v>1065</v>
      </c>
      <c r="K539" s="9" t="s">
        <v>49</v>
      </c>
      <c r="L539" s="13">
        <v>0</v>
      </c>
      <c r="M539" s="9" t="s">
        <v>34</v>
      </c>
    </row>
    <row r="540" spans="1:13" ht="20.25" customHeight="1" x14ac:dyDescent="0.25">
      <c r="A540" s="9" t="s">
        <v>1066</v>
      </c>
      <c r="B540" s="10">
        <v>45700</v>
      </c>
      <c r="C540" s="9" t="s">
        <v>62</v>
      </c>
      <c r="D540" s="9" t="s">
        <v>29</v>
      </c>
      <c r="E540" s="11" t="s">
        <v>30</v>
      </c>
      <c r="F540" s="11" t="s">
        <v>80</v>
      </c>
      <c r="G540" s="3">
        <v>850</v>
      </c>
      <c r="H540" s="3">
        <v>600</v>
      </c>
      <c r="I540" s="12">
        <v>1</v>
      </c>
      <c r="J540" s="9" t="s">
        <v>1067</v>
      </c>
      <c r="K540" s="9" t="s">
        <v>49</v>
      </c>
      <c r="L540" s="13">
        <v>0</v>
      </c>
      <c r="M540" s="9" t="s">
        <v>34</v>
      </c>
    </row>
    <row r="541" spans="1:13" ht="20.25" customHeight="1" x14ac:dyDescent="0.25">
      <c r="A541" s="9" t="s">
        <v>1068</v>
      </c>
      <c r="B541" s="10">
        <v>45700</v>
      </c>
      <c r="C541" s="9" t="s">
        <v>28</v>
      </c>
      <c r="D541" s="9" t="s">
        <v>29</v>
      </c>
      <c r="E541" s="11" t="s">
        <v>30</v>
      </c>
      <c r="F541" s="11" t="s">
        <v>63</v>
      </c>
      <c r="G541" s="3">
        <v>1200</v>
      </c>
      <c r="H541" s="3">
        <v>850</v>
      </c>
      <c r="I541" s="12">
        <v>1</v>
      </c>
      <c r="J541" s="9" t="s">
        <v>1069</v>
      </c>
      <c r="K541" s="9" t="s">
        <v>49</v>
      </c>
      <c r="L541" s="13">
        <v>0</v>
      </c>
      <c r="M541" s="9" t="s">
        <v>34</v>
      </c>
    </row>
    <row r="542" spans="1:13" ht="20.25" customHeight="1" x14ac:dyDescent="0.25">
      <c r="A542" s="9" t="s">
        <v>1070</v>
      </c>
      <c r="B542" s="10">
        <v>45700</v>
      </c>
      <c r="C542" s="9" t="s">
        <v>41</v>
      </c>
      <c r="D542" s="9" t="s">
        <v>42</v>
      </c>
      <c r="E542" s="11" t="s">
        <v>30</v>
      </c>
      <c r="F542" s="11" t="s">
        <v>80</v>
      </c>
      <c r="G542" s="3">
        <v>3400</v>
      </c>
      <c r="H542" s="3">
        <v>2400</v>
      </c>
      <c r="I542" s="12">
        <v>4</v>
      </c>
      <c r="J542" s="9" t="s">
        <v>1071</v>
      </c>
      <c r="K542" s="9" t="s">
        <v>49</v>
      </c>
      <c r="L542" s="13">
        <v>0</v>
      </c>
      <c r="M542" s="9" t="s">
        <v>34</v>
      </c>
    </row>
    <row r="543" spans="1:13" ht="20.25" customHeight="1" x14ac:dyDescent="0.25">
      <c r="A543" s="9" t="s">
        <v>1072</v>
      </c>
      <c r="B543" s="10">
        <v>45701</v>
      </c>
      <c r="C543" s="9" t="s">
        <v>41</v>
      </c>
      <c r="D543" s="9" t="s">
        <v>29</v>
      </c>
      <c r="E543" s="11" t="s">
        <v>58</v>
      </c>
      <c r="F543" s="11" t="s">
        <v>59</v>
      </c>
      <c r="G543" s="3">
        <v>150</v>
      </c>
      <c r="H543" s="3">
        <v>90</v>
      </c>
      <c r="I543" s="12">
        <v>1</v>
      </c>
      <c r="J543" s="9" t="s">
        <v>252</v>
      </c>
      <c r="K543" s="9" t="s">
        <v>33</v>
      </c>
      <c r="L543" s="13">
        <v>1</v>
      </c>
      <c r="M543" s="9" t="s">
        <v>34</v>
      </c>
    </row>
    <row r="544" spans="1:13" ht="20.25" customHeight="1" x14ac:dyDescent="0.25">
      <c r="A544" s="9" t="s">
        <v>1073</v>
      </c>
      <c r="B544" s="10">
        <v>45701</v>
      </c>
      <c r="C544" s="9" t="s">
        <v>54</v>
      </c>
      <c r="D544" s="9" t="s">
        <v>29</v>
      </c>
      <c r="E544" s="11" t="s">
        <v>43</v>
      </c>
      <c r="F544" s="11" t="s">
        <v>90</v>
      </c>
      <c r="G544" s="3">
        <v>450</v>
      </c>
      <c r="H544" s="3">
        <v>270</v>
      </c>
      <c r="I544" s="12">
        <v>3</v>
      </c>
      <c r="J544" s="9" t="s">
        <v>409</v>
      </c>
      <c r="K544" s="9" t="s">
        <v>49</v>
      </c>
      <c r="L544" s="13">
        <v>0</v>
      </c>
      <c r="M544" s="9" t="s">
        <v>34</v>
      </c>
    </row>
    <row r="545" spans="1:13" ht="20.25" customHeight="1" x14ac:dyDescent="0.25">
      <c r="A545" s="9" t="s">
        <v>1074</v>
      </c>
      <c r="B545" s="10">
        <v>45701</v>
      </c>
      <c r="C545" s="9" t="s">
        <v>36</v>
      </c>
      <c r="D545" s="9" t="s">
        <v>51</v>
      </c>
      <c r="E545" s="11" t="s">
        <v>37</v>
      </c>
      <c r="F545" s="11" t="s">
        <v>55</v>
      </c>
      <c r="G545" s="3">
        <v>90</v>
      </c>
      <c r="H545" s="3">
        <v>55</v>
      </c>
      <c r="I545" s="12">
        <v>1</v>
      </c>
      <c r="J545" s="9" t="s">
        <v>1075</v>
      </c>
      <c r="K545" s="9" t="s">
        <v>33</v>
      </c>
      <c r="L545" s="13">
        <v>1</v>
      </c>
      <c r="M545" s="9" t="s">
        <v>34</v>
      </c>
    </row>
    <row r="546" spans="1:13" ht="20.25" customHeight="1" x14ac:dyDescent="0.25">
      <c r="A546" s="9" t="s">
        <v>1076</v>
      </c>
      <c r="B546" s="10">
        <v>45702</v>
      </c>
      <c r="C546" s="9" t="s">
        <v>36</v>
      </c>
      <c r="D546" s="9" t="s">
        <v>29</v>
      </c>
      <c r="E546" s="11" t="s">
        <v>58</v>
      </c>
      <c r="F546" s="11" t="s">
        <v>68</v>
      </c>
      <c r="G546" s="3">
        <v>700</v>
      </c>
      <c r="H546" s="3">
        <v>440</v>
      </c>
      <c r="I546" s="12">
        <v>2</v>
      </c>
      <c r="J546" s="9" t="s">
        <v>1077</v>
      </c>
      <c r="K546" s="9" t="s">
        <v>33</v>
      </c>
      <c r="L546" s="13">
        <v>1</v>
      </c>
      <c r="M546" s="9" t="s">
        <v>34</v>
      </c>
    </row>
    <row r="547" spans="1:13" ht="20.25" customHeight="1" x14ac:dyDescent="0.25">
      <c r="A547" s="9" t="s">
        <v>1078</v>
      </c>
      <c r="B547" s="10">
        <v>45702</v>
      </c>
      <c r="C547" s="9" t="s">
        <v>36</v>
      </c>
      <c r="D547" s="9" t="s">
        <v>42</v>
      </c>
      <c r="E547" s="11" t="s">
        <v>43</v>
      </c>
      <c r="F547" s="11" t="s">
        <v>47</v>
      </c>
      <c r="G547" s="3">
        <v>220</v>
      </c>
      <c r="H547" s="3">
        <v>130</v>
      </c>
      <c r="I547" s="12">
        <v>2</v>
      </c>
      <c r="J547" s="9" t="s">
        <v>1079</v>
      </c>
      <c r="K547" s="9" t="s">
        <v>49</v>
      </c>
      <c r="L547" s="13">
        <v>0</v>
      </c>
      <c r="M547" s="9" t="s">
        <v>34</v>
      </c>
    </row>
    <row r="548" spans="1:13" ht="20.25" customHeight="1" x14ac:dyDescent="0.25">
      <c r="A548" s="9" t="s">
        <v>1080</v>
      </c>
      <c r="B548" s="10">
        <v>45703</v>
      </c>
      <c r="C548" s="9" t="s">
        <v>41</v>
      </c>
      <c r="D548" s="9" t="s">
        <v>51</v>
      </c>
      <c r="E548" s="11" t="s">
        <v>30</v>
      </c>
      <c r="F548" s="11" t="s">
        <v>63</v>
      </c>
      <c r="G548" s="3">
        <v>1200</v>
      </c>
      <c r="H548" s="3">
        <v>850</v>
      </c>
      <c r="I548" s="12">
        <v>1</v>
      </c>
      <c r="J548" s="9" t="s">
        <v>1081</v>
      </c>
      <c r="K548" s="9" t="s">
        <v>49</v>
      </c>
      <c r="L548" s="13">
        <v>0</v>
      </c>
      <c r="M548" s="9" t="s">
        <v>34</v>
      </c>
    </row>
    <row r="549" spans="1:13" ht="20.25" customHeight="1" x14ac:dyDescent="0.25">
      <c r="A549" s="9" t="s">
        <v>1082</v>
      </c>
      <c r="B549" s="10">
        <v>45704</v>
      </c>
      <c r="C549" s="9" t="s">
        <v>54</v>
      </c>
      <c r="D549" s="9" t="s">
        <v>51</v>
      </c>
      <c r="E549" s="11" t="s">
        <v>30</v>
      </c>
      <c r="F549" s="11" t="s">
        <v>31</v>
      </c>
      <c r="G549" s="3">
        <v>650</v>
      </c>
      <c r="H549" s="3">
        <v>450</v>
      </c>
      <c r="I549" s="12">
        <v>1</v>
      </c>
      <c r="J549" s="9" t="s">
        <v>1083</v>
      </c>
      <c r="K549" s="9" t="s">
        <v>33</v>
      </c>
      <c r="L549" s="13">
        <v>1</v>
      </c>
      <c r="M549" s="9" t="s">
        <v>34</v>
      </c>
    </row>
    <row r="550" spans="1:13" ht="20.25" customHeight="1" x14ac:dyDescent="0.25">
      <c r="A550" s="9" t="s">
        <v>1084</v>
      </c>
      <c r="B550" s="10">
        <v>45705</v>
      </c>
      <c r="C550" s="9" t="s">
        <v>28</v>
      </c>
      <c r="D550" s="9" t="s">
        <v>42</v>
      </c>
      <c r="E550" s="11" t="s">
        <v>37</v>
      </c>
      <c r="F550" s="11" t="s">
        <v>72</v>
      </c>
      <c r="G550" s="3">
        <v>220</v>
      </c>
      <c r="H550" s="3">
        <v>130</v>
      </c>
      <c r="I550" s="12">
        <v>1</v>
      </c>
      <c r="J550" s="9" t="s">
        <v>109</v>
      </c>
      <c r="K550" s="9" t="s">
        <v>49</v>
      </c>
      <c r="L550" s="13">
        <v>0</v>
      </c>
      <c r="M550" s="9" t="s">
        <v>34</v>
      </c>
    </row>
    <row r="551" spans="1:13" ht="20.25" customHeight="1" x14ac:dyDescent="0.25">
      <c r="A551" s="9" t="s">
        <v>1085</v>
      </c>
      <c r="B551" s="10">
        <v>45705</v>
      </c>
      <c r="C551" s="9" t="s">
        <v>36</v>
      </c>
      <c r="D551" s="9" t="s">
        <v>29</v>
      </c>
      <c r="E551" s="11" t="s">
        <v>37</v>
      </c>
      <c r="F551" s="11" t="s">
        <v>38</v>
      </c>
      <c r="G551" s="3">
        <v>-120</v>
      </c>
      <c r="H551" s="3">
        <v>-70</v>
      </c>
      <c r="I551" s="12">
        <v>-1</v>
      </c>
      <c r="J551" s="9" t="s">
        <v>1086</v>
      </c>
      <c r="K551" s="9" t="s">
        <v>49</v>
      </c>
      <c r="L551" s="13">
        <v>0</v>
      </c>
      <c r="M551" s="9" t="s">
        <v>76</v>
      </c>
    </row>
    <row r="552" spans="1:13" ht="20.25" customHeight="1" x14ac:dyDescent="0.25">
      <c r="A552" s="9" t="s">
        <v>1087</v>
      </c>
      <c r="B552" s="10">
        <v>45705</v>
      </c>
      <c r="C552" s="9" t="s">
        <v>62</v>
      </c>
      <c r="D552" s="9" t="s">
        <v>29</v>
      </c>
      <c r="E552" s="11" t="s">
        <v>30</v>
      </c>
      <c r="F552" s="11" t="s">
        <v>80</v>
      </c>
      <c r="G552" s="3">
        <v>2550</v>
      </c>
      <c r="H552" s="3">
        <v>1800</v>
      </c>
      <c r="I552" s="12">
        <v>3</v>
      </c>
      <c r="J552" s="9" t="s">
        <v>1088</v>
      </c>
      <c r="K552" s="9" t="s">
        <v>49</v>
      </c>
      <c r="L552" s="13">
        <v>0</v>
      </c>
      <c r="M552" s="9" t="s">
        <v>34</v>
      </c>
    </row>
    <row r="553" spans="1:13" ht="20.25" customHeight="1" x14ac:dyDescent="0.25">
      <c r="A553" s="9" t="s">
        <v>1089</v>
      </c>
      <c r="B553" s="10">
        <v>45706</v>
      </c>
      <c r="C553" s="9" t="s">
        <v>54</v>
      </c>
      <c r="D553" s="9" t="s">
        <v>29</v>
      </c>
      <c r="E553" s="11" t="s">
        <v>58</v>
      </c>
      <c r="F553" s="11" t="s">
        <v>87</v>
      </c>
      <c r="G553" s="3">
        <v>360</v>
      </c>
      <c r="H553" s="3">
        <v>220</v>
      </c>
      <c r="I553" s="12">
        <v>2</v>
      </c>
      <c r="J553" s="9" t="s">
        <v>344</v>
      </c>
      <c r="K553" s="9" t="s">
        <v>33</v>
      </c>
      <c r="L553" s="13">
        <v>1</v>
      </c>
      <c r="M553" s="9" t="s">
        <v>34</v>
      </c>
    </row>
    <row r="554" spans="1:13" ht="20.25" customHeight="1" x14ac:dyDescent="0.25">
      <c r="A554" s="9" t="s">
        <v>1090</v>
      </c>
      <c r="B554" s="10">
        <v>45706</v>
      </c>
      <c r="C554" s="9" t="s">
        <v>62</v>
      </c>
      <c r="D554" s="9" t="s">
        <v>29</v>
      </c>
      <c r="E554" s="11" t="s">
        <v>37</v>
      </c>
      <c r="F554" s="11" t="s">
        <v>55</v>
      </c>
      <c r="G554" s="3">
        <v>90</v>
      </c>
      <c r="H554" s="3">
        <v>55</v>
      </c>
      <c r="I554" s="12">
        <v>1</v>
      </c>
      <c r="J554" s="9" t="s">
        <v>1091</v>
      </c>
      <c r="K554" s="9" t="s">
        <v>49</v>
      </c>
      <c r="L554" s="13">
        <v>0</v>
      </c>
      <c r="M554" s="9" t="s">
        <v>34</v>
      </c>
    </row>
    <row r="555" spans="1:13" ht="20.25" customHeight="1" x14ac:dyDescent="0.25">
      <c r="A555" s="9" t="s">
        <v>1092</v>
      </c>
      <c r="B555" s="10">
        <v>45707</v>
      </c>
      <c r="C555" s="9" t="s">
        <v>41</v>
      </c>
      <c r="D555" s="9" t="s">
        <v>51</v>
      </c>
      <c r="E555" s="11" t="s">
        <v>37</v>
      </c>
      <c r="F555" s="11" t="s">
        <v>38</v>
      </c>
      <c r="G555" s="3">
        <v>120</v>
      </c>
      <c r="H555" s="3">
        <v>70</v>
      </c>
      <c r="I555" s="12">
        <v>1</v>
      </c>
      <c r="J555" s="9" t="s">
        <v>854</v>
      </c>
      <c r="K555" s="9" t="s">
        <v>49</v>
      </c>
      <c r="L555" s="13">
        <v>0</v>
      </c>
      <c r="M555" s="9" t="s">
        <v>34</v>
      </c>
    </row>
    <row r="556" spans="1:13" ht="20.25" customHeight="1" x14ac:dyDescent="0.25">
      <c r="A556" s="9" t="s">
        <v>1093</v>
      </c>
      <c r="B556" s="10">
        <v>45708</v>
      </c>
      <c r="C556" s="9" t="s">
        <v>36</v>
      </c>
      <c r="D556" s="9" t="s">
        <v>42</v>
      </c>
      <c r="E556" s="11" t="s">
        <v>37</v>
      </c>
      <c r="F556" s="11" t="s">
        <v>38</v>
      </c>
      <c r="G556" s="3">
        <v>120</v>
      </c>
      <c r="H556" s="3">
        <v>70</v>
      </c>
      <c r="I556" s="12">
        <v>1</v>
      </c>
      <c r="J556" s="9" t="s">
        <v>789</v>
      </c>
      <c r="K556" s="9" t="s">
        <v>49</v>
      </c>
      <c r="L556" s="13">
        <v>0</v>
      </c>
      <c r="M556" s="9" t="s">
        <v>34</v>
      </c>
    </row>
    <row r="557" spans="1:13" ht="20.25" customHeight="1" x14ac:dyDescent="0.25">
      <c r="A557" s="9" t="s">
        <v>1094</v>
      </c>
      <c r="B557" s="10">
        <v>45709</v>
      </c>
      <c r="C557" s="9" t="s">
        <v>71</v>
      </c>
      <c r="D557" s="9" t="s">
        <v>29</v>
      </c>
      <c r="E557" s="11" t="s">
        <v>58</v>
      </c>
      <c r="F557" s="11" t="s">
        <v>59</v>
      </c>
      <c r="G557" s="3">
        <v>150</v>
      </c>
      <c r="H557" s="3">
        <v>90</v>
      </c>
      <c r="I557" s="12">
        <v>1</v>
      </c>
      <c r="J557" s="9" t="s">
        <v>1095</v>
      </c>
      <c r="K557" s="9" t="s">
        <v>33</v>
      </c>
      <c r="L557" s="13">
        <v>1</v>
      </c>
      <c r="M557" s="9" t="s">
        <v>34</v>
      </c>
    </row>
    <row r="558" spans="1:13" ht="20.25" customHeight="1" x14ac:dyDescent="0.25">
      <c r="A558" s="9" t="s">
        <v>1096</v>
      </c>
      <c r="B558" s="10">
        <v>45709</v>
      </c>
      <c r="C558" s="9" t="s">
        <v>41</v>
      </c>
      <c r="D558" s="9" t="s">
        <v>29</v>
      </c>
      <c r="E558" s="11" t="s">
        <v>30</v>
      </c>
      <c r="F558" s="11" t="s">
        <v>31</v>
      </c>
      <c r="G558" s="3">
        <v>1300</v>
      </c>
      <c r="H558" s="3">
        <v>900</v>
      </c>
      <c r="I558" s="12">
        <v>2</v>
      </c>
      <c r="J558" s="9" t="s">
        <v>1097</v>
      </c>
      <c r="K558" s="9" t="s">
        <v>49</v>
      </c>
      <c r="L558" s="13">
        <v>0</v>
      </c>
      <c r="M558" s="9" t="s">
        <v>34</v>
      </c>
    </row>
    <row r="559" spans="1:13" ht="20.25" customHeight="1" x14ac:dyDescent="0.25">
      <c r="A559" s="9" t="s">
        <v>1098</v>
      </c>
      <c r="B559" s="10">
        <v>45710</v>
      </c>
      <c r="C559" s="9" t="s">
        <v>28</v>
      </c>
      <c r="D559" s="9" t="s">
        <v>42</v>
      </c>
      <c r="E559" s="11" t="s">
        <v>58</v>
      </c>
      <c r="F559" s="11" t="s">
        <v>59</v>
      </c>
      <c r="G559" s="3">
        <v>150</v>
      </c>
      <c r="H559" s="3">
        <v>90</v>
      </c>
      <c r="I559" s="12">
        <v>1</v>
      </c>
      <c r="J559" s="9" t="s">
        <v>843</v>
      </c>
      <c r="K559" s="9" t="s">
        <v>49</v>
      </c>
      <c r="L559" s="13">
        <v>0</v>
      </c>
      <c r="M559" s="9" t="s">
        <v>34</v>
      </c>
    </row>
    <row r="560" spans="1:13" ht="20.25" customHeight="1" x14ac:dyDescent="0.25">
      <c r="A560" s="9" t="s">
        <v>1099</v>
      </c>
      <c r="B560" s="10">
        <v>45710</v>
      </c>
      <c r="C560" s="9" t="s">
        <v>71</v>
      </c>
      <c r="D560" s="9" t="s">
        <v>29</v>
      </c>
      <c r="E560" s="11" t="s">
        <v>30</v>
      </c>
      <c r="F560" s="11" t="s">
        <v>80</v>
      </c>
      <c r="G560" s="3">
        <v>850</v>
      </c>
      <c r="H560" s="3">
        <v>600</v>
      </c>
      <c r="I560" s="12">
        <v>1</v>
      </c>
      <c r="J560" s="9" t="s">
        <v>1100</v>
      </c>
      <c r="K560" s="9" t="s">
        <v>49</v>
      </c>
      <c r="L560" s="13">
        <v>0</v>
      </c>
      <c r="M560" s="9" t="s">
        <v>34</v>
      </c>
    </row>
    <row r="561" spans="1:13" ht="20.25" customHeight="1" x14ac:dyDescent="0.25">
      <c r="A561" s="9" t="s">
        <v>1101</v>
      </c>
      <c r="B561" s="10">
        <v>45710</v>
      </c>
      <c r="C561" s="9" t="s">
        <v>41</v>
      </c>
      <c r="D561" s="9" t="s">
        <v>29</v>
      </c>
      <c r="E561" s="11" t="s">
        <v>43</v>
      </c>
      <c r="F561" s="11" t="s">
        <v>44</v>
      </c>
      <c r="G561" s="3">
        <v>45</v>
      </c>
      <c r="H561" s="3">
        <v>20</v>
      </c>
      <c r="I561" s="12">
        <v>1</v>
      </c>
      <c r="J561" s="9" t="s">
        <v>256</v>
      </c>
      <c r="K561" s="9" t="s">
        <v>49</v>
      </c>
      <c r="L561" s="13">
        <v>0</v>
      </c>
      <c r="M561" s="9" t="s">
        <v>34</v>
      </c>
    </row>
    <row r="562" spans="1:13" ht="20.25" customHeight="1" x14ac:dyDescent="0.25">
      <c r="A562" s="9" t="s">
        <v>1102</v>
      </c>
      <c r="B562" s="10">
        <v>45710</v>
      </c>
      <c r="C562" s="9" t="s">
        <v>28</v>
      </c>
      <c r="D562" s="9" t="s">
        <v>29</v>
      </c>
      <c r="E562" s="11" t="s">
        <v>58</v>
      </c>
      <c r="F562" s="11" t="s">
        <v>59</v>
      </c>
      <c r="G562" s="3">
        <v>-150</v>
      </c>
      <c r="H562" s="3">
        <v>-90</v>
      </c>
      <c r="I562" s="12">
        <v>-1</v>
      </c>
      <c r="J562" s="9" t="s">
        <v>1103</v>
      </c>
      <c r="K562" s="9" t="s">
        <v>33</v>
      </c>
      <c r="L562" s="13">
        <v>1</v>
      </c>
      <c r="M562" s="9" t="s">
        <v>76</v>
      </c>
    </row>
    <row r="563" spans="1:13" ht="20.25" customHeight="1" x14ac:dyDescent="0.25">
      <c r="A563" s="9" t="s">
        <v>1104</v>
      </c>
      <c r="B563" s="10">
        <v>45711</v>
      </c>
      <c r="C563" s="9" t="s">
        <v>41</v>
      </c>
      <c r="D563" s="9" t="s">
        <v>42</v>
      </c>
      <c r="E563" s="11" t="s">
        <v>58</v>
      </c>
      <c r="F563" s="11" t="s">
        <v>59</v>
      </c>
      <c r="G563" s="3">
        <v>300</v>
      </c>
      <c r="H563" s="3">
        <v>180</v>
      </c>
      <c r="I563" s="12">
        <v>2</v>
      </c>
      <c r="J563" s="9" t="s">
        <v>1105</v>
      </c>
      <c r="K563" s="9" t="s">
        <v>49</v>
      </c>
      <c r="L563" s="13">
        <v>0</v>
      </c>
      <c r="M563" s="9" t="s">
        <v>34</v>
      </c>
    </row>
    <row r="564" spans="1:13" ht="20.25" customHeight="1" x14ac:dyDescent="0.25">
      <c r="A564" s="9" t="s">
        <v>1106</v>
      </c>
      <c r="B564" s="10">
        <v>45711</v>
      </c>
      <c r="C564" s="9" t="s">
        <v>71</v>
      </c>
      <c r="D564" s="9" t="s">
        <v>51</v>
      </c>
      <c r="E564" s="11" t="s">
        <v>43</v>
      </c>
      <c r="F564" s="11" t="s">
        <v>44</v>
      </c>
      <c r="G564" s="3">
        <v>45</v>
      </c>
      <c r="H564" s="3">
        <v>20</v>
      </c>
      <c r="I564" s="12">
        <v>1</v>
      </c>
      <c r="J564" s="9" t="s">
        <v>1107</v>
      </c>
      <c r="K564" s="9" t="s">
        <v>49</v>
      </c>
      <c r="L564" s="13">
        <v>0</v>
      </c>
      <c r="M564" s="9" t="s">
        <v>34</v>
      </c>
    </row>
    <row r="565" spans="1:13" ht="20.25" customHeight="1" x14ac:dyDescent="0.25">
      <c r="A565" s="9" t="s">
        <v>1108</v>
      </c>
      <c r="B565" s="10">
        <v>45711</v>
      </c>
      <c r="C565" s="9" t="s">
        <v>62</v>
      </c>
      <c r="D565" s="9" t="s">
        <v>51</v>
      </c>
      <c r="E565" s="11" t="s">
        <v>58</v>
      </c>
      <c r="F565" s="11" t="s">
        <v>68</v>
      </c>
      <c r="G565" s="3">
        <v>1400</v>
      </c>
      <c r="H565" s="3">
        <v>880</v>
      </c>
      <c r="I565" s="12">
        <v>4</v>
      </c>
      <c r="J565" s="9" t="s">
        <v>1109</v>
      </c>
      <c r="K565" s="9" t="s">
        <v>49</v>
      </c>
      <c r="L565" s="13">
        <v>0</v>
      </c>
      <c r="M565" s="9" t="s">
        <v>34</v>
      </c>
    </row>
    <row r="566" spans="1:13" ht="20.25" customHeight="1" x14ac:dyDescent="0.25">
      <c r="A566" s="9" t="s">
        <v>1110</v>
      </c>
      <c r="B566" s="10">
        <v>45712</v>
      </c>
      <c r="C566" s="9" t="s">
        <v>28</v>
      </c>
      <c r="D566" s="9" t="s">
        <v>42</v>
      </c>
      <c r="E566" s="11" t="s">
        <v>58</v>
      </c>
      <c r="F566" s="11" t="s">
        <v>87</v>
      </c>
      <c r="G566" s="3">
        <v>540</v>
      </c>
      <c r="H566" s="3">
        <v>330</v>
      </c>
      <c r="I566" s="12">
        <v>3</v>
      </c>
      <c r="J566" s="9" t="s">
        <v>483</v>
      </c>
      <c r="K566" s="9" t="s">
        <v>33</v>
      </c>
      <c r="L566" s="13">
        <v>1</v>
      </c>
      <c r="M566" s="9" t="s">
        <v>34</v>
      </c>
    </row>
    <row r="567" spans="1:13" ht="20.25" customHeight="1" x14ac:dyDescent="0.25">
      <c r="A567" s="9" t="s">
        <v>1111</v>
      </c>
      <c r="B567" s="10">
        <v>45713</v>
      </c>
      <c r="C567" s="9" t="s">
        <v>28</v>
      </c>
      <c r="D567" s="9" t="s">
        <v>29</v>
      </c>
      <c r="E567" s="11" t="s">
        <v>43</v>
      </c>
      <c r="F567" s="11" t="s">
        <v>47</v>
      </c>
      <c r="G567" s="3">
        <v>110</v>
      </c>
      <c r="H567" s="3">
        <v>65</v>
      </c>
      <c r="I567" s="12">
        <v>1</v>
      </c>
      <c r="J567" s="9" t="s">
        <v>1112</v>
      </c>
      <c r="K567" s="9" t="s">
        <v>49</v>
      </c>
      <c r="L567" s="13">
        <v>0</v>
      </c>
      <c r="M567" s="9" t="s">
        <v>34</v>
      </c>
    </row>
    <row r="568" spans="1:13" ht="20.25" customHeight="1" x14ac:dyDescent="0.25">
      <c r="A568" s="9" t="s">
        <v>1113</v>
      </c>
      <c r="B568" s="10">
        <v>45713</v>
      </c>
      <c r="C568" s="9" t="s">
        <v>71</v>
      </c>
      <c r="D568" s="9" t="s">
        <v>29</v>
      </c>
      <c r="E568" s="11" t="s">
        <v>43</v>
      </c>
      <c r="F568" s="11" t="s">
        <v>90</v>
      </c>
      <c r="G568" s="3">
        <v>150</v>
      </c>
      <c r="H568" s="3">
        <v>90</v>
      </c>
      <c r="I568" s="12">
        <v>1</v>
      </c>
      <c r="J568" s="9" t="s">
        <v>351</v>
      </c>
      <c r="K568" s="9" t="s">
        <v>49</v>
      </c>
      <c r="L568" s="13">
        <v>0</v>
      </c>
      <c r="M568" s="9" t="s">
        <v>34</v>
      </c>
    </row>
    <row r="569" spans="1:13" ht="20.25" customHeight="1" x14ac:dyDescent="0.25">
      <c r="A569" s="9" t="s">
        <v>1114</v>
      </c>
      <c r="B569" s="10">
        <v>45714</v>
      </c>
      <c r="C569" s="9" t="s">
        <v>28</v>
      </c>
      <c r="D569" s="9" t="s">
        <v>42</v>
      </c>
      <c r="E569" s="11" t="s">
        <v>37</v>
      </c>
      <c r="F569" s="11" t="s">
        <v>38</v>
      </c>
      <c r="G569" s="3">
        <v>240</v>
      </c>
      <c r="H569" s="3">
        <v>140</v>
      </c>
      <c r="I569" s="12">
        <v>2</v>
      </c>
      <c r="J569" s="9" t="s">
        <v>1115</v>
      </c>
      <c r="K569" s="9" t="s">
        <v>33</v>
      </c>
      <c r="L569" s="13">
        <v>1</v>
      </c>
      <c r="M569" s="9" t="s">
        <v>34</v>
      </c>
    </row>
    <row r="570" spans="1:13" ht="20.25" customHeight="1" x14ac:dyDescent="0.25">
      <c r="A570" s="9" t="s">
        <v>1116</v>
      </c>
      <c r="B570" s="10">
        <v>45714</v>
      </c>
      <c r="C570" s="9" t="s">
        <v>41</v>
      </c>
      <c r="D570" s="9" t="s">
        <v>29</v>
      </c>
      <c r="E570" s="11" t="s">
        <v>30</v>
      </c>
      <c r="F570" s="11" t="s">
        <v>63</v>
      </c>
      <c r="G570" s="3">
        <v>3600</v>
      </c>
      <c r="H570" s="3">
        <v>2550</v>
      </c>
      <c r="I570" s="12">
        <v>3</v>
      </c>
      <c r="J570" s="9" t="s">
        <v>1117</v>
      </c>
      <c r="K570" s="9" t="s">
        <v>49</v>
      </c>
      <c r="L570" s="13">
        <v>0</v>
      </c>
      <c r="M570" s="9" t="s">
        <v>34</v>
      </c>
    </row>
    <row r="571" spans="1:13" ht="20.25" customHeight="1" x14ac:dyDescent="0.25">
      <c r="A571" s="9" t="s">
        <v>1118</v>
      </c>
      <c r="B571" s="10">
        <v>45714</v>
      </c>
      <c r="C571" s="9" t="s">
        <v>41</v>
      </c>
      <c r="D571" s="9" t="s">
        <v>51</v>
      </c>
      <c r="E571" s="11" t="s">
        <v>37</v>
      </c>
      <c r="F571" s="11" t="s">
        <v>38</v>
      </c>
      <c r="G571" s="3">
        <v>240</v>
      </c>
      <c r="H571" s="3">
        <v>140</v>
      </c>
      <c r="I571" s="12">
        <v>2</v>
      </c>
      <c r="J571" s="9" t="s">
        <v>1119</v>
      </c>
      <c r="K571" s="9" t="s">
        <v>49</v>
      </c>
      <c r="L571" s="13">
        <v>0</v>
      </c>
      <c r="M571" s="9" t="s">
        <v>34</v>
      </c>
    </row>
    <row r="572" spans="1:13" ht="20.25" customHeight="1" x14ac:dyDescent="0.25">
      <c r="A572" s="9" t="s">
        <v>1120</v>
      </c>
      <c r="B572" s="10">
        <v>45715</v>
      </c>
      <c r="C572" s="9" t="s">
        <v>28</v>
      </c>
      <c r="D572" s="9" t="s">
        <v>42</v>
      </c>
      <c r="E572" s="11" t="s">
        <v>43</v>
      </c>
      <c r="F572" s="11" t="s">
        <v>90</v>
      </c>
      <c r="G572" s="3">
        <v>150</v>
      </c>
      <c r="H572" s="3">
        <v>90</v>
      </c>
      <c r="I572" s="12">
        <v>1</v>
      </c>
      <c r="J572" s="9" t="s">
        <v>185</v>
      </c>
      <c r="K572" s="9" t="s">
        <v>49</v>
      </c>
      <c r="L572" s="13">
        <v>0</v>
      </c>
      <c r="M572" s="9" t="s">
        <v>34</v>
      </c>
    </row>
    <row r="573" spans="1:13" ht="20.25" customHeight="1" x14ac:dyDescent="0.25">
      <c r="A573" s="9" t="s">
        <v>1121</v>
      </c>
      <c r="B573" s="10">
        <v>45715</v>
      </c>
      <c r="C573" s="9" t="s">
        <v>71</v>
      </c>
      <c r="D573" s="9" t="s">
        <v>51</v>
      </c>
      <c r="E573" s="11" t="s">
        <v>30</v>
      </c>
      <c r="F573" s="11" t="s">
        <v>80</v>
      </c>
      <c r="G573" s="3">
        <v>4250</v>
      </c>
      <c r="H573" s="3">
        <v>3000</v>
      </c>
      <c r="I573" s="12">
        <v>5</v>
      </c>
      <c r="J573" s="9" t="s">
        <v>1122</v>
      </c>
      <c r="K573" s="9" t="s">
        <v>49</v>
      </c>
      <c r="L573" s="13">
        <v>0</v>
      </c>
      <c r="M573" s="9" t="s">
        <v>34</v>
      </c>
    </row>
    <row r="574" spans="1:13" ht="20.25" customHeight="1" x14ac:dyDescent="0.25">
      <c r="A574" s="9" t="s">
        <v>1123</v>
      </c>
      <c r="B574" s="10">
        <v>45716</v>
      </c>
      <c r="C574" s="9" t="s">
        <v>71</v>
      </c>
      <c r="D574" s="9" t="s">
        <v>51</v>
      </c>
      <c r="E574" s="11" t="s">
        <v>30</v>
      </c>
      <c r="F574" s="11" t="s">
        <v>80</v>
      </c>
      <c r="G574" s="3">
        <v>850</v>
      </c>
      <c r="H574" s="3">
        <v>600</v>
      </c>
      <c r="I574" s="12">
        <v>1</v>
      </c>
      <c r="J574" s="9" t="s">
        <v>1124</v>
      </c>
      <c r="K574" s="9" t="s">
        <v>49</v>
      </c>
      <c r="L574" s="13">
        <v>0</v>
      </c>
      <c r="M574" s="9" t="s">
        <v>34</v>
      </c>
    </row>
    <row r="575" spans="1:13" ht="20.25" customHeight="1" x14ac:dyDescent="0.25">
      <c r="A575" s="9" t="s">
        <v>1125</v>
      </c>
      <c r="B575" s="10">
        <v>45716</v>
      </c>
      <c r="C575" s="9" t="s">
        <v>36</v>
      </c>
      <c r="D575" s="9" t="s">
        <v>42</v>
      </c>
      <c r="E575" s="11" t="s">
        <v>43</v>
      </c>
      <c r="F575" s="11" t="s">
        <v>90</v>
      </c>
      <c r="G575" s="3">
        <v>300</v>
      </c>
      <c r="H575" s="3">
        <v>180</v>
      </c>
      <c r="I575" s="12">
        <v>2</v>
      </c>
      <c r="J575" s="9" t="s">
        <v>765</v>
      </c>
      <c r="K575" s="9" t="s">
        <v>49</v>
      </c>
      <c r="L575" s="13">
        <v>0</v>
      </c>
      <c r="M575" s="9" t="s">
        <v>34</v>
      </c>
    </row>
    <row r="576" spans="1:13" ht="20.25" customHeight="1" x14ac:dyDescent="0.25">
      <c r="A576" s="9" t="s">
        <v>1126</v>
      </c>
      <c r="B576" s="10">
        <v>45716</v>
      </c>
      <c r="C576" s="9" t="s">
        <v>62</v>
      </c>
      <c r="D576" s="9" t="s">
        <v>42</v>
      </c>
      <c r="E576" s="11" t="s">
        <v>30</v>
      </c>
      <c r="F576" s="11" t="s">
        <v>80</v>
      </c>
      <c r="G576" s="3">
        <v>2550</v>
      </c>
      <c r="H576" s="3">
        <v>1800</v>
      </c>
      <c r="I576" s="12">
        <v>3</v>
      </c>
      <c r="J576" s="9" t="s">
        <v>1127</v>
      </c>
      <c r="K576" s="9" t="s">
        <v>33</v>
      </c>
      <c r="L576" s="13">
        <v>1</v>
      </c>
      <c r="M576" s="9" t="s">
        <v>34</v>
      </c>
    </row>
    <row r="577" spans="1:13" ht="20.25" customHeight="1" x14ac:dyDescent="0.25">
      <c r="A577" s="9" t="s">
        <v>1128</v>
      </c>
      <c r="B577" s="10">
        <v>45717</v>
      </c>
      <c r="C577" s="9" t="s">
        <v>54</v>
      </c>
      <c r="D577" s="9" t="s">
        <v>29</v>
      </c>
      <c r="E577" s="11" t="s">
        <v>43</v>
      </c>
      <c r="F577" s="11" t="s">
        <v>44</v>
      </c>
      <c r="G577" s="3">
        <v>-45</v>
      </c>
      <c r="H577" s="3">
        <v>-20</v>
      </c>
      <c r="I577" s="12">
        <v>-1</v>
      </c>
      <c r="J577" s="9" t="s">
        <v>1129</v>
      </c>
      <c r="K577" s="9" t="s">
        <v>33</v>
      </c>
      <c r="L577" s="13">
        <v>1</v>
      </c>
      <c r="M577" s="9" t="s">
        <v>76</v>
      </c>
    </row>
    <row r="578" spans="1:13" ht="20.25" customHeight="1" x14ac:dyDescent="0.25">
      <c r="A578" s="9" t="s">
        <v>1130</v>
      </c>
      <c r="B578" s="10">
        <v>45717</v>
      </c>
      <c r="C578" s="9" t="s">
        <v>41</v>
      </c>
      <c r="D578" s="9" t="s">
        <v>29</v>
      </c>
      <c r="E578" s="11" t="s">
        <v>58</v>
      </c>
      <c r="F578" s="11" t="s">
        <v>68</v>
      </c>
      <c r="G578" s="3">
        <v>1050</v>
      </c>
      <c r="H578" s="3">
        <v>660</v>
      </c>
      <c r="I578" s="12">
        <v>3</v>
      </c>
      <c r="J578" s="9" t="s">
        <v>1131</v>
      </c>
      <c r="K578" s="9" t="s">
        <v>33</v>
      </c>
      <c r="L578" s="13">
        <v>1</v>
      </c>
      <c r="M578" s="9" t="s">
        <v>34</v>
      </c>
    </row>
    <row r="579" spans="1:13" ht="20.25" customHeight="1" x14ac:dyDescent="0.25">
      <c r="A579" s="9" t="s">
        <v>1132</v>
      </c>
      <c r="B579" s="10">
        <v>45717</v>
      </c>
      <c r="C579" s="9" t="s">
        <v>41</v>
      </c>
      <c r="D579" s="9" t="s">
        <v>29</v>
      </c>
      <c r="E579" s="11" t="s">
        <v>58</v>
      </c>
      <c r="F579" s="11" t="s">
        <v>68</v>
      </c>
      <c r="G579" s="3">
        <v>350</v>
      </c>
      <c r="H579" s="3">
        <v>220</v>
      </c>
      <c r="I579" s="12">
        <v>1</v>
      </c>
      <c r="J579" s="9" t="s">
        <v>213</v>
      </c>
      <c r="K579" s="9" t="s">
        <v>49</v>
      </c>
      <c r="L579" s="13">
        <v>0</v>
      </c>
      <c r="M579" s="9" t="s">
        <v>34</v>
      </c>
    </row>
    <row r="580" spans="1:13" ht="20.25" customHeight="1" x14ac:dyDescent="0.25">
      <c r="A580" s="9" t="s">
        <v>1133</v>
      </c>
      <c r="B580" s="10">
        <v>45717</v>
      </c>
      <c r="C580" s="9" t="s">
        <v>36</v>
      </c>
      <c r="D580" s="9" t="s">
        <v>51</v>
      </c>
      <c r="E580" s="11" t="s">
        <v>30</v>
      </c>
      <c r="F580" s="11" t="s">
        <v>63</v>
      </c>
      <c r="G580" s="3">
        <v>4800</v>
      </c>
      <c r="H580" s="3">
        <v>3400</v>
      </c>
      <c r="I580" s="12">
        <v>4</v>
      </c>
      <c r="J580" s="9" t="s">
        <v>1134</v>
      </c>
      <c r="K580" s="9" t="s">
        <v>49</v>
      </c>
      <c r="L580" s="13">
        <v>0</v>
      </c>
      <c r="M580" s="9" t="s">
        <v>34</v>
      </c>
    </row>
    <row r="581" spans="1:13" ht="20.25" customHeight="1" x14ac:dyDescent="0.25">
      <c r="A581" s="9" t="s">
        <v>1135</v>
      </c>
      <c r="B581" s="10">
        <v>45718</v>
      </c>
      <c r="C581" s="9" t="s">
        <v>62</v>
      </c>
      <c r="D581" s="9" t="s">
        <v>29</v>
      </c>
      <c r="E581" s="11" t="s">
        <v>43</v>
      </c>
      <c r="F581" s="11" t="s">
        <v>90</v>
      </c>
      <c r="G581" s="3">
        <v>150</v>
      </c>
      <c r="H581" s="3">
        <v>90</v>
      </c>
      <c r="I581" s="12">
        <v>1</v>
      </c>
      <c r="J581" s="9" t="s">
        <v>1136</v>
      </c>
      <c r="K581" s="9" t="s">
        <v>33</v>
      </c>
      <c r="L581" s="13">
        <v>1</v>
      </c>
      <c r="M581" s="9" t="s">
        <v>34</v>
      </c>
    </row>
    <row r="582" spans="1:13" ht="20.25" customHeight="1" x14ac:dyDescent="0.25">
      <c r="A582" s="9" t="s">
        <v>1137</v>
      </c>
      <c r="B582" s="10">
        <v>45718</v>
      </c>
      <c r="C582" s="9" t="s">
        <v>41</v>
      </c>
      <c r="D582" s="9" t="s">
        <v>51</v>
      </c>
      <c r="E582" s="11" t="s">
        <v>58</v>
      </c>
      <c r="F582" s="11" t="s">
        <v>59</v>
      </c>
      <c r="G582" s="3">
        <v>600</v>
      </c>
      <c r="H582" s="3">
        <v>360</v>
      </c>
      <c r="I582" s="12">
        <v>4</v>
      </c>
      <c r="J582" s="9" t="s">
        <v>1138</v>
      </c>
      <c r="K582" s="9" t="s">
        <v>49</v>
      </c>
      <c r="L582" s="13">
        <v>0</v>
      </c>
      <c r="M582" s="9" t="s">
        <v>34</v>
      </c>
    </row>
    <row r="583" spans="1:13" ht="20.25" customHeight="1" x14ac:dyDescent="0.25">
      <c r="A583" s="9" t="s">
        <v>1139</v>
      </c>
      <c r="B583" s="10">
        <v>45718</v>
      </c>
      <c r="C583" s="9" t="s">
        <v>41</v>
      </c>
      <c r="D583" s="9" t="s">
        <v>29</v>
      </c>
      <c r="E583" s="11" t="s">
        <v>58</v>
      </c>
      <c r="F583" s="11" t="s">
        <v>59</v>
      </c>
      <c r="G583" s="3">
        <v>150</v>
      </c>
      <c r="H583" s="3">
        <v>90</v>
      </c>
      <c r="I583" s="12">
        <v>1</v>
      </c>
      <c r="J583" s="9" t="s">
        <v>1140</v>
      </c>
      <c r="K583" s="9" t="s">
        <v>33</v>
      </c>
      <c r="L583" s="13">
        <v>1</v>
      </c>
      <c r="M583" s="9" t="s">
        <v>34</v>
      </c>
    </row>
    <row r="584" spans="1:13" ht="20.25" customHeight="1" x14ac:dyDescent="0.25">
      <c r="A584" s="9" t="s">
        <v>1141</v>
      </c>
      <c r="B584" s="10">
        <v>45719</v>
      </c>
      <c r="C584" s="9" t="s">
        <v>54</v>
      </c>
      <c r="D584" s="9" t="s">
        <v>51</v>
      </c>
      <c r="E584" s="11" t="s">
        <v>37</v>
      </c>
      <c r="F584" s="11" t="s">
        <v>55</v>
      </c>
      <c r="G584" s="3">
        <v>180</v>
      </c>
      <c r="H584" s="3">
        <v>110</v>
      </c>
      <c r="I584" s="12">
        <v>2</v>
      </c>
      <c r="J584" s="9" t="s">
        <v>1142</v>
      </c>
      <c r="K584" s="9" t="s">
        <v>33</v>
      </c>
      <c r="L584" s="13">
        <v>1</v>
      </c>
      <c r="M584" s="9" t="s">
        <v>34</v>
      </c>
    </row>
    <row r="585" spans="1:13" ht="20.25" customHeight="1" x14ac:dyDescent="0.25">
      <c r="A585" s="9" t="s">
        <v>1143</v>
      </c>
      <c r="B585" s="10">
        <v>45719</v>
      </c>
      <c r="C585" s="9" t="s">
        <v>28</v>
      </c>
      <c r="D585" s="9" t="s">
        <v>29</v>
      </c>
      <c r="E585" s="11" t="s">
        <v>37</v>
      </c>
      <c r="F585" s="11" t="s">
        <v>38</v>
      </c>
      <c r="G585" s="3">
        <v>120</v>
      </c>
      <c r="H585" s="3">
        <v>70</v>
      </c>
      <c r="I585" s="12">
        <v>1</v>
      </c>
      <c r="J585" s="9" t="s">
        <v>537</v>
      </c>
      <c r="K585" s="9" t="s">
        <v>33</v>
      </c>
      <c r="L585" s="13">
        <v>1</v>
      </c>
      <c r="M585" s="9" t="s">
        <v>34</v>
      </c>
    </row>
    <row r="586" spans="1:13" ht="20.25" customHeight="1" x14ac:dyDescent="0.25">
      <c r="A586" s="9" t="s">
        <v>1144</v>
      </c>
      <c r="B586" s="10">
        <v>45719</v>
      </c>
      <c r="C586" s="9" t="s">
        <v>54</v>
      </c>
      <c r="D586" s="9" t="s">
        <v>51</v>
      </c>
      <c r="E586" s="11" t="s">
        <v>43</v>
      </c>
      <c r="F586" s="11" t="s">
        <v>44</v>
      </c>
      <c r="G586" s="3">
        <v>45</v>
      </c>
      <c r="H586" s="3">
        <v>20</v>
      </c>
      <c r="I586" s="12">
        <v>1</v>
      </c>
      <c r="J586" s="9" t="s">
        <v>1145</v>
      </c>
      <c r="K586" s="9" t="s">
        <v>49</v>
      </c>
      <c r="L586" s="13">
        <v>0</v>
      </c>
      <c r="M586" s="9" t="s">
        <v>34</v>
      </c>
    </row>
    <row r="587" spans="1:13" ht="20.25" customHeight="1" x14ac:dyDescent="0.25">
      <c r="A587" s="9" t="s">
        <v>1146</v>
      </c>
      <c r="B587" s="10">
        <v>45720</v>
      </c>
      <c r="C587" s="9" t="s">
        <v>28</v>
      </c>
      <c r="D587" s="9" t="s">
        <v>51</v>
      </c>
      <c r="E587" s="11" t="s">
        <v>58</v>
      </c>
      <c r="F587" s="11" t="s">
        <v>59</v>
      </c>
      <c r="G587" s="3">
        <v>150</v>
      </c>
      <c r="H587" s="3">
        <v>90</v>
      </c>
      <c r="I587" s="12">
        <v>1</v>
      </c>
      <c r="J587" s="9" t="s">
        <v>1147</v>
      </c>
      <c r="K587" s="9" t="s">
        <v>49</v>
      </c>
      <c r="L587" s="13">
        <v>0</v>
      </c>
      <c r="M587" s="9" t="s">
        <v>34</v>
      </c>
    </row>
    <row r="588" spans="1:13" ht="20.25" customHeight="1" x14ac:dyDescent="0.25">
      <c r="A588" s="9" t="s">
        <v>1148</v>
      </c>
      <c r="B588" s="10">
        <v>45720</v>
      </c>
      <c r="C588" s="9" t="s">
        <v>36</v>
      </c>
      <c r="D588" s="9" t="s">
        <v>29</v>
      </c>
      <c r="E588" s="11" t="s">
        <v>58</v>
      </c>
      <c r="F588" s="11" t="s">
        <v>87</v>
      </c>
      <c r="G588" s="3">
        <v>360</v>
      </c>
      <c r="H588" s="3">
        <v>220</v>
      </c>
      <c r="I588" s="12">
        <v>2</v>
      </c>
      <c r="J588" s="9" t="s">
        <v>1149</v>
      </c>
      <c r="K588" s="9" t="s">
        <v>49</v>
      </c>
      <c r="L588" s="13">
        <v>0</v>
      </c>
      <c r="M588" s="9" t="s">
        <v>34</v>
      </c>
    </row>
    <row r="589" spans="1:13" ht="20.25" customHeight="1" x14ac:dyDescent="0.25">
      <c r="A589" s="9" t="s">
        <v>1150</v>
      </c>
      <c r="B589" s="10">
        <v>45721</v>
      </c>
      <c r="C589" s="9" t="s">
        <v>36</v>
      </c>
      <c r="D589" s="9" t="s">
        <v>29</v>
      </c>
      <c r="E589" s="11" t="s">
        <v>43</v>
      </c>
      <c r="F589" s="11" t="s">
        <v>90</v>
      </c>
      <c r="G589" s="3">
        <v>-150</v>
      </c>
      <c r="H589" s="3">
        <v>-90</v>
      </c>
      <c r="I589" s="12">
        <v>-1</v>
      </c>
      <c r="J589" s="9" t="s">
        <v>1151</v>
      </c>
      <c r="K589" s="9" t="s">
        <v>33</v>
      </c>
      <c r="L589" s="13">
        <v>1</v>
      </c>
      <c r="M589" s="9" t="s">
        <v>76</v>
      </c>
    </row>
    <row r="590" spans="1:13" ht="20.25" customHeight="1" x14ac:dyDescent="0.25">
      <c r="A590" s="9" t="s">
        <v>1152</v>
      </c>
      <c r="B590" s="10">
        <v>45721</v>
      </c>
      <c r="C590" s="9" t="s">
        <v>62</v>
      </c>
      <c r="D590" s="9" t="s">
        <v>51</v>
      </c>
      <c r="E590" s="11" t="s">
        <v>37</v>
      </c>
      <c r="F590" s="11" t="s">
        <v>38</v>
      </c>
      <c r="G590" s="3">
        <v>120</v>
      </c>
      <c r="H590" s="3">
        <v>70</v>
      </c>
      <c r="I590" s="12">
        <v>1</v>
      </c>
      <c r="J590" s="9" t="s">
        <v>1153</v>
      </c>
      <c r="K590" s="9" t="s">
        <v>33</v>
      </c>
      <c r="L590" s="13">
        <v>1</v>
      </c>
      <c r="M590" s="9" t="s">
        <v>34</v>
      </c>
    </row>
    <row r="591" spans="1:13" ht="20.25" customHeight="1" x14ac:dyDescent="0.25">
      <c r="A591" s="9" t="s">
        <v>1154</v>
      </c>
      <c r="B591" s="10">
        <v>45722</v>
      </c>
      <c r="C591" s="9" t="s">
        <v>54</v>
      </c>
      <c r="D591" s="9" t="s">
        <v>29</v>
      </c>
      <c r="E591" s="11" t="s">
        <v>30</v>
      </c>
      <c r="F591" s="11" t="s">
        <v>80</v>
      </c>
      <c r="G591" s="3">
        <v>-850</v>
      </c>
      <c r="H591" s="3">
        <v>-600</v>
      </c>
      <c r="I591" s="12">
        <v>-1</v>
      </c>
      <c r="J591" s="9" t="s">
        <v>1155</v>
      </c>
      <c r="K591" s="9" t="s">
        <v>49</v>
      </c>
      <c r="L591" s="13">
        <v>0</v>
      </c>
      <c r="M591" s="9" t="s">
        <v>76</v>
      </c>
    </row>
    <row r="592" spans="1:13" ht="20.25" customHeight="1" x14ac:dyDescent="0.25">
      <c r="A592" s="9" t="s">
        <v>1156</v>
      </c>
      <c r="B592" s="10">
        <v>45722</v>
      </c>
      <c r="C592" s="9" t="s">
        <v>41</v>
      </c>
      <c r="D592" s="9" t="s">
        <v>29</v>
      </c>
      <c r="E592" s="11" t="s">
        <v>30</v>
      </c>
      <c r="F592" s="11" t="s">
        <v>80</v>
      </c>
      <c r="G592" s="3">
        <v>3400</v>
      </c>
      <c r="H592" s="3">
        <v>2400</v>
      </c>
      <c r="I592" s="12">
        <v>4</v>
      </c>
      <c r="J592" s="9" t="s">
        <v>1157</v>
      </c>
      <c r="K592" s="9" t="s">
        <v>49</v>
      </c>
      <c r="L592" s="13">
        <v>0</v>
      </c>
      <c r="M592" s="9" t="s">
        <v>34</v>
      </c>
    </row>
    <row r="593" spans="1:13" ht="20.25" customHeight="1" x14ac:dyDescent="0.25">
      <c r="A593" s="9" t="s">
        <v>1158</v>
      </c>
      <c r="B593" s="10">
        <v>45722</v>
      </c>
      <c r="C593" s="9" t="s">
        <v>41</v>
      </c>
      <c r="D593" s="9" t="s">
        <v>42</v>
      </c>
      <c r="E593" s="11" t="s">
        <v>43</v>
      </c>
      <c r="F593" s="11" t="s">
        <v>44</v>
      </c>
      <c r="G593" s="3">
        <v>45</v>
      </c>
      <c r="H593" s="3">
        <v>20</v>
      </c>
      <c r="I593" s="12">
        <v>1</v>
      </c>
      <c r="J593" s="9" t="s">
        <v>199</v>
      </c>
      <c r="K593" s="9" t="s">
        <v>49</v>
      </c>
      <c r="L593" s="13">
        <v>0</v>
      </c>
      <c r="M593" s="9" t="s">
        <v>34</v>
      </c>
    </row>
    <row r="594" spans="1:13" ht="20.25" customHeight="1" x14ac:dyDescent="0.25">
      <c r="A594" s="9" t="s">
        <v>1159</v>
      </c>
      <c r="B594" s="10">
        <v>45723</v>
      </c>
      <c r="C594" s="9" t="s">
        <v>71</v>
      </c>
      <c r="D594" s="9" t="s">
        <v>51</v>
      </c>
      <c r="E594" s="11" t="s">
        <v>58</v>
      </c>
      <c r="F594" s="11" t="s">
        <v>87</v>
      </c>
      <c r="G594" s="3">
        <v>180</v>
      </c>
      <c r="H594" s="3">
        <v>110</v>
      </c>
      <c r="I594" s="12">
        <v>1</v>
      </c>
      <c r="J594" s="9" t="s">
        <v>278</v>
      </c>
      <c r="K594" s="9" t="s">
        <v>33</v>
      </c>
      <c r="L594" s="13">
        <v>1</v>
      </c>
      <c r="M594" s="9" t="s">
        <v>34</v>
      </c>
    </row>
    <row r="595" spans="1:13" ht="20.25" customHeight="1" x14ac:dyDescent="0.25">
      <c r="A595" s="9" t="s">
        <v>1160</v>
      </c>
      <c r="B595" s="10">
        <v>45724</v>
      </c>
      <c r="C595" s="9" t="s">
        <v>62</v>
      </c>
      <c r="D595" s="9" t="s">
        <v>42</v>
      </c>
      <c r="E595" s="11" t="s">
        <v>37</v>
      </c>
      <c r="F595" s="11" t="s">
        <v>55</v>
      </c>
      <c r="G595" s="3">
        <v>90</v>
      </c>
      <c r="H595" s="3">
        <v>55</v>
      </c>
      <c r="I595" s="12">
        <v>1</v>
      </c>
      <c r="J595" s="9" t="s">
        <v>1161</v>
      </c>
      <c r="K595" s="9" t="s">
        <v>49</v>
      </c>
      <c r="L595" s="13">
        <v>0</v>
      </c>
      <c r="M595" s="9" t="s">
        <v>34</v>
      </c>
    </row>
    <row r="596" spans="1:13" ht="20.25" customHeight="1" x14ac:dyDescent="0.25">
      <c r="A596" s="9" t="s">
        <v>1162</v>
      </c>
      <c r="B596" s="10">
        <v>45724</v>
      </c>
      <c r="C596" s="9" t="s">
        <v>36</v>
      </c>
      <c r="D596" s="9" t="s">
        <v>29</v>
      </c>
      <c r="E596" s="11" t="s">
        <v>58</v>
      </c>
      <c r="F596" s="11" t="s">
        <v>87</v>
      </c>
      <c r="G596" s="3">
        <v>180</v>
      </c>
      <c r="H596" s="3">
        <v>110</v>
      </c>
      <c r="I596" s="12">
        <v>1</v>
      </c>
      <c r="J596" s="9" t="s">
        <v>1163</v>
      </c>
      <c r="K596" s="9" t="s">
        <v>33</v>
      </c>
      <c r="L596" s="13">
        <v>1</v>
      </c>
      <c r="M596" s="9" t="s">
        <v>34</v>
      </c>
    </row>
    <row r="597" spans="1:13" ht="20.25" customHeight="1" x14ac:dyDescent="0.25">
      <c r="A597" s="9" t="s">
        <v>1164</v>
      </c>
      <c r="B597" s="10">
        <v>45724</v>
      </c>
      <c r="C597" s="9" t="s">
        <v>36</v>
      </c>
      <c r="D597" s="9" t="s">
        <v>29</v>
      </c>
      <c r="E597" s="11" t="s">
        <v>30</v>
      </c>
      <c r="F597" s="11" t="s">
        <v>31</v>
      </c>
      <c r="G597" s="3">
        <v>650</v>
      </c>
      <c r="H597" s="3">
        <v>450</v>
      </c>
      <c r="I597" s="12">
        <v>1</v>
      </c>
      <c r="J597" s="9" t="s">
        <v>984</v>
      </c>
      <c r="K597" s="9" t="s">
        <v>49</v>
      </c>
      <c r="L597" s="13">
        <v>0</v>
      </c>
      <c r="M597" s="9" t="s">
        <v>34</v>
      </c>
    </row>
    <row r="598" spans="1:13" ht="20.25" customHeight="1" x14ac:dyDescent="0.25">
      <c r="A598" s="9" t="s">
        <v>1165</v>
      </c>
      <c r="B598" s="10">
        <v>45724</v>
      </c>
      <c r="C598" s="9" t="s">
        <v>28</v>
      </c>
      <c r="D598" s="9" t="s">
        <v>42</v>
      </c>
      <c r="E598" s="11" t="s">
        <v>37</v>
      </c>
      <c r="F598" s="11" t="s">
        <v>38</v>
      </c>
      <c r="G598" s="3">
        <v>120</v>
      </c>
      <c r="H598" s="3">
        <v>70</v>
      </c>
      <c r="I598" s="12">
        <v>1</v>
      </c>
      <c r="J598" s="9" t="s">
        <v>1166</v>
      </c>
      <c r="K598" s="9" t="s">
        <v>33</v>
      </c>
      <c r="L598" s="13">
        <v>1</v>
      </c>
      <c r="M598" s="9" t="s">
        <v>34</v>
      </c>
    </row>
    <row r="599" spans="1:13" ht="20.25" customHeight="1" x14ac:dyDescent="0.25">
      <c r="A599" s="9" t="s">
        <v>1167</v>
      </c>
      <c r="B599" s="10">
        <v>45725</v>
      </c>
      <c r="C599" s="9" t="s">
        <v>41</v>
      </c>
      <c r="D599" s="9" t="s">
        <v>51</v>
      </c>
      <c r="E599" s="11" t="s">
        <v>30</v>
      </c>
      <c r="F599" s="11" t="s">
        <v>80</v>
      </c>
      <c r="G599" s="3">
        <v>2550</v>
      </c>
      <c r="H599" s="3">
        <v>1800</v>
      </c>
      <c r="I599" s="12">
        <v>3</v>
      </c>
      <c r="J599" s="9" t="s">
        <v>1168</v>
      </c>
      <c r="K599" s="9" t="s">
        <v>33</v>
      </c>
      <c r="L599" s="13">
        <v>1</v>
      </c>
      <c r="M599" s="9" t="s">
        <v>34</v>
      </c>
    </row>
    <row r="600" spans="1:13" ht="20.25" customHeight="1" x14ac:dyDescent="0.25">
      <c r="A600" s="9" t="s">
        <v>1169</v>
      </c>
      <c r="B600" s="10">
        <v>45725</v>
      </c>
      <c r="C600" s="9" t="s">
        <v>41</v>
      </c>
      <c r="D600" s="9" t="s">
        <v>51</v>
      </c>
      <c r="E600" s="11" t="s">
        <v>58</v>
      </c>
      <c r="F600" s="11" t="s">
        <v>68</v>
      </c>
      <c r="G600" s="3">
        <v>700</v>
      </c>
      <c r="H600" s="3">
        <v>440</v>
      </c>
      <c r="I600" s="12">
        <v>2</v>
      </c>
      <c r="J600" s="9" t="s">
        <v>288</v>
      </c>
      <c r="K600" s="9" t="s">
        <v>49</v>
      </c>
      <c r="L600" s="13">
        <v>0</v>
      </c>
      <c r="M600" s="9" t="s">
        <v>34</v>
      </c>
    </row>
    <row r="601" spans="1:13" ht="20.25" customHeight="1" x14ac:dyDescent="0.25">
      <c r="A601" s="9" t="s">
        <v>1170</v>
      </c>
      <c r="B601" s="10">
        <v>45726</v>
      </c>
      <c r="C601" s="9" t="s">
        <v>36</v>
      </c>
      <c r="D601" s="9" t="s">
        <v>29</v>
      </c>
      <c r="E601" s="11" t="s">
        <v>58</v>
      </c>
      <c r="F601" s="11" t="s">
        <v>68</v>
      </c>
      <c r="G601" s="3">
        <v>-350</v>
      </c>
      <c r="H601" s="3">
        <v>-220</v>
      </c>
      <c r="I601" s="12">
        <v>-1</v>
      </c>
      <c r="J601" s="9" t="s">
        <v>1171</v>
      </c>
      <c r="K601" s="9" t="s">
        <v>49</v>
      </c>
      <c r="L601" s="13">
        <v>0</v>
      </c>
      <c r="M601" s="9" t="s">
        <v>76</v>
      </c>
    </row>
    <row r="602" spans="1:13" ht="20.25" customHeight="1" x14ac:dyDescent="0.25">
      <c r="A602" s="9" t="s">
        <v>1172</v>
      </c>
      <c r="B602" s="10">
        <v>45727</v>
      </c>
      <c r="C602" s="9" t="s">
        <v>28</v>
      </c>
      <c r="D602" s="9" t="s">
        <v>29</v>
      </c>
      <c r="E602" s="11" t="s">
        <v>58</v>
      </c>
      <c r="F602" s="11" t="s">
        <v>59</v>
      </c>
      <c r="G602" s="3">
        <v>150</v>
      </c>
      <c r="H602" s="3">
        <v>90</v>
      </c>
      <c r="I602" s="12">
        <v>1</v>
      </c>
      <c r="J602" s="9" t="s">
        <v>403</v>
      </c>
      <c r="K602" s="9" t="s">
        <v>49</v>
      </c>
      <c r="L602" s="13">
        <v>0</v>
      </c>
      <c r="M602" s="9" t="s">
        <v>34</v>
      </c>
    </row>
    <row r="603" spans="1:13" ht="20.25" customHeight="1" x14ac:dyDescent="0.25">
      <c r="A603" s="9" t="s">
        <v>1173</v>
      </c>
      <c r="B603" s="10">
        <v>45727</v>
      </c>
      <c r="C603" s="9" t="s">
        <v>54</v>
      </c>
      <c r="D603" s="9" t="s">
        <v>29</v>
      </c>
      <c r="E603" s="11" t="s">
        <v>37</v>
      </c>
      <c r="F603" s="11" t="s">
        <v>55</v>
      </c>
      <c r="G603" s="3">
        <v>-180</v>
      </c>
      <c r="H603" s="3">
        <v>-110</v>
      </c>
      <c r="I603" s="12">
        <v>-2</v>
      </c>
      <c r="J603" s="9" t="s">
        <v>161</v>
      </c>
      <c r="K603" s="9" t="s">
        <v>49</v>
      </c>
      <c r="L603" s="13">
        <v>0</v>
      </c>
      <c r="M603" s="9" t="s">
        <v>76</v>
      </c>
    </row>
    <row r="604" spans="1:13" ht="20.25" customHeight="1" x14ac:dyDescent="0.25">
      <c r="A604" s="9" t="s">
        <v>1174</v>
      </c>
      <c r="B604" s="10">
        <v>45728</v>
      </c>
      <c r="C604" s="9" t="s">
        <v>28</v>
      </c>
      <c r="D604" s="9" t="s">
        <v>29</v>
      </c>
      <c r="E604" s="11" t="s">
        <v>43</v>
      </c>
      <c r="F604" s="11" t="s">
        <v>47</v>
      </c>
      <c r="G604" s="3">
        <v>110</v>
      </c>
      <c r="H604" s="3">
        <v>65</v>
      </c>
      <c r="I604" s="12">
        <v>1</v>
      </c>
      <c r="J604" s="9" t="s">
        <v>908</v>
      </c>
      <c r="K604" s="9" t="s">
        <v>33</v>
      </c>
      <c r="L604" s="13">
        <v>1</v>
      </c>
      <c r="M604" s="9" t="s">
        <v>34</v>
      </c>
    </row>
    <row r="605" spans="1:13" ht="20.25" customHeight="1" x14ac:dyDescent="0.25">
      <c r="A605" s="9" t="s">
        <v>1175</v>
      </c>
      <c r="B605" s="10">
        <v>45728</v>
      </c>
      <c r="C605" s="9" t="s">
        <v>41</v>
      </c>
      <c r="D605" s="9" t="s">
        <v>29</v>
      </c>
      <c r="E605" s="11" t="s">
        <v>43</v>
      </c>
      <c r="F605" s="11" t="s">
        <v>90</v>
      </c>
      <c r="G605" s="3">
        <v>300</v>
      </c>
      <c r="H605" s="3">
        <v>180</v>
      </c>
      <c r="I605" s="12">
        <v>2</v>
      </c>
      <c r="J605" s="9" t="s">
        <v>1176</v>
      </c>
      <c r="K605" s="9" t="s">
        <v>49</v>
      </c>
      <c r="L605" s="13">
        <v>0</v>
      </c>
      <c r="M605" s="9" t="s">
        <v>34</v>
      </c>
    </row>
    <row r="606" spans="1:13" ht="20.25" customHeight="1" x14ac:dyDescent="0.25">
      <c r="A606" s="9" t="s">
        <v>1177</v>
      </c>
      <c r="B606" s="10">
        <v>45728</v>
      </c>
      <c r="C606" s="9" t="s">
        <v>62</v>
      </c>
      <c r="D606" s="9" t="s">
        <v>29</v>
      </c>
      <c r="E606" s="11" t="s">
        <v>30</v>
      </c>
      <c r="F606" s="11" t="s">
        <v>31</v>
      </c>
      <c r="G606" s="3">
        <v>650</v>
      </c>
      <c r="H606" s="3">
        <v>450</v>
      </c>
      <c r="I606" s="12">
        <v>1</v>
      </c>
      <c r="J606" s="9" t="s">
        <v>1178</v>
      </c>
      <c r="K606" s="9" t="s">
        <v>33</v>
      </c>
      <c r="L606" s="13">
        <v>1</v>
      </c>
      <c r="M606" s="9" t="s">
        <v>34</v>
      </c>
    </row>
    <row r="607" spans="1:13" ht="20.25" customHeight="1" x14ac:dyDescent="0.25">
      <c r="A607" s="9" t="s">
        <v>1179</v>
      </c>
      <c r="B607" s="10">
        <v>45728</v>
      </c>
      <c r="C607" s="9" t="s">
        <v>36</v>
      </c>
      <c r="D607" s="9" t="s">
        <v>42</v>
      </c>
      <c r="E607" s="11" t="s">
        <v>30</v>
      </c>
      <c r="F607" s="11" t="s">
        <v>63</v>
      </c>
      <c r="G607" s="3">
        <v>1200</v>
      </c>
      <c r="H607" s="3">
        <v>850</v>
      </c>
      <c r="I607" s="12">
        <v>1</v>
      </c>
      <c r="J607" s="9" t="s">
        <v>1180</v>
      </c>
      <c r="K607" s="9" t="s">
        <v>49</v>
      </c>
      <c r="L607" s="13">
        <v>0</v>
      </c>
      <c r="M607" s="9" t="s">
        <v>34</v>
      </c>
    </row>
    <row r="608" spans="1:13" ht="20.25" customHeight="1" x14ac:dyDescent="0.25">
      <c r="A608" s="9" t="s">
        <v>1181</v>
      </c>
      <c r="B608" s="10">
        <v>45729</v>
      </c>
      <c r="C608" s="9" t="s">
        <v>28</v>
      </c>
      <c r="D608" s="9" t="s">
        <v>29</v>
      </c>
      <c r="E608" s="11" t="s">
        <v>58</v>
      </c>
      <c r="F608" s="11" t="s">
        <v>59</v>
      </c>
      <c r="G608" s="3">
        <v>150</v>
      </c>
      <c r="H608" s="3">
        <v>90</v>
      </c>
      <c r="I608" s="12">
        <v>1</v>
      </c>
      <c r="J608" s="9" t="s">
        <v>431</v>
      </c>
      <c r="K608" s="9" t="s">
        <v>33</v>
      </c>
      <c r="L608" s="13">
        <v>1</v>
      </c>
      <c r="M608" s="9" t="s">
        <v>34</v>
      </c>
    </row>
    <row r="609" spans="1:13" ht="20.25" customHeight="1" x14ac:dyDescent="0.25">
      <c r="A609" s="9" t="s">
        <v>1182</v>
      </c>
      <c r="B609" s="10">
        <v>45729</v>
      </c>
      <c r="C609" s="9" t="s">
        <v>41</v>
      </c>
      <c r="D609" s="9" t="s">
        <v>51</v>
      </c>
      <c r="E609" s="11" t="s">
        <v>43</v>
      </c>
      <c r="F609" s="11" t="s">
        <v>90</v>
      </c>
      <c r="G609" s="3">
        <v>450</v>
      </c>
      <c r="H609" s="3">
        <v>270</v>
      </c>
      <c r="I609" s="12">
        <v>3</v>
      </c>
      <c r="J609" s="9" t="s">
        <v>1183</v>
      </c>
      <c r="K609" s="9" t="s">
        <v>33</v>
      </c>
      <c r="L609" s="13">
        <v>1</v>
      </c>
      <c r="M609" s="9" t="s">
        <v>34</v>
      </c>
    </row>
    <row r="610" spans="1:13" ht="20.25" customHeight="1" x14ac:dyDescent="0.25">
      <c r="A610" s="9" t="s">
        <v>1184</v>
      </c>
      <c r="B610" s="10">
        <v>45730</v>
      </c>
      <c r="C610" s="9" t="s">
        <v>54</v>
      </c>
      <c r="D610" s="9" t="s">
        <v>42</v>
      </c>
      <c r="E610" s="11" t="s">
        <v>43</v>
      </c>
      <c r="F610" s="11" t="s">
        <v>47</v>
      </c>
      <c r="G610" s="3">
        <v>110</v>
      </c>
      <c r="H610" s="3">
        <v>65</v>
      </c>
      <c r="I610" s="12">
        <v>1</v>
      </c>
      <c r="J610" s="9" t="s">
        <v>1185</v>
      </c>
      <c r="K610" s="9" t="s">
        <v>49</v>
      </c>
      <c r="L610" s="13">
        <v>0</v>
      </c>
      <c r="M610" s="9" t="s">
        <v>34</v>
      </c>
    </row>
    <row r="611" spans="1:13" ht="20.25" customHeight="1" x14ac:dyDescent="0.25">
      <c r="A611" s="9" t="s">
        <v>1186</v>
      </c>
      <c r="B611" s="10">
        <v>45731</v>
      </c>
      <c r="C611" s="9" t="s">
        <v>71</v>
      </c>
      <c r="D611" s="9" t="s">
        <v>51</v>
      </c>
      <c r="E611" s="11" t="s">
        <v>43</v>
      </c>
      <c r="F611" s="11" t="s">
        <v>44</v>
      </c>
      <c r="G611" s="3">
        <v>45</v>
      </c>
      <c r="H611" s="3">
        <v>20</v>
      </c>
      <c r="I611" s="12">
        <v>1</v>
      </c>
      <c r="J611" s="9" t="s">
        <v>1187</v>
      </c>
      <c r="K611" s="9" t="s">
        <v>49</v>
      </c>
      <c r="L611" s="13">
        <v>0</v>
      </c>
      <c r="M611" s="9" t="s">
        <v>34</v>
      </c>
    </row>
    <row r="612" spans="1:13" ht="20.25" customHeight="1" x14ac:dyDescent="0.25">
      <c r="A612" s="9" t="s">
        <v>1188</v>
      </c>
      <c r="B612" s="10">
        <v>45732</v>
      </c>
      <c r="C612" s="9" t="s">
        <v>62</v>
      </c>
      <c r="D612" s="9" t="s">
        <v>29</v>
      </c>
      <c r="E612" s="11" t="s">
        <v>58</v>
      </c>
      <c r="F612" s="11" t="s">
        <v>68</v>
      </c>
      <c r="G612" s="3">
        <v>350</v>
      </c>
      <c r="H612" s="3">
        <v>220</v>
      </c>
      <c r="I612" s="12">
        <v>1</v>
      </c>
      <c r="J612" s="9" t="s">
        <v>1189</v>
      </c>
      <c r="K612" s="9" t="s">
        <v>49</v>
      </c>
      <c r="L612" s="13">
        <v>0</v>
      </c>
      <c r="M612" s="9" t="s">
        <v>34</v>
      </c>
    </row>
    <row r="613" spans="1:13" ht="20.25" customHeight="1" x14ac:dyDescent="0.25">
      <c r="A613" s="9" t="s">
        <v>1190</v>
      </c>
      <c r="B613" s="10">
        <v>45732</v>
      </c>
      <c r="C613" s="9" t="s">
        <v>28</v>
      </c>
      <c r="D613" s="9" t="s">
        <v>51</v>
      </c>
      <c r="E613" s="11" t="s">
        <v>58</v>
      </c>
      <c r="F613" s="11" t="s">
        <v>68</v>
      </c>
      <c r="G613" s="3">
        <v>700</v>
      </c>
      <c r="H613" s="3">
        <v>440</v>
      </c>
      <c r="I613" s="12">
        <v>2</v>
      </c>
      <c r="J613" s="9" t="s">
        <v>1191</v>
      </c>
      <c r="K613" s="9" t="s">
        <v>49</v>
      </c>
      <c r="L613" s="13">
        <v>0</v>
      </c>
      <c r="M613" s="9" t="s">
        <v>34</v>
      </c>
    </row>
    <row r="614" spans="1:13" ht="20.25" customHeight="1" x14ac:dyDescent="0.25">
      <c r="A614" s="9" t="s">
        <v>1192</v>
      </c>
      <c r="B614" s="10">
        <v>45732</v>
      </c>
      <c r="C614" s="9" t="s">
        <v>71</v>
      </c>
      <c r="D614" s="9" t="s">
        <v>51</v>
      </c>
      <c r="E614" s="11" t="s">
        <v>58</v>
      </c>
      <c r="F614" s="11" t="s">
        <v>87</v>
      </c>
      <c r="G614" s="3">
        <v>540</v>
      </c>
      <c r="H614" s="3">
        <v>330</v>
      </c>
      <c r="I614" s="12">
        <v>3</v>
      </c>
      <c r="J614" s="9" t="s">
        <v>1193</v>
      </c>
      <c r="K614" s="9" t="s">
        <v>49</v>
      </c>
      <c r="L614" s="13">
        <v>0</v>
      </c>
      <c r="M614" s="9" t="s">
        <v>34</v>
      </c>
    </row>
    <row r="615" spans="1:13" ht="20.25" customHeight="1" x14ac:dyDescent="0.25">
      <c r="A615" s="9" t="s">
        <v>1194</v>
      </c>
      <c r="B615" s="10">
        <v>45732</v>
      </c>
      <c r="C615" s="9" t="s">
        <v>41</v>
      </c>
      <c r="D615" s="9" t="s">
        <v>51</v>
      </c>
      <c r="E615" s="11" t="s">
        <v>30</v>
      </c>
      <c r="F615" s="11" t="s">
        <v>31</v>
      </c>
      <c r="G615" s="3">
        <v>650</v>
      </c>
      <c r="H615" s="3">
        <v>450</v>
      </c>
      <c r="I615" s="12">
        <v>1</v>
      </c>
      <c r="J615" s="9" t="s">
        <v>765</v>
      </c>
      <c r="K615" s="9" t="s">
        <v>49</v>
      </c>
      <c r="L615" s="13">
        <v>0</v>
      </c>
      <c r="M615" s="9" t="s">
        <v>34</v>
      </c>
    </row>
    <row r="616" spans="1:13" ht="20.25" customHeight="1" x14ac:dyDescent="0.25">
      <c r="A616" s="9" t="s">
        <v>1195</v>
      </c>
      <c r="B616" s="10">
        <v>45733</v>
      </c>
      <c r="C616" s="9" t="s">
        <v>54</v>
      </c>
      <c r="D616" s="9" t="s">
        <v>51</v>
      </c>
      <c r="E616" s="11" t="s">
        <v>30</v>
      </c>
      <c r="F616" s="11" t="s">
        <v>31</v>
      </c>
      <c r="G616" s="3">
        <v>650</v>
      </c>
      <c r="H616" s="3">
        <v>450</v>
      </c>
      <c r="I616" s="12">
        <v>1</v>
      </c>
      <c r="J616" s="9" t="s">
        <v>1196</v>
      </c>
      <c r="K616" s="9" t="s">
        <v>49</v>
      </c>
      <c r="L616" s="13">
        <v>0</v>
      </c>
      <c r="M616" s="9" t="s">
        <v>34</v>
      </c>
    </row>
    <row r="617" spans="1:13" ht="20.25" customHeight="1" x14ac:dyDescent="0.25">
      <c r="A617" s="9" t="s">
        <v>1197</v>
      </c>
      <c r="B617" s="10">
        <v>45734</v>
      </c>
      <c r="C617" s="9" t="s">
        <v>28</v>
      </c>
      <c r="D617" s="9" t="s">
        <v>42</v>
      </c>
      <c r="E617" s="11" t="s">
        <v>43</v>
      </c>
      <c r="F617" s="11" t="s">
        <v>47</v>
      </c>
      <c r="G617" s="3">
        <v>330</v>
      </c>
      <c r="H617" s="3">
        <v>195</v>
      </c>
      <c r="I617" s="12">
        <v>3</v>
      </c>
      <c r="J617" s="9" t="s">
        <v>97</v>
      </c>
      <c r="K617" s="9" t="s">
        <v>49</v>
      </c>
      <c r="L617" s="13">
        <v>0</v>
      </c>
      <c r="M617" s="9" t="s">
        <v>34</v>
      </c>
    </row>
    <row r="618" spans="1:13" ht="20.25" customHeight="1" x14ac:dyDescent="0.25">
      <c r="A618" s="9" t="s">
        <v>1198</v>
      </c>
      <c r="B618" s="10">
        <v>45734</v>
      </c>
      <c r="C618" s="9" t="s">
        <v>54</v>
      </c>
      <c r="D618" s="9" t="s">
        <v>51</v>
      </c>
      <c r="E618" s="11" t="s">
        <v>30</v>
      </c>
      <c r="F618" s="11" t="s">
        <v>31</v>
      </c>
      <c r="G618" s="3">
        <v>650</v>
      </c>
      <c r="H618" s="3">
        <v>450</v>
      </c>
      <c r="I618" s="12">
        <v>1</v>
      </c>
      <c r="J618" s="9" t="s">
        <v>1199</v>
      </c>
      <c r="K618" s="9" t="s">
        <v>49</v>
      </c>
      <c r="L618" s="13">
        <v>0</v>
      </c>
      <c r="M618" s="9" t="s">
        <v>34</v>
      </c>
    </row>
    <row r="619" spans="1:13" ht="20.25" customHeight="1" x14ac:dyDescent="0.25">
      <c r="A619" s="9" t="s">
        <v>1200</v>
      </c>
      <c r="B619" s="10">
        <v>45734</v>
      </c>
      <c r="C619" s="9" t="s">
        <v>71</v>
      </c>
      <c r="D619" s="9" t="s">
        <v>29</v>
      </c>
      <c r="E619" s="11" t="s">
        <v>30</v>
      </c>
      <c r="F619" s="11" t="s">
        <v>80</v>
      </c>
      <c r="G619" s="3">
        <v>850</v>
      </c>
      <c r="H619" s="3">
        <v>600</v>
      </c>
      <c r="I619" s="12">
        <v>1</v>
      </c>
      <c r="J619" s="9" t="s">
        <v>1201</v>
      </c>
      <c r="K619" s="9" t="s">
        <v>49</v>
      </c>
      <c r="L619" s="13">
        <v>0</v>
      </c>
      <c r="M619" s="9" t="s">
        <v>34</v>
      </c>
    </row>
    <row r="620" spans="1:13" ht="20.25" customHeight="1" x14ac:dyDescent="0.25">
      <c r="A620" s="9" t="s">
        <v>1202</v>
      </c>
      <c r="B620" s="10">
        <v>45735</v>
      </c>
      <c r="C620" s="9" t="s">
        <v>36</v>
      </c>
      <c r="D620" s="9" t="s">
        <v>51</v>
      </c>
      <c r="E620" s="11" t="s">
        <v>30</v>
      </c>
      <c r="F620" s="11" t="s">
        <v>31</v>
      </c>
      <c r="G620" s="3">
        <v>650</v>
      </c>
      <c r="H620" s="3">
        <v>450</v>
      </c>
      <c r="I620" s="12">
        <v>1</v>
      </c>
      <c r="J620" s="9" t="s">
        <v>1203</v>
      </c>
      <c r="K620" s="9" t="s">
        <v>49</v>
      </c>
      <c r="L620" s="13">
        <v>0</v>
      </c>
      <c r="M620" s="9" t="s">
        <v>34</v>
      </c>
    </row>
    <row r="621" spans="1:13" ht="20.25" customHeight="1" x14ac:dyDescent="0.25">
      <c r="A621" s="9" t="s">
        <v>1204</v>
      </c>
      <c r="B621" s="10">
        <v>45736</v>
      </c>
      <c r="C621" s="9" t="s">
        <v>28</v>
      </c>
      <c r="D621" s="9" t="s">
        <v>29</v>
      </c>
      <c r="E621" s="11" t="s">
        <v>43</v>
      </c>
      <c r="F621" s="11" t="s">
        <v>90</v>
      </c>
      <c r="G621" s="3">
        <v>300</v>
      </c>
      <c r="H621" s="3">
        <v>180</v>
      </c>
      <c r="I621" s="12">
        <v>2</v>
      </c>
      <c r="J621" s="9" t="s">
        <v>1205</v>
      </c>
      <c r="K621" s="9" t="s">
        <v>49</v>
      </c>
      <c r="L621" s="13">
        <v>0</v>
      </c>
      <c r="M621" s="9" t="s">
        <v>34</v>
      </c>
    </row>
    <row r="622" spans="1:13" ht="20.25" customHeight="1" x14ac:dyDescent="0.25">
      <c r="A622" s="9" t="s">
        <v>1206</v>
      </c>
      <c r="B622" s="10">
        <v>45736</v>
      </c>
      <c r="C622" s="9" t="s">
        <v>54</v>
      </c>
      <c r="D622" s="9" t="s">
        <v>42</v>
      </c>
      <c r="E622" s="11" t="s">
        <v>37</v>
      </c>
      <c r="F622" s="11" t="s">
        <v>72</v>
      </c>
      <c r="G622" s="3">
        <v>220</v>
      </c>
      <c r="H622" s="3">
        <v>130</v>
      </c>
      <c r="I622" s="12">
        <v>1</v>
      </c>
      <c r="J622" s="9" t="s">
        <v>1207</v>
      </c>
      <c r="K622" s="9" t="s">
        <v>49</v>
      </c>
      <c r="L622" s="13">
        <v>0</v>
      </c>
      <c r="M622" s="9" t="s">
        <v>34</v>
      </c>
    </row>
    <row r="623" spans="1:13" ht="20.25" customHeight="1" x14ac:dyDescent="0.25">
      <c r="A623" s="9" t="s">
        <v>1208</v>
      </c>
      <c r="B623" s="10">
        <v>45736</v>
      </c>
      <c r="C623" s="9" t="s">
        <v>28</v>
      </c>
      <c r="D623" s="9" t="s">
        <v>29</v>
      </c>
      <c r="E623" s="11" t="s">
        <v>37</v>
      </c>
      <c r="F623" s="11" t="s">
        <v>55</v>
      </c>
      <c r="G623" s="3">
        <v>180</v>
      </c>
      <c r="H623" s="3">
        <v>110</v>
      </c>
      <c r="I623" s="12">
        <v>2</v>
      </c>
      <c r="J623" s="9" t="s">
        <v>183</v>
      </c>
      <c r="K623" s="9" t="s">
        <v>49</v>
      </c>
      <c r="L623" s="13">
        <v>0</v>
      </c>
      <c r="M623" s="9" t="s">
        <v>34</v>
      </c>
    </row>
    <row r="624" spans="1:13" ht="20.25" customHeight="1" x14ac:dyDescent="0.25">
      <c r="A624" s="9" t="s">
        <v>1209</v>
      </c>
      <c r="B624" s="10">
        <v>45736</v>
      </c>
      <c r="C624" s="9" t="s">
        <v>36</v>
      </c>
      <c r="D624" s="9" t="s">
        <v>29</v>
      </c>
      <c r="E624" s="11" t="s">
        <v>43</v>
      </c>
      <c r="F624" s="11" t="s">
        <v>44</v>
      </c>
      <c r="G624" s="3">
        <v>45</v>
      </c>
      <c r="H624" s="3">
        <v>20</v>
      </c>
      <c r="I624" s="12">
        <v>1</v>
      </c>
      <c r="J624" s="9" t="s">
        <v>1210</v>
      </c>
      <c r="K624" s="9" t="s">
        <v>49</v>
      </c>
      <c r="L624" s="13">
        <v>0</v>
      </c>
      <c r="M624" s="9" t="s">
        <v>34</v>
      </c>
    </row>
    <row r="625" spans="1:13" ht="20.25" customHeight="1" x14ac:dyDescent="0.25">
      <c r="A625" s="9" t="s">
        <v>1211</v>
      </c>
      <c r="B625" s="10">
        <v>45736</v>
      </c>
      <c r="C625" s="9" t="s">
        <v>28</v>
      </c>
      <c r="D625" s="9" t="s">
        <v>42</v>
      </c>
      <c r="E625" s="11" t="s">
        <v>58</v>
      </c>
      <c r="F625" s="11" t="s">
        <v>59</v>
      </c>
      <c r="G625" s="3">
        <v>150</v>
      </c>
      <c r="H625" s="3">
        <v>90</v>
      </c>
      <c r="I625" s="12">
        <v>1</v>
      </c>
      <c r="J625" s="9" t="s">
        <v>1212</v>
      </c>
      <c r="K625" s="9" t="s">
        <v>49</v>
      </c>
      <c r="L625" s="13">
        <v>0</v>
      </c>
      <c r="M625" s="9" t="s">
        <v>34</v>
      </c>
    </row>
    <row r="626" spans="1:13" ht="20.25" customHeight="1" x14ac:dyDescent="0.25">
      <c r="A626" s="9" t="s">
        <v>1213</v>
      </c>
      <c r="B626" s="10">
        <v>45736</v>
      </c>
      <c r="C626" s="9" t="s">
        <v>54</v>
      </c>
      <c r="D626" s="9" t="s">
        <v>51</v>
      </c>
      <c r="E626" s="11" t="s">
        <v>37</v>
      </c>
      <c r="F626" s="11" t="s">
        <v>38</v>
      </c>
      <c r="G626" s="3">
        <v>240</v>
      </c>
      <c r="H626" s="3">
        <v>140</v>
      </c>
      <c r="I626" s="12">
        <v>2</v>
      </c>
      <c r="J626" s="9" t="s">
        <v>904</v>
      </c>
      <c r="K626" s="9" t="s">
        <v>33</v>
      </c>
      <c r="L626" s="13">
        <v>1</v>
      </c>
      <c r="M626" s="9" t="s">
        <v>34</v>
      </c>
    </row>
    <row r="627" spans="1:13" ht="20.25" customHeight="1" x14ac:dyDescent="0.25">
      <c r="A627" s="9" t="s">
        <v>1214</v>
      </c>
      <c r="B627" s="10">
        <v>45737</v>
      </c>
      <c r="C627" s="9" t="s">
        <v>41</v>
      </c>
      <c r="D627" s="9" t="s">
        <v>29</v>
      </c>
      <c r="E627" s="11" t="s">
        <v>30</v>
      </c>
      <c r="F627" s="11" t="s">
        <v>31</v>
      </c>
      <c r="G627" s="3">
        <v>650</v>
      </c>
      <c r="H627" s="3">
        <v>450</v>
      </c>
      <c r="I627" s="12">
        <v>1</v>
      </c>
      <c r="J627" s="9" t="s">
        <v>1215</v>
      </c>
      <c r="K627" s="9" t="s">
        <v>49</v>
      </c>
      <c r="L627" s="13">
        <v>0</v>
      </c>
      <c r="M627" s="9" t="s">
        <v>34</v>
      </c>
    </row>
    <row r="628" spans="1:13" ht="20.25" customHeight="1" x14ac:dyDescent="0.25">
      <c r="A628" s="9" t="s">
        <v>1216</v>
      </c>
      <c r="B628" s="10">
        <v>45737</v>
      </c>
      <c r="C628" s="9" t="s">
        <v>41</v>
      </c>
      <c r="D628" s="9" t="s">
        <v>29</v>
      </c>
      <c r="E628" s="11" t="s">
        <v>30</v>
      </c>
      <c r="F628" s="11" t="s">
        <v>31</v>
      </c>
      <c r="G628" s="3">
        <v>650</v>
      </c>
      <c r="H628" s="3">
        <v>450</v>
      </c>
      <c r="I628" s="12">
        <v>1</v>
      </c>
      <c r="J628" s="9" t="s">
        <v>1217</v>
      </c>
      <c r="K628" s="9" t="s">
        <v>33</v>
      </c>
      <c r="L628" s="13">
        <v>1</v>
      </c>
      <c r="M628" s="9" t="s">
        <v>34</v>
      </c>
    </row>
    <row r="629" spans="1:13" ht="20.25" customHeight="1" x14ac:dyDescent="0.25">
      <c r="A629" s="9" t="s">
        <v>1218</v>
      </c>
      <c r="B629" s="10">
        <v>45737</v>
      </c>
      <c r="C629" s="9" t="s">
        <v>28</v>
      </c>
      <c r="D629" s="9" t="s">
        <v>42</v>
      </c>
      <c r="E629" s="11" t="s">
        <v>43</v>
      </c>
      <c r="F629" s="11" t="s">
        <v>44</v>
      </c>
      <c r="G629" s="3">
        <v>90</v>
      </c>
      <c r="H629" s="3">
        <v>40</v>
      </c>
      <c r="I629" s="12">
        <v>2</v>
      </c>
      <c r="J629" s="9" t="s">
        <v>1219</v>
      </c>
      <c r="K629" s="9" t="s">
        <v>33</v>
      </c>
      <c r="L629" s="13">
        <v>1</v>
      </c>
      <c r="M629" s="9" t="s">
        <v>34</v>
      </c>
    </row>
    <row r="630" spans="1:13" ht="20.25" customHeight="1" x14ac:dyDescent="0.25">
      <c r="A630" s="9" t="s">
        <v>1220</v>
      </c>
      <c r="B630" s="10">
        <v>45738</v>
      </c>
      <c r="C630" s="9" t="s">
        <v>71</v>
      </c>
      <c r="D630" s="9" t="s">
        <v>29</v>
      </c>
      <c r="E630" s="11" t="s">
        <v>43</v>
      </c>
      <c r="F630" s="11" t="s">
        <v>44</v>
      </c>
      <c r="G630" s="3">
        <v>135</v>
      </c>
      <c r="H630" s="3">
        <v>60</v>
      </c>
      <c r="I630" s="12">
        <v>3</v>
      </c>
      <c r="J630" s="9" t="s">
        <v>1107</v>
      </c>
      <c r="K630" s="9" t="s">
        <v>49</v>
      </c>
      <c r="L630" s="13">
        <v>0</v>
      </c>
      <c r="M630" s="9" t="s">
        <v>34</v>
      </c>
    </row>
    <row r="631" spans="1:13" ht="20.25" customHeight="1" x14ac:dyDescent="0.25">
      <c r="A631" s="9" t="s">
        <v>1221</v>
      </c>
      <c r="B631" s="10">
        <v>45738</v>
      </c>
      <c r="C631" s="9" t="s">
        <v>71</v>
      </c>
      <c r="D631" s="9" t="s">
        <v>42</v>
      </c>
      <c r="E631" s="11" t="s">
        <v>58</v>
      </c>
      <c r="F631" s="11" t="s">
        <v>68</v>
      </c>
      <c r="G631" s="3">
        <v>1050</v>
      </c>
      <c r="H631" s="3">
        <v>660</v>
      </c>
      <c r="I631" s="12">
        <v>3</v>
      </c>
      <c r="J631" s="9" t="s">
        <v>1222</v>
      </c>
      <c r="K631" s="9" t="s">
        <v>33</v>
      </c>
      <c r="L631" s="13">
        <v>1</v>
      </c>
      <c r="M631" s="9" t="s">
        <v>34</v>
      </c>
    </row>
    <row r="632" spans="1:13" ht="20.25" customHeight="1" x14ac:dyDescent="0.25">
      <c r="A632" s="9" t="s">
        <v>1223</v>
      </c>
      <c r="B632" s="10">
        <v>45738</v>
      </c>
      <c r="C632" s="9" t="s">
        <v>54</v>
      </c>
      <c r="D632" s="9" t="s">
        <v>29</v>
      </c>
      <c r="E632" s="11" t="s">
        <v>58</v>
      </c>
      <c r="F632" s="11" t="s">
        <v>68</v>
      </c>
      <c r="G632" s="3">
        <v>1400</v>
      </c>
      <c r="H632" s="3">
        <v>880</v>
      </c>
      <c r="I632" s="12">
        <v>4</v>
      </c>
      <c r="J632" s="9" t="s">
        <v>1224</v>
      </c>
      <c r="K632" s="9" t="s">
        <v>33</v>
      </c>
      <c r="L632" s="13">
        <v>1</v>
      </c>
      <c r="M632" s="9" t="s">
        <v>34</v>
      </c>
    </row>
    <row r="633" spans="1:13" ht="20.25" customHeight="1" x14ac:dyDescent="0.25">
      <c r="A633" s="9" t="s">
        <v>1225</v>
      </c>
      <c r="B633" s="10">
        <v>45738</v>
      </c>
      <c r="C633" s="9" t="s">
        <v>62</v>
      </c>
      <c r="D633" s="9" t="s">
        <v>51</v>
      </c>
      <c r="E633" s="11" t="s">
        <v>58</v>
      </c>
      <c r="F633" s="11" t="s">
        <v>87</v>
      </c>
      <c r="G633" s="3">
        <v>540</v>
      </c>
      <c r="H633" s="3">
        <v>330</v>
      </c>
      <c r="I633" s="12">
        <v>3</v>
      </c>
      <c r="J633" s="9" t="s">
        <v>1226</v>
      </c>
      <c r="K633" s="9" t="s">
        <v>49</v>
      </c>
      <c r="L633" s="13">
        <v>0</v>
      </c>
      <c r="M633" s="9" t="s">
        <v>34</v>
      </c>
    </row>
    <row r="634" spans="1:13" ht="20.25" customHeight="1" x14ac:dyDescent="0.25">
      <c r="A634" s="9" t="s">
        <v>1227</v>
      </c>
      <c r="B634" s="10">
        <v>45739</v>
      </c>
      <c r="C634" s="9" t="s">
        <v>28</v>
      </c>
      <c r="D634" s="9" t="s">
        <v>42</v>
      </c>
      <c r="E634" s="11" t="s">
        <v>30</v>
      </c>
      <c r="F634" s="11" t="s">
        <v>80</v>
      </c>
      <c r="G634" s="3">
        <v>850</v>
      </c>
      <c r="H634" s="3">
        <v>600</v>
      </c>
      <c r="I634" s="12">
        <v>1</v>
      </c>
      <c r="J634" s="9" t="s">
        <v>336</v>
      </c>
      <c r="K634" s="9" t="s">
        <v>49</v>
      </c>
      <c r="L634" s="13">
        <v>0</v>
      </c>
      <c r="M634" s="9" t="s">
        <v>34</v>
      </c>
    </row>
    <row r="635" spans="1:13" ht="20.25" customHeight="1" x14ac:dyDescent="0.25">
      <c r="A635" s="9" t="s">
        <v>1228</v>
      </c>
      <c r="B635" s="10">
        <v>45739</v>
      </c>
      <c r="C635" s="9" t="s">
        <v>41</v>
      </c>
      <c r="D635" s="9" t="s">
        <v>29</v>
      </c>
      <c r="E635" s="11" t="s">
        <v>30</v>
      </c>
      <c r="F635" s="11" t="s">
        <v>63</v>
      </c>
      <c r="G635" s="3">
        <v>1200</v>
      </c>
      <c r="H635" s="3">
        <v>850</v>
      </c>
      <c r="I635" s="12">
        <v>1</v>
      </c>
      <c r="J635" s="9" t="s">
        <v>181</v>
      </c>
      <c r="K635" s="9" t="s">
        <v>33</v>
      </c>
      <c r="L635" s="13">
        <v>1</v>
      </c>
      <c r="M635" s="9" t="s">
        <v>34</v>
      </c>
    </row>
    <row r="636" spans="1:13" ht="20.25" customHeight="1" x14ac:dyDescent="0.25">
      <c r="A636" s="9" t="s">
        <v>1229</v>
      </c>
      <c r="B636" s="10">
        <v>45739</v>
      </c>
      <c r="C636" s="9" t="s">
        <v>28</v>
      </c>
      <c r="D636" s="9" t="s">
        <v>29</v>
      </c>
      <c r="E636" s="11" t="s">
        <v>30</v>
      </c>
      <c r="F636" s="11" t="s">
        <v>63</v>
      </c>
      <c r="G636" s="3">
        <v>2400</v>
      </c>
      <c r="H636" s="3">
        <v>1700</v>
      </c>
      <c r="I636" s="12">
        <v>2</v>
      </c>
      <c r="J636" s="9" t="s">
        <v>1230</v>
      </c>
      <c r="K636" s="9" t="s">
        <v>33</v>
      </c>
      <c r="L636" s="13">
        <v>1</v>
      </c>
      <c r="M636" s="9" t="s">
        <v>34</v>
      </c>
    </row>
    <row r="637" spans="1:13" ht="20.25" customHeight="1" x14ac:dyDescent="0.25">
      <c r="A637" s="9" t="s">
        <v>1231</v>
      </c>
      <c r="B637" s="10">
        <v>45739</v>
      </c>
      <c r="C637" s="9" t="s">
        <v>71</v>
      </c>
      <c r="D637" s="9" t="s">
        <v>29</v>
      </c>
      <c r="E637" s="11" t="s">
        <v>30</v>
      </c>
      <c r="F637" s="11" t="s">
        <v>63</v>
      </c>
      <c r="G637" s="3">
        <v>1200</v>
      </c>
      <c r="H637" s="3">
        <v>850</v>
      </c>
      <c r="I637" s="12">
        <v>1</v>
      </c>
      <c r="J637" s="9" t="s">
        <v>1232</v>
      </c>
      <c r="K637" s="9" t="s">
        <v>49</v>
      </c>
      <c r="L637" s="13">
        <v>0</v>
      </c>
      <c r="M637" s="9" t="s">
        <v>34</v>
      </c>
    </row>
    <row r="638" spans="1:13" ht="20.25" customHeight="1" x14ac:dyDescent="0.25">
      <c r="A638" s="9" t="s">
        <v>1233</v>
      </c>
      <c r="B638" s="10">
        <v>45739</v>
      </c>
      <c r="C638" s="9" t="s">
        <v>28</v>
      </c>
      <c r="D638" s="9" t="s">
        <v>51</v>
      </c>
      <c r="E638" s="11" t="s">
        <v>43</v>
      </c>
      <c r="F638" s="11" t="s">
        <v>44</v>
      </c>
      <c r="G638" s="3">
        <v>90</v>
      </c>
      <c r="H638" s="3">
        <v>40</v>
      </c>
      <c r="I638" s="12">
        <v>2</v>
      </c>
      <c r="J638" s="9" t="s">
        <v>254</v>
      </c>
      <c r="K638" s="9" t="s">
        <v>49</v>
      </c>
      <c r="L638" s="13">
        <v>0</v>
      </c>
      <c r="M638" s="9" t="s">
        <v>34</v>
      </c>
    </row>
    <row r="639" spans="1:13" ht="20.25" customHeight="1" x14ac:dyDescent="0.25">
      <c r="A639" s="9" t="s">
        <v>1234</v>
      </c>
      <c r="B639" s="10">
        <v>45740</v>
      </c>
      <c r="C639" s="9" t="s">
        <v>36</v>
      </c>
      <c r="D639" s="9" t="s">
        <v>51</v>
      </c>
      <c r="E639" s="11" t="s">
        <v>30</v>
      </c>
      <c r="F639" s="11" t="s">
        <v>31</v>
      </c>
      <c r="G639" s="3">
        <v>1300</v>
      </c>
      <c r="H639" s="3">
        <v>900</v>
      </c>
      <c r="I639" s="12">
        <v>2</v>
      </c>
      <c r="J639" s="9" t="s">
        <v>1215</v>
      </c>
      <c r="K639" s="9" t="s">
        <v>49</v>
      </c>
      <c r="L639" s="13">
        <v>0</v>
      </c>
      <c r="M639" s="9" t="s">
        <v>34</v>
      </c>
    </row>
    <row r="640" spans="1:13" ht="20.25" customHeight="1" x14ac:dyDescent="0.25">
      <c r="A640" s="9" t="s">
        <v>1235</v>
      </c>
      <c r="B640" s="10">
        <v>45741</v>
      </c>
      <c r="C640" s="9" t="s">
        <v>36</v>
      </c>
      <c r="D640" s="9" t="s">
        <v>51</v>
      </c>
      <c r="E640" s="11" t="s">
        <v>30</v>
      </c>
      <c r="F640" s="11" t="s">
        <v>80</v>
      </c>
      <c r="G640" s="3">
        <v>850</v>
      </c>
      <c r="H640" s="3">
        <v>600</v>
      </c>
      <c r="I640" s="12">
        <v>1</v>
      </c>
      <c r="J640" s="9" t="s">
        <v>1042</v>
      </c>
      <c r="K640" s="9" t="s">
        <v>49</v>
      </c>
      <c r="L640" s="13">
        <v>0</v>
      </c>
      <c r="M640" s="9" t="s">
        <v>34</v>
      </c>
    </row>
    <row r="641" spans="1:13" ht="20.25" customHeight="1" x14ac:dyDescent="0.25">
      <c r="A641" s="9" t="s">
        <v>1236</v>
      </c>
      <c r="B641" s="10">
        <v>45741</v>
      </c>
      <c r="C641" s="9" t="s">
        <v>71</v>
      </c>
      <c r="D641" s="9" t="s">
        <v>29</v>
      </c>
      <c r="E641" s="11" t="s">
        <v>58</v>
      </c>
      <c r="F641" s="11" t="s">
        <v>68</v>
      </c>
      <c r="G641" s="3">
        <v>1050</v>
      </c>
      <c r="H641" s="3">
        <v>660</v>
      </c>
      <c r="I641" s="12">
        <v>3</v>
      </c>
      <c r="J641" s="9" t="s">
        <v>1237</v>
      </c>
      <c r="K641" s="9" t="s">
        <v>49</v>
      </c>
      <c r="L641" s="13">
        <v>0</v>
      </c>
      <c r="M641" s="9" t="s">
        <v>34</v>
      </c>
    </row>
    <row r="642" spans="1:13" ht="20.25" customHeight="1" x14ac:dyDescent="0.25">
      <c r="A642" s="9" t="s">
        <v>1238</v>
      </c>
      <c r="B642" s="10">
        <v>45741</v>
      </c>
      <c r="C642" s="9" t="s">
        <v>36</v>
      </c>
      <c r="D642" s="9" t="s">
        <v>29</v>
      </c>
      <c r="E642" s="11" t="s">
        <v>43</v>
      </c>
      <c r="F642" s="11" t="s">
        <v>90</v>
      </c>
      <c r="G642" s="3">
        <v>150</v>
      </c>
      <c r="H642" s="3">
        <v>90</v>
      </c>
      <c r="I642" s="12">
        <v>1</v>
      </c>
      <c r="J642" s="9" t="s">
        <v>1239</v>
      </c>
      <c r="K642" s="9" t="s">
        <v>49</v>
      </c>
      <c r="L642" s="13">
        <v>0</v>
      </c>
      <c r="M642" s="9" t="s">
        <v>34</v>
      </c>
    </row>
    <row r="643" spans="1:13" ht="20.25" customHeight="1" x14ac:dyDescent="0.25">
      <c r="A643" s="9" t="s">
        <v>1240</v>
      </c>
      <c r="B643" s="10">
        <v>45742</v>
      </c>
      <c r="C643" s="9" t="s">
        <v>41</v>
      </c>
      <c r="D643" s="9" t="s">
        <v>29</v>
      </c>
      <c r="E643" s="11" t="s">
        <v>30</v>
      </c>
      <c r="F643" s="11" t="s">
        <v>63</v>
      </c>
      <c r="G643" s="3">
        <v>1200</v>
      </c>
      <c r="H643" s="3">
        <v>850</v>
      </c>
      <c r="I643" s="12">
        <v>1</v>
      </c>
      <c r="J643" s="9" t="s">
        <v>1241</v>
      </c>
      <c r="K643" s="9" t="s">
        <v>33</v>
      </c>
      <c r="L643" s="13">
        <v>1</v>
      </c>
      <c r="M643" s="9" t="s">
        <v>34</v>
      </c>
    </row>
    <row r="644" spans="1:13" ht="20.25" customHeight="1" x14ac:dyDescent="0.25">
      <c r="A644" s="9" t="s">
        <v>1242</v>
      </c>
      <c r="B644" s="10">
        <v>45743</v>
      </c>
      <c r="C644" s="9" t="s">
        <v>36</v>
      </c>
      <c r="D644" s="9" t="s">
        <v>29</v>
      </c>
      <c r="E644" s="11" t="s">
        <v>30</v>
      </c>
      <c r="F644" s="11" t="s">
        <v>63</v>
      </c>
      <c r="G644" s="3">
        <v>6000</v>
      </c>
      <c r="H644" s="3">
        <v>4250</v>
      </c>
      <c r="I644" s="12">
        <v>5</v>
      </c>
      <c r="J644" s="9" t="s">
        <v>1243</v>
      </c>
      <c r="K644" s="9" t="s">
        <v>49</v>
      </c>
      <c r="L644" s="13">
        <v>0</v>
      </c>
      <c r="M644" s="9" t="s">
        <v>34</v>
      </c>
    </row>
    <row r="645" spans="1:13" ht="20.25" customHeight="1" x14ac:dyDescent="0.25">
      <c r="A645" s="9" t="s">
        <v>1244</v>
      </c>
      <c r="B645" s="10">
        <v>45744</v>
      </c>
      <c r="C645" s="9" t="s">
        <v>28</v>
      </c>
      <c r="D645" s="9" t="s">
        <v>51</v>
      </c>
      <c r="E645" s="11" t="s">
        <v>58</v>
      </c>
      <c r="F645" s="11" t="s">
        <v>59</v>
      </c>
      <c r="G645" s="3">
        <v>150</v>
      </c>
      <c r="H645" s="3">
        <v>90</v>
      </c>
      <c r="I645" s="12">
        <v>1</v>
      </c>
      <c r="J645" s="9" t="s">
        <v>1245</v>
      </c>
      <c r="K645" s="9" t="s">
        <v>49</v>
      </c>
      <c r="L645" s="13">
        <v>0</v>
      </c>
      <c r="M645" s="9" t="s">
        <v>34</v>
      </c>
    </row>
    <row r="646" spans="1:13" ht="20.25" customHeight="1" x14ac:dyDescent="0.25">
      <c r="A646" s="9" t="s">
        <v>1246</v>
      </c>
      <c r="B646" s="10">
        <v>45744</v>
      </c>
      <c r="C646" s="9" t="s">
        <v>41</v>
      </c>
      <c r="D646" s="9" t="s">
        <v>42</v>
      </c>
      <c r="E646" s="11" t="s">
        <v>37</v>
      </c>
      <c r="F646" s="11" t="s">
        <v>55</v>
      </c>
      <c r="G646" s="3">
        <v>90</v>
      </c>
      <c r="H646" s="3">
        <v>55</v>
      </c>
      <c r="I646" s="12">
        <v>1</v>
      </c>
      <c r="J646" s="9" t="s">
        <v>732</v>
      </c>
      <c r="K646" s="9" t="s">
        <v>49</v>
      </c>
      <c r="L646" s="13">
        <v>0</v>
      </c>
      <c r="M646" s="9" t="s">
        <v>34</v>
      </c>
    </row>
    <row r="647" spans="1:13" ht="20.25" customHeight="1" x14ac:dyDescent="0.25">
      <c r="A647" s="9" t="s">
        <v>1247</v>
      </c>
      <c r="B647" s="10">
        <v>45745</v>
      </c>
      <c r="C647" s="9" t="s">
        <v>28</v>
      </c>
      <c r="D647" s="9" t="s">
        <v>51</v>
      </c>
      <c r="E647" s="11" t="s">
        <v>37</v>
      </c>
      <c r="F647" s="11" t="s">
        <v>72</v>
      </c>
      <c r="G647" s="3">
        <v>220</v>
      </c>
      <c r="H647" s="3">
        <v>130</v>
      </c>
      <c r="I647" s="12">
        <v>1</v>
      </c>
      <c r="J647" s="9" t="s">
        <v>994</v>
      </c>
      <c r="K647" s="9" t="s">
        <v>49</v>
      </c>
      <c r="L647" s="13">
        <v>0</v>
      </c>
      <c r="M647" s="9" t="s">
        <v>34</v>
      </c>
    </row>
    <row r="648" spans="1:13" ht="20.25" customHeight="1" x14ac:dyDescent="0.25">
      <c r="A648" s="9" t="s">
        <v>1248</v>
      </c>
      <c r="B648" s="10">
        <v>45746</v>
      </c>
      <c r="C648" s="9" t="s">
        <v>36</v>
      </c>
      <c r="D648" s="9" t="s">
        <v>29</v>
      </c>
      <c r="E648" s="11" t="s">
        <v>43</v>
      </c>
      <c r="F648" s="11" t="s">
        <v>44</v>
      </c>
      <c r="G648" s="3">
        <v>90</v>
      </c>
      <c r="H648" s="3">
        <v>40</v>
      </c>
      <c r="I648" s="12">
        <v>2</v>
      </c>
      <c r="J648" s="9" t="s">
        <v>1249</v>
      </c>
      <c r="K648" s="9" t="s">
        <v>49</v>
      </c>
      <c r="L648" s="13">
        <v>0</v>
      </c>
      <c r="M648" s="9" t="s">
        <v>34</v>
      </c>
    </row>
    <row r="649" spans="1:13" ht="20.25" customHeight="1" x14ac:dyDescent="0.25">
      <c r="A649" s="9" t="s">
        <v>1250</v>
      </c>
      <c r="B649" s="10">
        <v>45746</v>
      </c>
      <c r="C649" s="9" t="s">
        <v>41</v>
      </c>
      <c r="D649" s="9" t="s">
        <v>42</v>
      </c>
      <c r="E649" s="11" t="s">
        <v>43</v>
      </c>
      <c r="F649" s="11" t="s">
        <v>44</v>
      </c>
      <c r="G649" s="3">
        <v>90</v>
      </c>
      <c r="H649" s="3">
        <v>40</v>
      </c>
      <c r="I649" s="12">
        <v>2</v>
      </c>
      <c r="J649" s="9" t="s">
        <v>1251</v>
      </c>
      <c r="K649" s="9" t="s">
        <v>49</v>
      </c>
      <c r="L649" s="13">
        <v>0</v>
      </c>
      <c r="M649" s="9" t="s">
        <v>34</v>
      </c>
    </row>
    <row r="650" spans="1:13" ht="20.25" customHeight="1" x14ac:dyDescent="0.25">
      <c r="A650" s="9" t="s">
        <v>1252</v>
      </c>
      <c r="B650" s="10">
        <v>45746</v>
      </c>
      <c r="C650" s="9" t="s">
        <v>36</v>
      </c>
      <c r="D650" s="9" t="s">
        <v>51</v>
      </c>
      <c r="E650" s="11" t="s">
        <v>43</v>
      </c>
      <c r="F650" s="11" t="s">
        <v>47</v>
      </c>
      <c r="G650" s="3">
        <v>220</v>
      </c>
      <c r="H650" s="3">
        <v>130</v>
      </c>
      <c r="I650" s="12">
        <v>2</v>
      </c>
      <c r="J650" s="9" t="s">
        <v>1253</v>
      </c>
      <c r="K650" s="9" t="s">
        <v>49</v>
      </c>
      <c r="L650" s="13">
        <v>0</v>
      </c>
      <c r="M650" s="9" t="s">
        <v>34</v>
      </c>
    </row>
    <row r="651" spans="1:13" ht="20.25" customHeight="1" x14ac:dyDescent="0.25">
      <c r="A651" s="9" t="s">
        <v>1254</v>
      </c>
      <c r="B651" s="10">
        <v>45746</v>
      </c>
      <c r="C651" s="9" t="s">
        <v>28</v>
      </c>
      <c r="D651" s="9" t="s">
        <v>42</v>
      </c>
      <c r="E651" s="11" t="s">
        <v>37</v>
      </c>
      <c r="F651" s="11" t="s">
        <v>38</v>
      </c>
      <c r="G651" s="3">
        <v>240</v>
      </c>
      <c r="H651" s="3">
        <v>140</v>
      </c>
      <c r="I651" s="12">
        <v>2</v>
      </c>
      <c r="J651" s="9" t="s">
        <v>1255</v>
      </c>
      <c r="K651" s="9" t="s">
        <v>33</v>
      </c>
      <c r="L651" s="13">
        <v>1</v>
      </c>
      <c r="M651" s="9" t="s">
        <v>34</v>
      </c>
    </row>
    <row r="652" spans="1:13" ht="20.25" customHeight="1" x14ac:dyDescent="0.25">
      <c r="A652" s="9" t="s">
        <v>1256</v>
      </c>
      <c r="B652" s="10">
        <v>45746</v>
      </c>
      <c r="C652" s="9" t="s">
        <v>36</v>
      </c>
      <c r="D652" s="9" t="s">
        <v>51</v>
      </c>
      <c r="E652" s="11" t="s">
        <v>58</v>
      </c>
      <c r="F652" s="11" t="s">
        <v>87</v>
      </c>
      <c r="G652" s="3">
        <v>180</v>
      </c>
      <c r="H652" s="3">
        <v>110</v>
      </c>
      <c r="I652" s="12">
        <v>1</v>
      </c>
      <c r="J652" s="9" t="s">
        <v>463</v>
      </c>
      <c r="K652" s="9" t="s">
        <v>49</v>
      </c>
      <c r="L652" s="13">
        <v>0</v>
      </c>
      <c r="M652" s="9" t="s">
        <v>34</v>
      </c>
    </row>
    <row r="653" spans="1:13" ht="20.25" customHeight="1" x14ac:dyDescent="0.25">
      <c r="A653" s="9" t="s">
        <v>1257</v>
      </c>
      <c r="B653" s="10">
        <v>45748</v>
      </c>
      <c r="C653" s="9" t="s">
        <v>62</v>
      </c>
      <c r="D653" s="9" t="s">
        <v>29</v>
      </c>
      <c r="E653" s="11" t="s">
        <v>30</v>
      </c>
      <c r="F653" s="11" t="s">
        <v>31</v>
      </c>
      <c r="G653" s="3">
        <v>1950</v>
      </c>
      <c r="H653" s="3">
        <v>1350</v>
      </c>
      <c r="I653" s="12">
        <v>3</v>
      </c>
      <c r="J653" s="9" t="s">
        <v>1258</v>
      </c>
      <c r="K653" s="9" t="s">
        <v>49</v>
      </c>
      <c r="L653" s="13">
        <v>0</v>
      </c>
      <c r="M653" s="9" t="s">
        <v>34</v>
      </c>
    </row>
    <row r="654" spans="1:13" ht="20.25" customHeight="1" x14ac:dyDescent="0.25">
      <c r="A654" s="9" t="s">
        <v>1259</v>
      </c>
      <c r="B654" s="10">
        <v>45748</v>
      </c>
      <c r="C654" s="9" t="s">
        <v>71</v>
      </c>
      <c r="D654" s="9" t="s">
        <v>29</v>
      </c>
      <c r="E654" s="11" t="s">
        <v>43</v>
      </c>
      <c r="F654" s="11" t="s">
        <v>47</v>
      </c>
      <c r="G654" s="3">
        <v>330</v>
      </c>
      <c r="H654" s="3">
        <v>195</v>
      </c>
      <c r="I654" s="12">
        <v>3</v>
      </c>
      <c r="J654" s="9" t="s">
        <v>1260</v>
      </c>
      <c r="K654" s="9" t="s">
        <v>49</v>
      </c>
      <c r="L654" s="13">
        <v>0</v>
      </c>
      <c r="M654" s="9" t="s">
        <v>34</v>
      </c>
    </row>
    <row r="655" spans="1:13" ht="20.25" customHeight="1" x14ac:dyDescent="0.25">
      <c r="A655" s="9" t="s">
        <v>1261</v>
      </c>
      <c r="B655" s="10">
        <v>45749</v>
      </c>
      <c r="C655" s="9" t="s">
        <v>41</v>
      </c>
      <c r="D655" s="9" t="s">
        <v>51</v>
      </c>
      <c r="E655" s="11" t="s">
        <v>58</v>
      </c>
      <c r="F655" s="11" t="s">
        <v>68</v>
      </c>
      <c r="G655" s="3">
        <v>350</v>
      </c>
      <c r="H655" s="3">
        <v>220</v>
      </c>
      <c r="I655" s="12">
        <v>1</v>
      </c>
      <c r="J655" s="9" t="s">
        <v>519</v>
      </c>
      <c r="K655" s="9" t="s">
        <v>49</v>
      </c>
      <c r="L655" s="13">
        <v>0</v>
      </c>
      <c r="M655" s="9" t="s">
        <v>34</v>
      </c>
    </row>
    <row r="656" spans="1:13" ht="20.25" customHeight="1" x14ac:dyDescent="0.25">
      <c r="A656" s="9" t="s">
        <v>1262</v>
      </c>
      <c r="B656" s="10">
        <v>45749</v>
      </c>
      <c r="C656" s="9" t="s">
        <v>71</v>
      </c>
      <c r="D656" s="9" t="s">
        <v>29</v>
      </c>
      <c r="E656" s="11" t="s">
        <v>30</v>
      </c>
      <c r="F656" s="11" t="s">
        <v>80</v>
      </c>
      <c r="G656" s="3">
        <v>850</v>
      </c>
      <c r="H656" s="3">
        <v>600</v>
      </c>
      <c r="I656" s="12">
        <v>1</v>
      </c>
      <c r="J656" s="9" t="s">
        <v>1263</v>
      </c>
      <c r="K656" s="9" t="s">
        <v>49</v>
      </c>
      <c r="L656" s="13">
        <v>0</v>
      </c>
      <c r="M656" s="9" t="s">
        <v>34</v>
      </c>
    </row>
    <row r="657" spans="1:13" ht="20.25" customHeight="1" x14ac:dyDescent="0.25">
      <c r="A657" s="9" t="s">
        <v>1264</v>
      </c>
      <c r="B657" s="10">
        <v>45749</v>
      </c>
      <c r="C657" s="9" t="s">
        <v>28</v>
      </c>
      <c r="D657" s="9" t="s">
        <v>29</v>
      </c>
      <c r="E657" s="11" t="s">
        <v>37</v>
      </c>
      <c r="F657" s="11" t="s">
        <v>38</v>
      </c>
      <c r="G657" s="3">
        <v>480</v>
      </c>
      <c r="H657" s="3">
        <v>280</v>
      </c>
      <c r="I657" s="12">
        <v>4</v>
      </c>
      <c r="J657" s="9" t="s">
        <v>1265</v>
      </c>
      <c r="K657" s="9" t="s">
        <v>49</v>
      </c>
      <c r="L657" s="13">
        <v>0</v>
      </c>
      <c r="M657" s="9" t="s">
        <v>34</v>
      </c>
    </row>
    <row r="658" spans="1:13" ht="20.25" customHeight="1" x14ac:dyDescent="0.25">
      <c r="A658" s="9" t="s">
        <v>1266</v>
      </c>
      <c r="B658" s="10">
        <v>45749</v>
      </c>
      <c r="C658" s="9" t="s">
        <v>36</v>
      </c>
      <c r="D658" s="9" t="s">
        <v>51</v>
      </c>
      <c r="E658" s="11" t="s">
        <v>30</v>
      </c>
      <c r="F658" s="11" t="s">
        <v>80</v>
      </c>
      <c r="G658" s="3">
        <v>-2550</v>
      </c>
      <c r="H658" s="3">
        <v>-1800</v>
      </c>
      <c r="I658" s="12">
        <v>-3</v>
      </c>
      <c r="J658" s="9" t="s">
        <v>1267</v>
      </c>
      <c r="K658" s="9" t="s">
        <v>49</v>
      </c>
      <c r="L658" s="13">
        <v>0</v>
      </c>
      <c r="M658" s="9" t="s">
        <v>76</v>
      </c>
    </row>
    <row r="659" spans="1:13" ht="20.25" customHeight="1" x14ac:dyDescent="0.25">
      <c r="A659" s="9" t="s">
        <v>1268</v>
      </c>
      <c r="B659" s="10">
        <v>45749</v>
      </c>
      <c r="C659" s="9" t="s">
        <v>41</v>
      </c>
      <c r="D659" s="9" t="s">
        <v>51</v>
      </c>
      <c r="E659" s="11" t="s">
        <v>37</v>
      </c>
      <c r="F659" s="11" t="s">
        <v>72</v>
      </c>
      <c r="G659" s="3">
        <v>660</v>
      </c>
      <c r="H659" s="3">
        <v>390</v>
      </c>
      <c r="I659" s="12">
        <v>3</v>
      </c>
      <c r="J659" s="9" t="s">
        <v>125</v>
      </c>
      <c r="K659" s="9" t="s">
        <v>49</v>
      </c>
      <c r="L659" s="13">
        <v>0</v>
      </c>
      <c r="M659" s="9" t="s">
        <v>34</v>
      </c>
    </row>
    <row r="660" spans="1:13" ht="20.25" customHeight="1" x14ac:dyDescent="0.25">
      <c r="A660" s="9" t="s">
        <v>1269</v>
      </c>
      <c r="B660" s="10">
        <v>45749</v>
      </c>
      <c r="C660" s="9" t="s">
        <v>28</v>
      </c>
      <c r="D660" s="9" t="s">
        <v>51</v>
      </c>
      <c r="E660" s="11" t="s">
        <v>37</v>
      </c>
      <c r="F660" s="11" t="s">
        <v>55</v>
      </c>
      <c r="G660" s="3">
        <v>270</v>
      </c>
      <c r="H660" s="3">
        <v>165</v>
      </c>
      <c r="I660" s="12">
        <v>3</v>
      </c>
      <c r="J660" s="9" t="s">
        <v>1270</v>
      </c>
      <c r="K660" s="9" t="s">
        <v>49</v>
      </c>
      <c r="L660" s="13">
        <v>0</v>
      </c>
      <c r="M660" s="9" t="s">
        <v>34</v>
      </c>
    </row>
    <row r="661" spans="1:13" ht="20.25" customHeight="1" x14ac:dyDescent="0.25">
      <c r="A661" s="9" t="s">
        <v>1271</v>
      </c>
      <c r="B661" s="10">
        <v>45750</v>
      </c>
      <c r="C661" s="9" t="s">
        <v>28</v>
      </c>
      <c r="D661" s="9" t="s">
        <v>29</v>
      </c>
      <c r="E661" s="11" t="s">
        <v>58</v>
      </c>
      <c r="F661" s="11" t="s">
        <v>59</v>
      </c>
      <c r="G661" s="3">
        <v>150</v>
      </c>
      <c r="H661" s="3">
        <v>90</v>
      </c>
      <c r="I661" s="12">
        <v>1</v>
      </c>
      <c r="J661" s="9" t="s">
        <v>1272</v>
      </c>
      <c r="K661" s="9" t="s">
        <v>49</v>
      </c>
      <c r="L661" s="13">
        <v>0</v>
      </c>
      <c r="M661" s="9" t="s">
        <v>34</v>
      </c>
    </row>
    <row r="662" spans="1:13" ht="20.25" customHeight="1" x14ac:dyDescent="0.25">
      <c r="A662" s="9" t="s">
        <v>1273</v>
      </c>
      <c r="B662" s="10">
        <v>45750</v>
      </c>
      <c r="C662" s="9" t="s">
        <v>28</v>
      </c>
      <c r="D662" s="9" t="s">
        <v>29</v>
      </c>
      <c r="E662" s="11" t="s">
        <v>43</v>
      </c>
      <c r="F662" s="11" t="s">
        <v>44</v>
      </c>
      <c r="G662" s="3">
        <v>90</v>
      </c>
      <c r="H662" s="3">
        <v>40</v>
      </c>
      <c r="I662" s="12">
        <v>2</v>
      </c>
      <c r="J662" s="9" t="s">
        <v>1274</v>
      </c>
      <c r="K662" s="9" t="s">
        <v>33</v>
      </c>
      <c r="L662" s="13">
        <v>1</v>
      </c>
      <c r="M662" s="9" t="s">
        <v>34</v>
      </c>
    </row>
    <row r="663" spans="1:13" ht="20.25" customHeight="1" x14ac:dyDescent="0.25">
      <c r="A663" s="9" t="s">
        <v>1275</v>
      </c>
      <c r="B663" s="10">
        <v>45750</v>
      </c>
      <c r="C663" s="9" t="s">
        <v>36</v>
      </c>
      <c r="D663" s="9" t="s">
        <v>51</v>
      </c>
      <c r="E663" s="11" t="s">
        <v>30</v>
      </c>
      <c r="F663" s="11" t="s">
        <v>31</v>
      </c>
      <c r="G663" s="3">
        <v>650</v>
      </c>
      <c r="H663" s="3">
        <v>450</v>
      </c>
      <c r="I663" s="12">
        <v>1</v>
      </c>
      <c r="J663" s="9" t="s">
        <v>1276</v>
      </c>
      <c r="K663" s="9" t="s">
        <v>33</v>
      </c>
      <c r="L663" s="13">
        <v>1</v>
      </c>
      <c r="M663" s="9" t="s">
        <v>34</v>
      </c>
    </row>
    <row r="664" spans="1:13" ht="20.25" customHeight="1" x14ac:dyDescent="0.25">
      <c r="A664" s="9" t="s">
        <v>1277</v>
      </c>
      <c r="B664" s="10">
        <v>45750</v>
      </c>
      <c r="C664" s="9" t="s">
        <v>62</v>
      </c>
      <c r="D664" s="9" t="s">
        <v>42</v>
      </c>
      <c r="E664" s="11" t="s">
        <v>58</v>
      </c>
      <c r="F664" s="11" t="s">
        <v>87</v>
      </c>
      <c r="G664" s="3">
        <v>180</v>
      </c>
      <c r="H664" s="3">
        <v>110</v>
      </c>
      <c r="I664" s="12">
        <v>1</v>
      </c>
      <c r="J664" s="9" t="s">
        <v>1278</v>
      </c>
      <c r="K664" s="9" t="s">
        <v>49</v>
      </c>
      <c r="L664" s="13">
        <v>0</v>
      </c>
      <c r="M664" s="9" t="s">
        <v>34</v>
      </c>
    </row>
    <row r="665" spans="1:13" ht="20.25" customHeight="1" x14ac:dyDescent="0.25">
      <c r="A665" s="9" t="s">
        <v>1279</v>
      </c>
      <c r="B665" s="10">
        <v>45750</v>
      </c>
      <c r="C665" s="9" t="s">
        <v>28</v>
      </c>
      <c r="D665" s="9" t="s">
        <v>51</v>
      </c>
      <c r="E665" s="11" t="s">
        <v>58</v>
      </c>
      <c r="F665" s="11" t="s">
        <v>59</v>
      </c>
      <c r="G665" s="3">
        <v>300</v>
      </c>
      <c r="H665" s="3">
        <v>180</v>
      </c>
      <c r="I665" s="12">
        <v>2</v>
      </c>
      <c r="J665" s="9" t="s">
        <v>1280</v>
      </c>
      <c r="K665" s="9" t="s">
        <v>33</v>
      </c>
      <c r="L665" s="13">
        <v>1</v>
      </c>
      <c r="M665" s="9" t="s">
        <v>34</v>
      </c>
    </row>
    <row r="666" spans="1:13" ht="20.25" customHeight="1" x14ac:dyDescent="0.25">
      <c r="A666" s="9" t="s">
        <v>1281</v>
      </c>
      <c r="B666" s="10">
        <v>45750</v>
      </c>
      <c r="C666" s="9" t="s">
        <v>71</v>
      </c>
      <c r="D666" s="9" t="s">
        <v>42</v>
      </c>
      <c r="E666" s="11" t="s">
        <v>37</v>
      </c>
      <c r="F666" s="11" t="s">
        <v>72</v>
      </c>
      <c r="G666" s="3">
        <v>220</v>
      </c>
      <c r="H666" s="3">
        <v>130</v>
      </c>
      <c r="I666" s="12">
        <v>1</v>
      </c>
      <c r="J666" s="9" t="s">
        <v>1282</v>
      </c>
      <c r="K666" s="9" t="s">
        <v>49</v>
      </c>
      <c r="L666" s="13">
        <v>0</v>
      </c>
      <c r="M666" s="9" t="s">
        <v>34</v>
      </c>
    </row>
    <row r="667" spans="1:13" ht="20.25" customHeight="1" x14ac:dyDescent="0.25">
      <c r="A667" s="9" t="s">
        <v>1283</v>
      </c>
      <c r="B667" s="10">
        <v>45751</v>
      </c>
      <c r="C667" s="9" t="s">
        <v>28</v>
      </c>
      <c r="D667" s="9" t="s">
        <v>51</v>
      </c>
      <c r="E667" s="11" t="s">
        <v>43</v>
      </c>
      <c r="F667" s="11" t="s">
        <v>47</v>
      </c>
      <c r="G667" s="3">
        <v>220</v>
      </c>
      <c r="H667" s="3">
        <v>130</v>
      </c>
      <c r="I667" s="12">
        <v>2</v>
      </c>
      <c r="J667" s="9" t="s">
        <v>1284</v>
      </c>
      <c r="K667" s="9" t="s">
        <v>49</v>
      </c>
      <c r="L667" s="13">
        <v>0</v>
      </c>
      <c r="M667" s="9" t="s">
        <v>34</v>
      </c>
    </row>
    <row r="668" spans="1:13" ht="20.25" customHeight="1" x14ac:dyDescent="0.25">
      <c r="A668" s="9" t="s">
        <v>1285</v>
      </c>
      <c r="B668" s="10">
        <v>45751</v>
      </c>
      <c r="C668" s="9" t="s">
        <v>62</v>
      </c>
      <c r="D668" s="9" t="s">
        <v>51</v>
      </c>
      <c r="E668" s="11" t="s">
        <v>58</v>
      </c>
      <c r="F668" s="11" t="s">
        <v>59</v>
      </c>
      <c r="G668" s="3">
        <v>150</v>
      </c>
      <c r="H668" s="3">
        <v>90</v>
      </c>
      <c r="I668" s="12">
        <v>1</v>
      </c>
      <c r="J668" s="9" t="s">
        <v>1239</v>
      </c>
      <c r="K668" s="9" t="s">
        <v>49</v>
      </c>
      <c r="L668" s="13">
        <v>0</v>
      </c>
      <c r="M668" s="9" t="s">
        <v>34</v>
      </c>
    </row>
    <row r="669" spans="1:13" ht="20.25" customHeight="1" x14ac:dyDescent="0.25">
      <c r="A669" s="9" t="s">
        <v>1286</v>
      </c>
      <c r="B669" s="10">
        <v>45751</v>
      </c>
      <c r="C669" s="9" t="s">
        <v>28</v>
      </c>
      <c r="D669" s="9" t="s">
        <v>29</v>
      </c>
      <c r="E669" s="11" t="s">
        <v>37</v>
      </c>
      <c r="F669" s="11" t="s">
        <v>72</v>
      </c>
      <c r="G669" s="3">
        <v>220</v>
      </c>
      <c r="H669" s="3">
        <v>130</v>
      </c>
      <c r="I669" s="12">
        <v>1</v>
      </c>
      <c r="J669" s="9" t="s">
        <v>1287</v>
      </c>
      <c r="K669" s="9" t="s">
        <v>49</v>
      </c>
      <c r="L669" s="13">
        <v>0</v>
      </c>
      <c r="M669" s="9" t="s">
        <v>34</v>
      </c>
    </row>
    <row r="670" spans="1:13" ht="20.25" customHeight="1" x14ac:dyDescent="0.25">
      <c r="A670" s="9" t="s">
        <v>1288</v>
      </c>
      <c r="B670" s="10">
        <v>45753</v>
      </c>
      <c r="C670" s="9" t="s">
        <v>36</v>
      </c>
      <c r="D670" s="9" t="s">
        <v>51</v>
      </c>
      <c r="E670" s="11" t="s">
        <v>30</v>
      </c>
      <c r="F670" s="11" t="s">
        <v>80</v>
      </c>
      <c r="G670" s="3">
        <v>850</v>
      </c>
      <c r="H670" s="3">
        <v>600</v>
      </c>
      <c r="I670" s="12">
        <v>1</v>
      </c>
      <c r="J670" s="9" t="s">
        <v>1289</v>
      </c>
      <c r="K670" s="9" t="s">
        <v>49</v>
      </c>
      <c r="L670" s="13">
        <v>0</v>
      </c>
      <c r="M670" s="9" t="s">
        <v>34</v>
      </c>
    </row>
    <row r="671" spans="1:13" ht="20.25" customHeight="1" x14ac:dyDescent="0.25">
      <c r="A671" s="9" t="s">
        <v>1290</v>
      </c>
      <c r="B671" s="10">
        <v>45753</v>
      </c>
      <c r="C671" s="9" t="s">
        <v>41</v>
      </c>
      <c r="D671" s="9" t="s">
        <v>51</v>
      </c>
      <c r="E671" s="11" t="s">
        <v>43</v>
      </c>
      <c r="F671" s="11" t="s">
        <v>44</v>
      </c>
      <c r="G671" s="3">
        <v>45</v>
      </c>
      <c r="H671" s="3">
        <v>20</v>
      </c>
      <c r="I671" s="12">
        <v>1</v>
      </c>
      <c r="J671" s="9" t="s">
        <v>914</v>
      </c>
      <c r="K671" s="9" t="s">
        <v>49</v>
      </c>
      <c r="L671" s="13">
        <v>0</v>
      </c>
      <c r="M671" s="9" t="s">
        <v>34</v>
      </c>
    </row>
    <row r="672" spans="1:13" ht="20.25" customHeight="1" x14ac:dyDescent="0.25">
      <c r="A672" s="9" t="s">
        <v>1291</v>
      </c>
      <c r="B672" s="10">
        <v>45753</v>
      </c>
      <c r="C672" s="9" t="s">
        <v>41</v>
      </c>
      <c r="D672" s="9" t="s">
        <v>51</v>
      </c>
      <c r="E672" s="11" t="s">
        <v>58</v>
      </c>
      <c r="F672" s="11" t="s">
        <v>68</v>
      </c>
      <c r="G672" s="3">
        <v>350</v>
      </c>
      <c r="H672" s="3">
        <v>220</v>
      </c>
      <c r="I672" s="12">
        <v>1</v>
      </c>
      <c r="J672" s="9" t="s">
        <v>1292</v>
      </c>
      <c r="K672" s="9" t="s">
        <v>49</v>
      </c>
      <c r="L672" s="13">
        <v>0</v>
      </c>
      <c r="M672" s="9" t="s">
        <v>34</v>
      </c>
    </row>
    <row r="673" spans="1:13" ht="20.25" customHeight="1" x14ac:dyDescent="0.25">
      <c r="A673" s="9" t="s">
        <v>1293</v>
      </c>
      <c r="B673" s="10">
        <v>45753</v>
      </c>
      <c r="C673" s="9" t="s">
        <v>36</v>
      </c>
      <c r="D673" s="9" t="s">
        <v>29</v>
      </c>
      <c r="E673" s="11" t="s">
        <v>37</v>
      </c>
      <c r="F673" s="11" t="s">
        <v>72</v>
      </c>
      <c r="G673" s="3">
        <v>220</v>
      </c>
      <c r="H673" s="3">
        <v>130</v>
      </c>
      <c r="I673" s="12">
        <v>1</v>
      </c>
      <c r="J673" s="9" t="s">
        <v>1086</v>
      </c>
      <c r="K673" s="9" t="s">
        <v>33</v>
      </c>
      <c r="L673" s="13">
        <v>1</v>
      </c>
      <c r="M673" s="9" t="s">
        <v>34</v>
      </c>
    </row>
    <row r="674" spans="1:13" ht="20.25" customHeight="1" x14ac:dyDescent="0.25">
      <c r="A674" s="9" t="s">
        <v>1294</v>
      </c>
      <c r="B674" s="10">
        <v>45754</v>
      </c>
      <c r="C674" s="9" t="s">
        <v>36</v>
      </c>
      <c r="D674" s="9" t="s">
        <v>51</v>
      </c>
      <c r="E674" s="11" t="s">
        <v>30</v>
      </c>
      <c r="F674" s="11" t="s">
        <v>80</v>
      </c>
      <c r="G674" s="3">
        <v>-3400</v>
      </c>
      <c r="H674" s="3">
        <v>-2400</v>
      </c>
      <c r="I674" s="12">
        <v>-4</v>
      </c>
      <c r="J674" s="9" t="s">
        <v>1295</v>
      </c>
      <c r="K674" s="9" t="s">
        <v>49</v>
      </c>
      <c r="L674" s="13">
        <v>0</v>
      </c>
      <c r="M674" s="9" t="s">
        <v>76</v>
      </c>
    </row>
    <row r="675" spans="1:13" ht="20.25" customHeight="1" x14ac:dyDescent="0.25">
      <c r="A675" s="9" t="s">
        <v>1296</v>
      </c>
      <c r="B675" s="10">
        <v>45755</v>
      </c>
      <c r="C675" s="9" t="s">
        <v>36</v>
      </c>
      <c r="D675" s="9" t="s">
        <v>29</v>
      </c>
      <c r="E675" s="11" t="s">
        <v>30</v>
      </c>
      <c r="F675" s="11" t="s">
        <v>80</v>
      </c>
      <c r="G675" s="3">
        <v>850</v>
      </c>
      <c r="H675" s="3">
        <v>600</v>
      </c>
      <c r="I675" s="12">
        <v>1</v>
      </c>
      <c r="J675" s="9" t="s">
        <v>1297</v>
      </c>
      <c r="K675" s="9" t="s">
        <v>49</v>
      </c>
      <c r="L675" s="13">
        <v>0</v>
      </c>
      <c r="M675" s="9" t="s">
        <v>34</v>
      </c>
    </row>
    <row r="676" spans="1:13" ht="20.25" customHeight="1" x14ac:dyDescent="0.25">
      <c r="A676" s="9" t="s">
        <v>1298</v>
      </c>
      <c r="B676" s="10">
        <v>45756</v>
      </c>
      <c r="C676" s="9" t="s">
        <v>28</v>
      </c>
      <c r="D676" s="9" t="s">
        <v>51</v>
      </c>
      <c r="E676" s="11" t="s">
        <v>58</v>
      </c>
      <c r="F676" s="11" t="s">
        <v>87</v>
      </c>
      <c r="G676" s="3">
        <v>180</v>
      </c>
      <c r="H676" s="3">
        <v>110</v>
      </c>
      <c r="I676" s="12">
        <v>1</v>
      </c>
      <c r="J676" s="9" t="s">
        <v>1299</v>
      </c>
      <c r="K676" s="9" t="s">
        <v>49</v>
      </c>
      <c r="L676" s="13">
        <v>0</v>
      </c>
      <c r="M676" s="9" t="s">
        <v>34</v>
      </c>
    </row>
    <row r="677" spans="1:13" ht="20.25" customHeight="1" x14ac:dyDescent="0.25">
      <c r="A677" s="9" t="s">
        <v>1300</v>
      </c>
      <c r="B677" s="10">
        <v>45756</v>
      </c>
      <c r="C677" s="9" t="s">
        <v>28</v>
      </c>
      <c r="D677" s="9" t="s">
        <v>29</v>
      </c>
      <c r="E677" s="11" t="s">
        <v>43</v>
      </c>
      <c r="F677" s="11" t="s">
        <v>44</v>
      </c>
      <c r="G677" s="3">
        <v>45</v>
      </c>
      <c r="H677" s="3">
        <v>20</v>
      </c>
      <c r="I677" s="12">
        <v>1</v>
      </c>
      <c r="J677" s="9" t="s">
        <v>1301</v>
      </c>
      <c r="K677" s="9" t="s">
        <v>49</v>
      </c>
      <c r="L677" s="13">
        <v>0</v>
      </c>
      <c r="M677" s="9" t="s">
        <v>34</v>
      </c>
    </row>
    <row r="678" spans="1:13" ht="20.25" customHeight="1" x14ac:dyDescent="0.25">
      <c r="A678" s="9" t="s">
        <v>1302</v>
      </c>
      <c r="B678" s="10">
        <v>45757</v>
      </c>
      <c r="C678" s="9" t="s">
        <v>36</v>
      </c>
      <c r="D678" s="9" t="s">
        <v>42</v>
      </c>
      <c r="E678" s="11" t="s">
        <v>58</v>
      </c>
      <c r="F678" s="11" t="s">
        <v>68</v>
      </c>
      <c r="G678" s="3">
        <v>-700</v>
      </c>
      <c r="H678" s="3">
        <v>-440</v>
      </c>
      <c r="I678" s="12">
        <v>-2</v>
      </c>
      <c r="J678" s="9" t="s">
        <v>1303</v>
      </c>
      <c r="K678" s="9" t="s">
        <v>49</v>
      </c>
      <c r="L678" s="13">
        <v>0</v>
      </c>
      <c r="M678" s="9" t="s">
        <v>76</v>
      </c>
    </row>
    <row r="679" spans="1:13" ht="20.25" customHeight="1" x14ac:dyDescent="0.25">
      <c r="A679" s="9" t="s">
        <v>1304</v>
      </c>
      <c r="B679" s="10">
        <v>45757</v>
      </c>
      <c r="C679" s="9" t="s">
        <v>28</v>
      </c>
      <c r="D679" s="9" t="s">
        <v>29</v>
      </c>
      <c r="E679" s="11" t="s">
        <v>43</v>
      </c>
      <c r="F679" s="11" t="s">
        <v>90</v>
      </c>
      <c r="G679" s="3">
        <v>-150</v>
      </c>
      <c r="H679" s="3">
        <v>-90</v>
      </c>
      <c r="I679" s="12">
        <v>-1</v>
      </c>
      <c r="J679" s="9" t="s">
        <v>1305</v>
      </c>
      <c r="K679" s="9" t="s">
        <v>49</v>
      </c>
      <c r="L679" s="13">
        <v>0</v>
      </c>
      <c r="M679" s="9" t="s">
        <v>76</v>
      </c>
    </row>
    <row r="680" spans="1:13" ht="20.25" customHeight="1" x14ac:dyDescent="0.25">
      <c r="A680" s="9" t="s">
        <v>1306</v>
      </c>
      <c r="B680" s="10">
        <v>45757</v>
      </c>
      <c r="C680" s="9" t="s">
        <v>28</v>
      </c>
      <c r="D680" s="9" t="s">
        <v>29</v>
      </c>
      <c r="E680" s="11" t="s">
        <v>58</v>
      </c>
      <c r="F680" s="11" t="s">
        <v>87</v>
      </c>
      <c r="G680" s="3">
        <v>360</v>
      </c>
      <c r="H680" s="3">
        <v>220</v>
      </c>
      <c r="I680" s="12">
        <v>2</v>
      </c>
      <c r="J680" s="9" t="s">
        <v>1307</v>
      </c>
      <c r="K680" s="9" t="s">
        <v>49</v>
      </c>
      <c r="L680" s="13">
        <v>0</v>
      </c>
      <c r="M680" s="9" t="s">
        <v>34</v>
      </c>
    </row>
    <row r="681" spans="1:13" ht="20.25" customHeight="1" x14ac:dyDescent="0.25">
      <c r="A681" s="9" t="s">
        <v>1308</v>
      </c>
      <c r="B681" s="10">
        <v>45758</v>
      </c>
      <c r="C681" s="9" t="s">
        <v>41</v>
      </c>
      <c r="D681" s="9" t="s">
        <v>29</v>
      </c>
      <c r="E681" s="11" t="s">
        <v>58</v>
      </c>
      <c r="F681" s="11" t="s">
        <v>87</v>
      </c>
      <c r="G681" s="3">
        <v>360</v>
      </c>
      <c r="H681" s="3">
        <v>220</v>
      </c>
      <c r="I681" s="12">
        <v>2</v>
      </c>
      <c r="J681" s="9" t="s">
        <v>1309</v>
      </c>
      <c r="K681" s="9" t="s">
        <v>49</v>
      </c>
      <c r="L681" s="13">
        <v>0</v>
      </c>
      <c r="M681" s="9" t="s">
        <v>34</v>
      </c>
    </row>
    <row r="682" spans="1:13" ht="20.25" customHeight="1" x14ac:dyDescent="0.25">
      <c r="A682" s="9" t="s">
        <v>1310</v>
      </c>
      <c r="B682" s="10">
        <v>45759</v>
      </c>
      <c r="C682" s="9" t="s">
        <v>62</v>
      </c>
      <c r="D682" s="9" t="s">
        <v>51</v>
      </c>
      <c r="E682" s="11" t="s">
        <v>30</v>
      </c>
      <c r="F682" s="11" t="s">
        <v>80</v>
      </c>
      <c r="G682" s="3">
        <v>850</v>
      </c>
      <c r="H682" s="3">
        <v>600</v>
      </c>
      <c r="I682" s="12">
        <v>1</v>
      </c>
      <c r="J682" s="9" t="s">
        <v>1311</v>
      </c>
      <c r="K682" s="9" t="s">
        <v>49</v>
      </c>
      <c r="L682" s="13">
        <v>0</v>
      </c>
      <c r="M682" s="9" t="s">
        <v>34</v>
      </c>
    </row>
    <row r="683" spans="1:13" ht="20.25" customHeight="1" x14ac:dyDescent="0.25">
      <c r="A683" s="9" t="s">
        <v>1312</v>
      </c>
      <c r="B683" s="10">
        <v>45759</v>
      </c>
      <c r="C683" s="9" t="s">
        <v>71</v>
      </c>
      <c r="D683" s="9" t="s">
        <v>29</v>
      </c>
      <c r="E683" s="11" t="s">
        <v>43</v>
      </c>
      <c r="F683" s="11" t="s">
        <v>47</v>
      </c>
      <c r="G683" s="3">
        <v>-110</v>
      </c>
      <c r="H683" s="3">
        <v>-65</v>
      </c>
      <c r="I683" s="12">
        <v>-1</v>
      </c>
      <c r="J683" s="9" t="s">
        <v>1313</v>
      </c>
      <c r="K683" s="9" t="s">
        <v>49</v>
      </c>
      <c r="L683" s="13">
        <v>0</v>
      </c>
      <c r="M683" s="9" t="s">
        <v>76</v>
      </c>
    </row>
    <row r="684" spans="1:13" ht="20.25" customHeight="1" x14ac:dyDescent="0.25">
      <c r="A684" s="9" t="s">
        <v>1314</v>
      </c>
      <c r="B684" s="10">
        <v>45760</v>
      </c>
      <c r="C684" s="9" t="s">
        <v>28</v>
      </c>
      <c r="D684" s="9" t="s">
        <v>29</v>
      </c>
      <c r="E684" s="11" t="s">
        <v>30</v>
      </c>
      <c r="F684" s="11" t="s">
        <v>31</v>
      </c>
      <c r="G684" s="3">
        <v>1950</v>
      </c>
      <c r="H684" s="3">
        <v>1350</v>
      </c>
      <c r="I684" s="12">
        <v>3</v>
      </c>
      <c r="J684" s="9" t="s">
        <v>1315</v>
      </c>
      <c r="K684" s="9" t="s">
        <v>33</v>
      </c>
      <c r="L684" s="13">
        <v>1</v>
      </c>
      <c r="M684" s="9" t="s">
        <v>34</v>
      </c>
    </row>
    <row r="685" spans="1:13" ht="20.25" customHeight="1" x14ac:dyDescent="0.25">
      <c r="A685" s="9" t="s">
        <v>1316</v>
      </c>
      <c r="B685" s="10">
        <v>45760</v>
      </c>
      <c r="C685" s="9" t="s">
        <v>28</v>
      </c>
      <c r="D685" s="9" t="s">
        <v>51</v>
      </c>
      <c r="E685" s="11" t="s">
        <v>43</v>
      </c>
      <c r="F685" s="11" t="s">
        <v>44</v>
      </c>
      <c r="G685" s="3">
        <v>90</v>
      </c>
      <c r="H685" s="3">
        <v>40</v>
      </c>
      <c r="I685" s="12">
        <v>2</v>
      </c>
      <c r="J685" s="9" t="s">
        <v>1317</v>
      </c>
      <c r="K685" s="9" t="s">
        <v>33</v>
      </c>
      <c r="L685" s="13">
        <v>1</v>
      </c>
      <c r="M685" s="9" t="s">
        <v>34</v>
      </c>
    </row>
    <row r="686" spans="1:13" ht="20.25" customHeight="1" x14ac:dyDescent="0.25">
      <c r="A686" s="9" t="s">
        <v>1318</v>
      </c>
      <c r="B686" s="10">
        <v>45760</v>
      </c>
      <c r="C686" s="9" t="s">
        <v>62</v>
      </c>
      <c r="D686" s="9" t="s">
        <v>29</v>
      </c>
      <c r="E686" s="11" t="s">
        <v>43</v>
      </c>
      <c r="F686" s="11" t="s">
        <v>44</v>
      </c>
      <c r="G686" s="3">
        <v>90</v>
      </c>
      <c r="H686" s="3">
        <v>40</v>
      </c>
      <c r="I686" s="12">
        <v>2</v>
      </c>
      <c r="J686" s="9" t="s">
        <v>1319</v>
      </c>
      <c r="K686" s="9" t="s">
        <v>49</v>
      </c>
      <c r="L686" s="13">
        <v>0</v>
      </c>
      <c r="M686" s="9" t="s">
        <v>34</v>
      </c>
    </row>
    <row r="687" spans="1:13" ht="20.25" customHeight="1" x14ac:dyDescent="0.25">
      <c r="A687" s="9" t="s">
        <v>1320</v>
      </c>
      <c r="B687" s="10">
        <v>45760</v>
      </c>
      <c r="C687" s="9" t="s">
        <v>28</v>
      </c>
      <c r="D687" s="9" t="s">
        <v>42</v>
      </c>
      <c r="E687" s="11" t="s">
        <v>43</v>
      </c>
      <c r="F687" s="11" t="s">
        <v>90</v>
      </c>
      <c r="G687" s="3">
        <v>150</v>
      </c>
      <c r="H687" s="3">
        <v>90</v>
      </c>
      <c r="I687" s="12">
        <v>1</v>
      </c>
      <c r="J687" s="9" t="s">
        <v>1321</v>
      </c>
      <c r="K687" s="9" t="s">
        <v>33</v>
      </c>
      <c r="L687" s="13">
        <v>1</v>
      </c>
      <c r="M687" s="9" t="s">
        <v>34</v>
      </c>
    </row>
    <row r="688" spans="1:13" ht="20.25" customHeight="1" x14ac:dyDescent="0.25">
      <c r="A688" s="9" t="s">
        <v>1322</v>
      </c>
      <c r="B688" s="10">
        <v>45761</v>
      </c>
      <c r="C688" s="9" t="s">
        <v>28</v>
      </c>
      <c r="D688" s="9" t="s">
        <v>42</v>
      </c>
      <c r="E688" s="11" t="s">
        <v>58</v>
      </c>
      <c r="F688" s="11" t="s">
        <v>68</v>
      </c>
      <c r="G688" s="3">
        <v>350</v>
      </c>
      <c r="H688" s="3">
        <v>220</v>
      </c>
      <c r="I688" s="12">
        <v>1</v>
      </c>
      <c r="J688" s="9" t="s">
        <v>1323</v>
      </c>
      <c r="K688" s="9" t="s">
        <v>33</v>
      </c>
      <c r="L688" s="13">
        <v>1</v>
      </c>
      <c r="M688" s="9" t="s">
        <v>34</v>
      </c>
    </row>
    <row r="689" spans="1:13" ht="20.25" customHeight="1" x14ac:dyDescent="0.25">
      <c r="A689" s="9" t="s">
        <v>1324</v>
      </c>
      <c r="B689" s="10">
        <v>45761</v>
      </c>
      <c r="C689" s="9" t="s">
        <v>71</v>
      </c>
      <c r="D689" s="9" t="s">
        <v>51</v>
      </c>
      <c r="E689" s="11" t="s">
        <v>37</v>
      </c>
      <c r="F689" s="11" t="s">
        <v>38</v>
      </c>
      <c r="G689" s="3">
        <v>120</v>
      </c>
      <c r="H689" s="3">
        <v>70</v>
      </c>
      <c r="I689" s="12">
        <v>1</v>
      </c>
      <c r="J689" s="9" t="s">
        <v>1325</v>
      </c>
      <c r="K689" s="9" t="s">
        <v>49</v>
      </c>
      <c r="L689" s="13">
        <v>0</v>
      </c>
      <c r="M689" s="9" t="s">
        <v>34</v>
      </c>
    </row>
    <row r="690" spans="1:13" ht="20.25" customHeight="1" x14ac:dyDescent="0.25">
      <c r="A690" s="9" t="s">
        <v>1326</v>
      </c>
      <c r="B690" s="10">
        <v>45761</v>
      </c>
      <c r="C690" s="9" t="s">
        <v>71</v>
      </c>
      <c r="D690" s="9" t="s">
        <v>29</v>
      </c>
      <c r="E690" s="11" t="s">
        <v>43</v>
      </c>
      <c r="F690" s="11" t="s">
        <v>90</v>
      </c>
      <c r="G690" s="3">
        <v>-150</v>
      </c>
      <c r="H690" s="3">
        <v>-90</v>
      </c>
      <c r="I690" s="12">
        <v>-1</v>
      </c>
      <c r="J690" s="9" t="s">
        <v>1327</v>
      </c>
      <c r="K690" s="9" t="s">
        <v>49</v>
      </c>
      <c r="L690" s="13">
        <v>0</v>
      </c>
      <c r="M690" s="9" t="s">
        <v>76</v>
      </c>
    </row>
    <row r="691" spans="1:13" ht="20.25" customHeight="1" x14ac:dyDescent="0.25">
      <c r="A691" s="9" t="s">
        <v>1328</v>
      </c>
      <c r="B691" s="10">
        <v>45761</v>
      </c>
      <c r="C691" s="9" t="s">
        <v>71</v>
      </c>
      <c r="D691" s="9" t="s">
        <v>51</v>
      </c>
      <c r="E691" s="11" t="s">
        <v>30</v>
      </c>
      <c r="F691" s="11" t="s">
        <v>80</v>
      </c>
      <c r="G691" s="3">
        <v>850</v>
      </c>
      <c r="H691" s="3">
        <v>600</v>
      </c>
      <c r="I691" s="12">
        <v>1</v>
      </c>
      <c r="J691" s="9" t="s">
        <v>1329</v>
      </c>
      <c r="K691" s="9" t="s">
        <v>49</v>
      </c>
      <c r="L691" s="13">
        <v>0</v>
      </c>
      <c r="M691" s="9" t="s">
        <v>34</v>
      </c>
    </row>
    <row r="692" spans="1:13" ht="20.25" customHeight="1" x14ac:dyDescent="0.25">
      <c r="A692" s="9" t="s">
        <v>1330</v>
      </c>
      <c r="B692" s="10">
        <v>45761</v>
      </c>
      <c r="C692" s="9" t="s">
        <v>28</v>
      </c>
      <c r="D692" s="9" t="s">
        <v>29</v>
      </c>
      <c r="E692" s="11" t="s">
        <v>37</v>
      </c>
      <c r="F692" s="11" t="s">
        <v>38</v>
      </c>
      <c r="G692" s="3">
        <v>240</v>
      </c>
      <c r="H692" s="3">
        <v>140</v>
      </c>
      <c r="I692" s="12">
        <v>2</v>
      </c>
      <c r="J692" s="9" t="s">
        <v>1331</v>
      </c>
      <c r="K692" s="9" t="s">
        <v>49</v>
      </c>
      <c r="L692" s="13">
        <v>0</v>
      </c>
      <c r="M692" s="9" t="s">
        <v>34</v>
      </c>
    </row>
    <row r="693" spans="1:13" ht="20.25" customHeight="1" x14ac:dyDescent="0.25">
      <c r="A693" s="9" t="s">
        <v>1332</v>
      </c>
      <c r="B693" s="10">
        <v>45761</v>
      </c>
      <c r="C693" s="9" t="s">
        <v>28</v>
      </c>
      <c r="D693" s="9" t="s">
        <v>29</v>
      </c>
      <c r="E693" s="11" t="s">
        <v>30</v>
      </c>
      <c r="F693" s="11" t="s">
        <v>80</v>
      </c>
      <c r="G693" s="3">
        <v>850</v>
      </c>
      <c r="H693" s="3">
        <v>600</v>
      </c>
      <c r="I693" s="12">
        <v>1</v>
      </c>
      <c r="J693" s="9" t="s">
        <v>1333</v>
      </c>
      <c r="K693" s="9" t="s">
        <v>33</v>
      </c>
      <c r="L693" s="13">
        <v>1</v>
      </c>
      <c r="M693" s="9" t="s">
        <v>34</v>
      </c>
    </row>
    <row r="694" spans="1:13" ht="20.25" customHeight="1" x14ac:dyDescent="0.25">
      <c r="A694" s="9" t="s">
        <v>1334</v>
      </c>
      <c r="B694" s="10">
        <v>45761</v>
      </c>
      <c r="C694" s="9" t="s">
        <v>62</v>
      </c>
      <c r="D694" s="9" t="s">
        <v>29</v>
      </c>
      <c r="E694" s="11" t="s">
        <v>58</v>
      </c>
      <c r="F694" s="11" t="s">
        <v>59</v>
      </c>
      <c r="G694" s="3">
        <v>300</v>
      </c>
      <c r="H694" s="3">
        <v>180</v>
      </c>
      <c r="I694" s="12">
        <v>2</v>
      </c>
      <c r="J694" s="9" t="s">
        <v>745</v>
      </c>
      <c r="K694" s="9" t="s">
        <v>33</v>
      </c>
      <c r="L694" s="13">
        <v>1</v>
      </c>
      <c r="M694" s="9" t="s">
        <v>34</v>
      </c>
    </row>
    <row r="695" spans="1:13" ht="20.25" customHeight="1" x14ac:dyDescent="0.25">
      <c r="A695" s="9" t="s">
        <v>1335</v>
      </c>
      <c r="B695" s="10">
        <v>45762</v>
      </c>
      <c r="C695" s="9" t="s">
        <v>28</v>
      </c>
      <c r="D695" s="9" t="s">
        <v>42</v>
      </c>
      <c r="E695" s="11" t="s">
        <v>30</v>
      </c>
      <c r="F695" s="11" t="s">
        <v>80</v>
      </c>
      <c r="G695" s="3">
        <v>1700</v>
      </c>
      <c r="H695" s="3">
        <v>1200</v>
      </c>
      <c r="I695" s="12">
        <v>2</v>
      </c>
      <c r="J695" s="9" t="s">
        <v>525</v>
      </c>
      <c r="K695" s="9" t="s">
        <v>49</v>
      </c>
      <c r="L695" s="13">
        <v>0</v>
      </c>
      <c r="M695" s="9" t="s">
        <v>34</v>
      </c>
    </row>
    <row r="696" spans="1:13" ht="20.25" customHeight="1" x14ac:dyDescent="0.25">
      <c r="A696" s="9" t="s">
        <v>1336</v>
      </c>
      <c r="B696" s="10">
        <v>45762</v>
      </c>
      <c r="C696" s="9" t="s">
        <v>41</v>
      </c>
      <c r="D696" s="9" t="s">
        <v>29</v>
      </c>
      <c r="E696" s="11" t="s">
        <v>30</v>
      </c>
      <c r="F696" s="11" t="s">
        <v>80</v>
      </c>
      <c r="G696" s="3">
        <v>850</v>
      </c>
      <c r="H696" s="3">
        <v>600</v>
      </c>
      <c r="I696" s="12">
        <v>1</v>
      </c>
      <c r="J696" s="9" t="s">
        <v>1337</v>
      </c>
      <c r="K696" s="9" t="s">
        <v>49</v>
      </c>
      <c r="L696" s="13">
        <v>0</v>
      </c>
      <c r="M696" s="9" t="s">
        <v>34</v>
      </c>
    </row>
    <row r="697" spans="1:13" ht="20.25" customHeight="1" x14ac:dyDescent="0.25">
      <c r="A697" s="9" t="s">
        <v>1338</v>
      </c>
      <c r="B697" s="10">
        <v>45762</v>
      </c>
      <c r="C697" s="9" t="s">
        <v>41</v>
      </c>
      <c r="D697" s="9" t="s">
        <v>51</v>
      </c>
      <c r="E697" s="11" t="s">
        <v>58</v>
      </c>
      <c r="F697" s="11" t="s">
        <v>87</v>
      </c>
      <c r="G697" s="3">
        <v>360</v>
      </c>
      <c r="H697" s="3">
        <v>220</v>
      </c>
      <c r="I697" s="12">
        <v>2</v>
      </c>
      <c r="J697" s="9" t="s">
        <v>1339</v>
      </c>
      <c r="K697" s="9" t="s">
        <v>33</v>
      </c>
      <c r="L697" s="13">
        <v>1</v>
      </c>
      <c r="M697" s="9" t="s">
        <v>34</v>
      </c>
    </row>
    <row r="698" spans="1:13" ht="20.25" customHeight="1" x14ac:dyDescent="0.25">
      <c r="A698" s="9" t="s">
        <v>1340</v>
      </c>
      <c r="B698" s="10">
        <v>45763</v>
      </c>
      <c r="C698" s="9" t="s">
        <v>71</v>
      </c>
      <c r="D698" s="9" t="s">
        <v>51</v>
      </c>
      <c r="E698" s="11" t="s">
        <v>58</v>
      </c>
      <c r="F698" s="11" t="s">
        <v>87</v>
      </c>
      <c r="G698" s="3">
        <v>180</v>
      </c>
      <c r="H698" s="3">
        <v>110</v>
      </c>
      <c r="I698" s="12">
        <v>1</v>
      </c>
      <c r="J698" s="9" t="s">
        <v>1341</v>
      </c>
      <c r="K698" s="9" t="s">
        <v>49</v>
      </c>
      <c r="L698" s="13">
        <v>0</v>
      </c>
      <c r="M698" s="9" t="s">
        <v>34</v>
      </c>
    </row>
    <row r="699" spans="1:13" ht="20.25" customHeight="1" x14ac:dyDescent="0.25">
      <c r="A699" s="9" t="s">
        <v>1342</v>
      </c>
      <c r="B699" s="10">
        <v>45763</v>
      </c>
      <c r="C699" s="9" t="s">
        <v>36</v>
      </c>
      <c r="D699" s="9" t="s">
        <v>29</v>
      </c>
      <c r="E699" s="11" t="s">
        <v>37</v>
      </c>
      <c r="F699" s="11" t="s">
        <v>55</v>
      </c>
      <c r="G699" s="3">
        <v>180</v>
      </c>
      <c r="H699" s="3">
        <v>110</v>
      </c>
      <c r="I699" s="12">
        <v>2</v>
      </c>
      <c r="J699" s="9" t="s">
        <v>1343</v>
      </c>
      <c r="K699" s="9" t="s">
        <v>33</v>
      </c>
      <c r="L699" s="13">
        <v>1</v>
      </c>
      <c r="M699" s="9" t="s">
        <v>34</v>
      </c>
    </row>
    <row r="700" spans="1:13" ht="20.25" customHeight="1" x14ac:dyDescent="0.25">
      <c r="A700" s="9" t="s">
        <v>1344</v>
      </c>
      <c r="B700" s="10">
        <v>45764</v>
      </c>
      <c r="C700" s="9" t="s">
        <v>28</v>
      </c>
      <c r="D700" s="9" t="s">
        <v>29</v>
      </c>
      <c r="E700" s="11" t="s">
        <v>30</v>
      </c>
      <c r="F700" s="11" t="s">
        <v>80</v>
      </c>
      <c r="G700" s="3">
        <v>-850</v>
      </c>
      <c r="H700" s="3">
        <v>-600</v>
      </c>
      <c r="I700" s="12">
        <v>-1</v>
      </c>
      <c r="J700" s="9" t="s">
        <v>1345</v>
      </c>
      <c r="K700" s="9" t="s">
        <v>49</v>
      </c>
      <c r="L700" s="13">
        <v>0</v>
      </c>
      <c r="M700" s="9" t="s">
        <v>76</v>
      </c>
    </row>
    <row r="701" spans="1:13" ht="20.25" customHeight="1" x14ac:dyDescent="0.25">
      <c r="A701" s="9" t="s">
        <v>1346</v>
      </c>
      <c r="B701" s="10">
        <v>45765</v>
      </c>
      <c r="C701" s="9" t="s">
        <v>71</v>
      </c>
      <c r="D701" s="9" t="s">
        <v>42</v>
      </c>
      <c r="E701" s="11" t="s">
        <v>58</v>
      </c>
      <c r="F701" s="11" t="s">
        <v>59</v>
      </c>
      <c r="G701" s="3">
        <v>150</v>
      </c>
      <c r="H701" s="3">
        <v>90</v>
      </c>
      <c r="I701" s="12">
        <v>1</v>
      </c>
      <c r="J701" s="9" t="s">
        <v>1347</v>
      </c>
      <c r="K701" s="9" t="s">
        <v>33</v>
      </c>
      <c r="L701" s="13">
        <v>1</v>
      </c>
      <c r="M701" s="9" t="s">
        <v>34</v>
      </c>
    </row>
    <row r="702" spans="1:13" ht="20.25" customHeight="1" x14ac:dyDescent="0.25">
      <c r="A702" s="9" t="s">
        <v>1348</v>
      </c>
      <c r="B702" s="10">
        <v>45765</v>
      </c>
      <c r="C702" s="9" t="s">
        <v>54</v>
      </c>
      <c r="D702" s="9" t="s">
        <v>51</v>
      </c>
      <c r="E702" s="11" t="s">
        <v>30</v>
      </c>
      <c r="F702" s="11" t="s">
        <v>63</v>
      </c>
      <c r="G702" s="3">
        <v>2400</v>
      </c>
      <c r="H702" s="3">
        <v>1700</v>
      </c>
      <c r="I702" s="12">
        <v>2</v>
      </c>
      <c r="J702" s="9" t="s">
        <v>1349</v>
      </c>
      <c r="K702" s="9" t="s">
        <v>49</v>
      </c>
      <c r="L702" s="13">
        <v>0</v>
      </c>
      <c r="M702" s="9" t="s">
        <v>34</v>
      </c>
    </row>
    <row r="703" spans="1:13" ht="20.25" customHeight="1" x14ac:dyDescent="0.25">
      <c r="A703" s="9" t="s">
        <v>1350</v>
      </c>
      <c r="B703" s="10">
        <v>45765</v>
      </c>
      <c r="C703" s="9" t="s">
        <v>62</v>
      </c>
      <c r="D703" s="9" t="s">
        <v>51</v>
      </c>
      <c r="E703" s="11" t="s">
        <v>37</v>
      </c>
      <c r="F703" s="11" t="s">
        <v>38</v>
      </c>
      <c r="G703" s="3">
        <v>120</v>
      </c>
      <c r="H703" s="3">
        <v>70</v>
      </c>
      <c r="I703" s="12">
        <v>1</v>
      </c>
      <c r="J703" s="9" t="s">
        <v>1351</v>
      </c>
      <c r="K703" s="9" t="s">
        <v>33</v>
      </c>
      <c r="L703" s="13">
        <v>1</v>
      </c>
      <c r="M703" s="9" t="s">
        <v>34</v>
      </c>
    </row>
    <row r="704" spans="1:13" ht="20.25" customHeight="1" x14ac:dyDescent="0.25">
      <c r="A704" s="9" t="s">
        <v>1352</v>
      </c>
      <c r="B704" s="10">
        <v>45765</v>
      </c>
      <c r="C704" s="9" t="s">
        <v>28</v>
      </c>
      <c r="D704" s="9" t="s">
        <v>29</v>
      </c>
      <c r="E704" s="11" t="s">
        <v>37</v>
      </c>
      <c r="F704" s="11" t="s">
        <v>72</v>
      </c>
      <c r="G704" s="3">
        <v>660</v>
      </c>
      <c r="H704" s="3">
        <v>390</v>
      </c>
      <c r="I704" s="12">
        <v>3</v>
      </c>
      <c r="J704" s="9" t="s">
        <v>1249</v>
      </c>
      <c r="K704" s="9" t="s">
        <v>49</v>
      </c>
      <c r="L704" s="13">
        <v>0</v>
      </c>
      <c r="M704" s="9" t="s">
        <v>34</v>
      </c>
    </row>
    <row r="705" spans="1:13" ht="20.25" customHeight="1" x14ac:dyDescent="0.25">
      <c r="A705" s="9" t="s">
        <v>1353</v>
      </c>
      <c r="B705" s="10">
        <v>45767</v>
      </c>
      <c r="C705" s="9" t="s">
        <v>28</v>
      </c>
      <c r="D705" s="9" t="s">
        <v>29</v>
      </c>
      <c r="E705" s="11" t="s">
        <v>37</v>
      </c>
      <c r="F705" s="11" t="s">
        <v>38</v>
      </c>
      <c r="G705" s="3">
        <v>-120</v>
      </c>
      <c r="H705" s="3">
        <v>-70</v>
      </c>
      <c r="I705" s="12">
        <v>-1</v>
      </c>
      <c r="J705" s="9" t="s">
        <v>1354</v>
      </c>
      <c r="K705" s="9" t="s">
        <v>33</v>
      </c>
      <c r="L705" s="13">
        <v>1</v>
      </c>
      <c r="M705" s="9" t="s">
        <v>76</v>
      </c>
    </row>
    <row r="706" spans="1:13" ht="20.25" customHeight="1" x14ac:dyDescent="0.25">
      <c r="A706" s="9" t="s">
        <v>1355</v>
      </c>
      <c r="B706" s="10">
        <v>45767</v>
      </c>
      <c r="C706" s="9" t="s">
        <v>62</v>
      </c>
      <c r="D706" s="9" t="s">
        <v>29</v>
      </c>
      <c r="E706" s="11" t="s">
        <v>37</v>
      </c>
      <c r="F706" s="11" t="s">
        <v>55</v>
      </c>
      <c r="G706" s="3">
        <v>90</v>
      </c>
      <c r="H706" s="3">
        <v>55</v>
      </c>
      <c r="I706" s="12">
        <v>1</v>
      </c>
      <c r="J706" s="9" t="s">
        <v>1356</v>
      </c>
      <c r="K706" s="9" t="s">
        <v>49</v>
      </c>
      <c r="L706" s="13">
        <v>0</v>
      </c>
      <c r="M706" s="9" t="s">
        <v>34</v>
      </c>
    </row>
    <row r="707" spans="1:13" ht="20.25" customHeight="1" x14ac:dyDescent="0.25">
      <c r="A707" s="9" t="s">
        <v>1357</v>
      </c>
      <c r="B707" s="10">
        <v>45767</v>
      </c>
      <c r="C707" s="9" t="s">
        <v>41</v>
      </c>
      <c r="D707" s="9" t="s">
        <v>29</v>
      </c>
      <c r="E707" s="11" t="s">
        <v>58</v>
      </c>
      <c r="F707" s="11" t="s">
        <v>59</v>
      </c>
      <c r="G707" s="3">
        <v>150</v>
      </c>
      <c r="H707" s="3">
        <v>90</v>
      </c>
      <c r="I707" s="12">
        <v>1</v>
      </c>
      <c r="J707" s="9" t="s">
        <v>1358</v>
      </c>
      <c r="K707" s="9" t="s">
        <v>33</v>
      </c>
      <c r="L707" s="13">
        <v>1</v>
      </c>
      <c r="M707" s="9" t="s">
        <v>34</v>
      </c>
    </row>
    <row r="708" spans="1:13" ht="20.25" customHeight="1" x14ac:dyDescent="0.25">
      <c r="A708" s="9" t="s">
        <v>1359</v>
      </c>
      <c r="B708" s="10">
        <v>45767</v>
      </c>
      <c r="C708" s="9" t="s">
        <v>54</v>
      </c>
      <c r="D708" s="9" t="s">
        <v>29</v>
      </c>
      <c r="E708" s="11" t="s">
        <v>43</v>
      </c>
      <c r="F708" s="11" t="s">
        <v>44</v>
      </c>
      <c r="G708" s="3">
        <v>45</v>
      </c>
      <c r="H708" s="3">
        <v>20</v>
      </c>
      <c r="I708" s="12">
        <v>1</v>
      </c>
      <c r="J708" s="9" t="s">
        <v>1360</v>
      </c>
      <c r="K708" s="9" t="s">
        <v>33</v>
      </c>
      <c r="L708" s="13">
        <v>1</v>
      </c>
      <c r="M708" s="9" t="s">
        <v>34</v>
      </c>
    </row>
    <row r="709" spans="1:13" ht="20.25" customHeight="1" x14ac:dyDescent="0.25">
      <c r="A709" s="9" t="s">
        <v>1361</v>
      </c>
      <c r="B709" s="10">
        <v>45768</v>
      </c>
      <c r="C709" s="9" t="s">
        <v>28</v>
      </c>
      <c r="D709" s="9" t="s">
        <v>42</v>
      </c>
      <c r="E709" s="11" t="s">
        <v>58</v>
      </c>
      <c r="F709" s="11" t="s">
        <v>87</v>
      </c>
      <c r="G709" s="3">
        <v>180</v>
      </c>
      <c r="H709" s="3">
        <v>110</v>
      </c>
      <c r="I709" s="12">
        <v>1</v>
      </c>
      <c r="J709" s="9" t="s">
        <v>334</v>
      </c>
      <c r="K709" s="9" t="s">
        <v>49</v>
      </c>
      <c r="L709" s="13">
        <v>0</v>
      </c>
      <c r="M709" s="9" t="s">
        <v>34</v>
      </c>
    </row>
    <row r="710" spans="1:13" ht="20.25" customHeight="1" x14ac:dyDescent="0.25">
      <c r="A710" s="9" t="s">
        <v>1362</v>
      </c>
      <c r="B710" s="10">
        <v>45768</v>
      </c>
      <c r="C710" s="9" t="s">
        <v>71</v>
      </c>
      <c r="D710" s="9" t="s">
        <v>29</v>
      </c>
      <c r="E710" s="11" t="s">
        <v>58</v>
      </c>
      <c r="F710" s="11" t="s">
        <v>87</v>
      </c>
      <c r="G710" s="3">
        <v>360</v>
      </c>
      <c r="H710" s="3">
        <v>220</v>
      </c>
      <c r="I710" s="12">
        <v>2</v>
      </c>
      <c r="J710" s="9" t="s">
        <v>1363</v>
      </c>
      <c r="K710" s="9" t="s">
        <v>49</v>
      </c>
      <c r="L710" s="13">
        <v>0</v>
      </c>
      <c r="M710" s="9" t="s">
        <v>34</v>
      </c>
    </row>
    <row r="711" spans="1:13" ht="20.25" customHeight="1" x14ac:dyDescent="0.25">
      <c r="A711" s="9" t="s">
        <v>1364</v>
      </c>
      <c r="B711" s="10">
        <v>45768</v>
      </c>
      <c r="C711" s="9" t="s">
        <v>41</v>
      </c>
      <c r="D711" s="9" t="s">
        <v>29</v>
      </c>
      <c r="E711" s="11" t="s">
        <v>37</v>
      </c>
      <c r="F711" s="11" t="s">
        <v>38</v>
      </c>
      <c r="G711" s="3">
        <v>240</v>
      </c>
      <c r="H711" s="3">
        <v>140</v>
      </c>
      <c r="I711" s="12">
        <v>2</v>
      </c>
      <c r="J711" s="9" t="s">
        <v>1365</v>
      </c>
      <c r="K711" s="9" t="s">
        <v>33</v>
      </c>
      <c r="L711" s="13">
        <v>1</v>
      </c>
      <c r="M711" s="9" t="s">
        <v>34</v>
      </c>
    </row>
    <row r="712" spans="1:13" ht="20.25" customHeight="1" x14ac:dyDescent="0.25">
      <c r="A712" s="9" t="s">
        <v>1366</v>
      </c>
      <c r="B712" s="10">
        <v>45769</v>
      </c>
      <c r="C712" s="9" t="s">
        <v>41</v>
      </c>
      <c r="D712" s="9" t="s">
        <v>51</v>
      </c>
      <c r="E712" s="11" t="s">
        <v>30</v>
      </c>
      <c r="F712" s="11" t="s">
        <v>31</v>
      </c>
      <c r="G712" s="3">
        <v>1950</v>
      </c>
      <c r="H712" s="3">
        <v>1350</v>
      </c>
      <c r="I712" s="12">
        <v>3</v>
      </c>
      <c r="J712" s="9" t="s">
        <v>1367</v>
      </c>
      <c r="K712" s="9" t="s">
        <v>49</v>
      </c>
      <c r="L712" s="13">
        <v>0</v>
      </c>
      <c r="M712" s="9" t="s">
        <v>34</v>
      </c>
    </row>
    <row r="713" spans="1:13" ht="20.25" customHeight="1" x14ac:dyDescent="0.25">
      <c r="A713" s="9" t="s">
        <v>1368</v>
      </c>
      <c r="B713" s="10">
        <v>45769</v>
      </c>
      <c r="C713" s="9" t="s">
        <v>36</v>
      </c>
      <c r="D713" s="9" t="s">
        <v>51</v>
      </c>
      <c r="E713" s="11" t="s">
        <v>37</v>
      </c>
      <c r="F713" s="11" t="s">
        <v>55</v>
      </c>
      <c r="G713" s="3">
        <v>360</v>
      </c>
      <c r="H713" s="3">
        <v>220</v>
      </c>
      <c r="I713" s="12">
        <v>4</v>
      </c>
      <c r="J713" s="9" t="s">
        <v>448</v>
      </c>
      <c r="K713" s="9" t="s">
        <v>33</v>
      </c>
      <c r="L713" s="13">
        <v>1</v>
      </c>
      <c r="M713" s="9" t="s">
        <v>34</v>
      </c>
    </row>
    <row r="714" spans="1:13" ht="20.25" customHeight="1" x14ac:dyDescent="0.25">
      <c r="A714" s="9" t="s">
        <v>1369</v>
      </c>
      <c r="B714" s="10">
        <v>45771</v>
      </c>
      <c r="C714" s="9" t="s">
        <v>28</v>
      </c>
      <c r="D714" s="9" t="s">
        <v>29</v>
      </c>
      <c r="E714" s="11" t="s">
        <v>37</v>
      </c>
      <c r="F714" s="11" t="s">
        <v>38</v>
      </c>
      <c r="G714" s="3">
        <v>120</v>
      </c>
      <c r="H714" s="3">
        <v>70</v>
      </c>
      <c r="I714" s="12">
        <v>1</v>
      </c>
      <c r="J714" s="9" t="s">
        <v>1370</v>
      </c>
      <c r="K714" s="9" t="s">
        <v>49</v>
      </c>
      <c r="L714" s="13">
        <v>0</v>
      </c>
      <c r="M714" s="9" t="s">
        <v>34</v>
      </c>
    </row>
    <row r="715" spans="1:13" ht="20.25" customHeight="1" x14ac:dyDescent="0.25">
      <c r="A715" s="9" t="s">
        <v>1371</v>
      </c>
      <c r="B715" s="10">
        <v>45772</v>
      </c>
      <c r="C715" s="9" t="s">
        <v>71</v>
      </c>
      <c r="D715" s="9" t="s">
        <v>51</v>
      </c>
      <c r="E715" s="11" t="s">
        <v>58</v>
      </c>
      <c r="F715" s="11" t="s">
        <v>68</v>
      </c>
      <c r="G715" s="3">
        <v>700</v>
      </c>
      <c r="H715" s="3">
        <v>440</v>
      </c>
      <c r="I715" s="12">
        <v>2</v>
      </c>
      <c r="J715" s="9" t="s">
        <v>1372</v>
      </c>
      <c r="K715" s="9" t="s">
        <v>49</v>
      </c>
      <c r="L715" s="13">
        <v>0</v>
      </c>
      <c r="M715" s="9" t="s">
        <v>34</v>
      </c>
    </row>
    <row r="716" spans="1:13" ht="20.25" customHeight="1" x14ac:dyDescent="0.25">
      <c r="A716" s="9" t="s">
        <v>1373</v>
      </c>
      <c r="B716" s="10">
        <v>45772</v>
      </c>
      <c r="C716" s="9" t="s">
        <v>28</v>
      </c>
      <c r="D716" s="9" t="s">
        <v>29</v>
      </c>
      <c r="E716" s="11" t="s">
        <v>30</v>
      </c>
      <c r="F716" s="11" t="s">
        <v>63</v>
      </c>
      <c r="G716" s="3">
        <v>1200</v>
      </c>
      <c r="H716" s="3">
        <v>850</v>
      </c>
      <c r="I716" s="12">
        <v>1</v>
      </c>
      <c r="J716" s="9" t="s">
        <v>1374</v>
      </c>
      <c r="K716" s="9" t="s">
        <v>33</v>
      </c>
      <c r="L716" s="13">
        <v>1</v>
      </c>
      <c r="M716" s="9" t="s">
        <v>34</v>
      </c>
    </row>
    <row r="717" spans="1:13" ht="20.25" customHeight="1" x14ac:dyDescent="0.25">
      <c r="A717" s="9" t="s">
        <v>1375</v>
      </c>
      <c r="B717" s="10">
        <v>45772</v>
      </c>
      <c r="C717" s="9" t="s">
        <v>36</v>
      </c>
      <c r="D717" s="9" t="s">
        <v>29</v>
      </c>
      <c r="E717" s="11" t="s">
        <v>30</v>
      </c>
      <c r="F717" s="11" t="s">
        <v>63</v>
      </c>
      <c r="G717" s="3">
        <v>-2400</v>
      </c>
      <c r="H717" s="3">
        <v>-1700</v>
      </c>
      <c r="I717" s="12">
        <v>-2</v>
      </c>
      <c r="J717" s="9" t="s">
        <v>1376</v>
      </c>
      <c r="K717" s="9" t="s">
        <v>49</v>
      </c>
      <c r="L717" s="13">
        <v>0</v>
      </c>
      <c r="M717" s="9" t="s">
        <v>76</v>
      </c>
    </row>
    <row r="718" spans="1:13" ht="20.25" customHeight="1" x14ac:dyDescent="0.25">
      <c r="A718" s="9" t="s">
        <v>1377</v>
      </c>
      <c r="B718" s="10">
        <v>45772</v>
      </c>
      <c r="C718" s="9" t="s">
        <v>62</v>
      </c>
      <c r="D718" s="9" t="s">
        <v>29</v>
      </c>
      <c r="E718" s="11" t="s">
        <v>43</v>
      </c>
      <c r="F718" s="11" t="s">
        <v>90</v>
      </c>
      <c r="G718" s="3">
        <v>150</v>
      </c>
      <c r="H718" s="3">
        <v>90</v>
      </c>
      <c r="I718" s="12">
        <v>1</v>
      </c>
      <c r="J718" s="9" t="s">
        <v>1378</v>
      </c>
      <c r="K718" s="9" t="s">
        <v>49</v>
      </c>
      <c r="L718" s="13">
        <v>0</v>
      </c>
      <c r="M718" s="9" t="s">
        <v>34</v>
      </c>
    </row>
    <row r="719" spans="1:13" ht="20.25" customHeight="1" x14ac:dyDescent="0.25">
      <c r="A719" s="9" t="s">
        <v>1379</v>
      </c>
      <c r="B719" s="10">
        <v>45774</v>
      </c>
      <c r="C719" s="9" t="s">
        <v>36</v>
      </c>
      <c r="D719" s="9" t="s">
        <v>42</v>
      </c>
      <c r="E719" s="11" t="s">
        <v>37</v>
      </c>
      <c r="F719" s="11" t="s">
        <v>72</v>
      </c>
      <c r="G719" s="3">
        <v>1100</v>
      </c>
      <c r="H719" s="3">
        <v>650</v>
      </c>
      <c r="I719" s="12">
        <v>5</v>
      </c>
      <c r="J719" s="9" t="s">
        <v>1149</v>
      </c>
      <c r="K719" s="9" t="s">
        <v>49</v>
      </c>
      <c r="L719" s="13">
        <v>0</v>
      </c>
      <c r="M719" s="9" t="s">
        <v>34</v>
      </c>
    </row>
    <row r="720" spans="1:13" ht="20.25" customHeight="1" x14ac:dyDescent="0.25">
      <c r="A720" s="9" t="s">
        <v>1380</v>
      </c>
      <c r="B720" s="10">
        <v>45775</v>
      </c>
      <c r="C720" s="9" t="s">
        <v>54</v>
      </c>
      <c r="D720" s="9" t="s">
        <v>29</v>
      </c>
      <c r="E720" s="11" t="s">
        <v>30</v>
      </c>
      <c r="F720" s="11" t="s">
        <v>63</v>
      </c>
      <c r="G720" s="3">
        <v>2400</v>
      </c>
      <c r="H720" s="3">
        <v>1700</v>
      </c>
      <c r="I720" s="12">
        <v>2</v>
      </c>
      <c r="J720" s="9" t="s">
        <v>707</v>
      </c>
      <c r="K720" s="9" t="s">
        <v>49</v>
      </c>
      <c r="L720" s="13">
        <v>0</v>
      </c>
      <c r="M720" s="9" t="s">
        <v>34</v>
      </c>
    </row>
    <row r="721" spans="1:13" ht="20.25" customHeight="1" x14ac:dyDescent="0.25">
      <c r="A721" s="9" t="s">
        <v>1381</v>
      </c>
      <c r="B721" s="10">
        <v>45775</v>
      </c>
      <c r="C721" s="9" t="s">
        <v>28</v>
      </c>
      <c r="D721" s="9" t="s">
        <v>29</v>
      </c>
      <c r="E721" s="11" t="s">
        <v>58</v>
      </c>
      <c r="F721" s="11" t="s">
        <v>87</v>
      </c>
      <c r="G721" s="3">
        <v>720</v>
      </c>
      <c r="H721" s="3">
        <v>440</v>
      </c>
      <c r="I721" s="12">
        <v>4</v>
      </c>
      <c r="J721" s="9" t="s">
        <v>924</v>
      </c>
      <c r="K721" s="9" t="s">
        <v>49</v>
      </c>
      <c r="L721" s="13">
        <v>0</v>
      </c>
      <c r="M721" s="9" t="s">
        <v>34</v>
      </c>
    </row>
    <row r="722" spans="1:13" ht="20.25" customHeight="1" x14ac:dyDescent="0.25">
      <c r="A722" s="9" t="s">
        <v>1382</v>
      </c>
      <c r="B722" s="10">
        <v>45775</v>
      </c>
      <c r="C722" s="9" t="s">
        <v>41</v>
      </c>
      <c r="D722" s="9" t="s">
        <v>29</v>
      </c>
      <c r="E722" s="11" t="s">
        <v>37</v>
      </c>
      <c r="F722" s="11" t="s">
        <v>55</v>
      </c>
      <c r="G722" s="3">
        <v>180</v>
      </c>
      <c r="H722" s="3">
        <v>110</v>
      </c>
      <c r="I722" s="12">
        <v>2</v>
      </c>
      <c r="J722" s="9" t="s">
        <v>201</v>
      </c>
      <c r="K722" s="9" t="s">
        <v>49</v>
      </c>
      <c r="L722" s="13">
        <v>0</v>
      </c>
      <c r="M722" s="9" t="s">
        <v>34</v>
      </c>
    </row>
    <row r="723" spans="1:13" ht="20.25" customHeight="1" x14ac:dyDescent="0.25">
      <c r="A723" s="9" t="s">
        <v>1383</v>
      </c>
      <c r="B723" s="10">
        <v>45775</v>
      </c>
      <c r="C723" s="9" t="s">
        <v>62</v>
      </c>
      <c r="D723" s="9" t="s">
        <v>42</v>
      </c>
      <c r="E723" s="11" t="s">
        <v>43</v>
      </c>
      <c r="F723" s="11" t="s">
        <v>47</v>
      </c>
      <c r="G723" s="3">
        <v>330</v>
      </c>
      <c r="H723" s="3">
        <v>195</v>
      </c>
      <c r="I723" s="12">
        <v>3</v>
      </c>
      <c r="J723" s="9" t="s">
        <v>1384</v>
      </c>
      <c r="K723" s="9" t="s">
        <v>49</v>
      </c>
      <c r="L723" s="13">
        <v>0</v>
      </c>
      <c r="M723" s="9" t="s">
        <v>34</v>
      </c>
    </row>
    <row r="724" spans="1:13" ht="20.25" customHeight="1" x14ac:dyDescent="0.25">
      <c r="A724" s="9" t="s">
        <v>1385</v>
      </c>
      <c r="B724" s="10">
        <v>45776</v>
      </c>
      <c r="C724" s="9" t="s">
        <v>28</v>
      </c>
      <c r="D724" s="9" t="s">
        <v>29</v>
      </c>
      <c r="E724" s="11" t="s">
        <v>30</v>
      </c>
      <c r="F724" s="11" t="s">
        <v>80</v>
      </c>
      <c r="G724" s="3">
        <v>1700</v>
      </c>
      <c r="H724" s="3">
        <v>1200</v>
      </c>
      <c r="I724" s="12">
        <v>2</v>
      </c>
      <c r="J724" s="9" t="s">
        <v>974</v>
      </c>
      <c r="K724" s="9" t="s">
        <v>49</v>
      </c>
      <c r="L724" s="13">
        <v>0</v>
      </c>
      <c r="M724" s="9" t="s">
        <v>34</v>
      </c>
    </row>
    <row r="725" spans="1:13" ht="20.25" customHeight="1" x14ac:dyDescent="0.25">
      <c r="A725" s="9" t="s">
        <v>1386</v>
      </c>
      <c r="B725" s="10">
        <v>45776</v>
      </c>
      <c r="C725" s="9" t="s">
        <v>28</v>
      </c>
      <c r="D725" s="9" t="s">
        <v>29</v>
      </c>
      <c r="E725" s="11" t="s">
        <v>30</v>
      </c>
      <c r="F725" s="11" t="s">
        <v>63</v>
      </c>
      <c r="G725" s="3">
        <v>1200</v>
      </c>
      <c r="H725" s="3">
        <v>850</v>
      </c>
      <c r="I725" s="12">
        <v>1</v>
      </c>
      <c r="J725" s="9" t="s">
        <v>1387</v>
      </c>
      <c r="K725" s="9" t="s">
        <v>49</v>
      </c>
      <c r="L725" s="13">
        <v>0</v>
      </c>
      <c r="M725" s="9" t="s">
        <v>34</v>
      </c>
    </row>
    <row r="726" spans="1:13" ht="20.25" customHeight="1" x14ac:dyDescent="0.25">
      <c r="A726" s="9" t="s">
        <v>1388</v>
      </c>
      <c r="B726" s="10">
        <v>45776</v>
      </c>
      <c r="C726" s="9" t="s">
        <v>36</v>
      </c>
      <c r="D726" s="9" t="s">
        <v>29</v>
      </c>
      <c r="E726" s="11" t="s">
        <v>43</v>
      </c>
      <c r="F726" s="11" t="s">
        <v>44</v>
      </c>
      <c r="G726" s="3">
        <v>45</v>
      </c>
      <c r="H726" s="3">
        <v>20</v>
      </c>
      <c r="I726" s="12">
        <v>1</v>
      </c>
      <c r="J726" s="9" t="s">
        <v>1389</v>
      </c>
      <c r="K726" s="9" t="s">
        <v>49</v>
      </c>
      <c r="L726" s="13">
        <v>0</v>
      </c>
      <c r="M726" s="9" t="s">
        <v>34</v>
      </c>
    </row>
    <row r="727" spans="1:13" ht="20.25" customHeight="1" x14ac:dyDescent="0.25">
      <c r="A727" s="9" t="s">
        <v>1390</v>
      </c>
      <c r="B727" s="10">
        <v>45776</v>
      </c>
      <c r="C727" s="9" t="s">
        <v>28</v>
      </c>
      <c r="D727" s="9" t="s">
        <v>29</v>
      </c>
      <c r="E727" s="11" t="s">
        <v>30</v>
      </c>
      <c r="F727" s="11" t="s">
        <v>80</v>
      </c>
      <c r="G727" s="3">
        <v>850</v>
      </c>
      <c r="H727" s="3">
        <v>600</v>
      </c>
      <c r="I727" s="12">
        <v>1</v>
      </c>
      <c r="J727" s="9" t="s">
        <v>1391</v>
      </c>
      <c r="K727" s="9" t="s">
        <v>49</v>
      </c>
      <c r="L727" s="13">
        <v>0</v>
      </c>
      <c r="M727" s="9" t="s">
        <v>34</v>
      </c>
    </row>
    <row r="728" spans="1:13" ht="20.25" customHeight="1" x14ac:dyDescent="0.25">
      <c r="A728" s="9" t="s">
        <v>1392</v>
      </c>
      <c r="B728" s="10">
        <v>45777</v>
      </c>
      <c r="C728" s="9" t="s">
        <v>41</v>
      </c>
      <c r="D728" s="9" t="s">
        <v>51</v>
      </c>
      <c r="E728" s="11" t="s">
        <v>30</v>
      </c>
      <c r="F728" s="11" t="s">
        <v>63</v>
      </c>
      <c r="G728" s="3">
        <v>1200</v>
      </c>
      <c r="H728" s="3">
        <v>850</v>
      </c>
      <c r="I728" s="12">
        <v>1</v>
      </c>
      <c r="J728" s="9" t="s">
        <v>1393</v>
      </c>
      <c r="K728" s="9" t="s">
        <v>49</v>
      </c>
      <c r="L728" s="13">
        <v>0</v>
      </c>
      <c r="M728" s="9" t="s">
        <v>34</v>
      </c>
    </row>
    <row r="729" spans="1:13" ht="20.25" customHeight="1" x14ac:dyDescent="0.25">
      <c r="A729" s="9" t="s">
        <v>1394</v>
      </c>
      <c r="B729" s="10">
        <v>45777</v>
      </c>
      <c r="C729" s="9" t="s">
        <v>62</v>
      </c>
      <c r="D729" s="9" t="s">
        <v>51</v>
      </c>
      <c r="E729" s="11" t="s">
        <v>43</v>
      </c>
      <c r="F729" s="11" t="s">
        <v>47</v>
      </c>
      <c r="G729" s="3">
        <v>110</v>
      </c>
      <c r="H729" s="3">
        <v>65</v>
      </c>
      <c r="I729" s="12">
        <v>1</v>
      </c>
      <c r="J729" s="9" t="s">
        <v>566</v>
      </c>
      <c r="K729" s="9" t="s">
        <v>33</v>
      </c>
      <c r="L729" s="13">
        <v>1</v>
      </c>
      <c r="M729" s="9" t="s">
        <v>34</v>
      </c>
    </row>
    <row r="730" spans="1:13" ht="20.25" customHeight="1" x14ac:dyDescent="0.25">
      <c r="A730" s="9" t="s">
        <v>1395</v>
      </c>
      <c r="B730" s="10">
        <v>45777</v>
      </c>
      <c r="C730" s="9" t="s">
        <v>36</v>
      </c>
      <c r="D730" s="9" t="s">
        <v>29</v>
      </c>
      <c r="E730" s="11" t="s">
        <v>37</v>
      </c>
      <c r="F730" s="11" t="s">
        <v>38</v>
      </c>
      <c r="G730" s="3">
        <v>120</v>
      </c>
      <c r="H730" s="3">
        <v>70</v>
      </c>
      <c r="I730" s="12">
        <v>1</v>
      </c>
      <c r="J730" s="9" t="s">
        <v>1396</v>
      </c>
      <c r="K730" s="9" t="s">
        <v>49</v>
      </c>
      <c r="L730" s="13">
        <v>0</v>
      </c>
      <c r="M730" s="9" t="s">
        <v>34</v>
      </c>
    </row>
    <row r="731" spans="1:13" ht="20.25" customHeight="1" x14ac:dyDescent="0.25">
      <c r="A731" s="9" t="s">
        <v>1397</v>
      </c>
      <c r="B731" s="10">
        <v>45778</v>
      </c>
      <c r="C731" s="9" t="s">
        <v>28</v>
      </c>
      <c r="D731" s="9" t="s">
        <v>29</v>
      </c>
      <c r="E731" s="11" t="s">
        <v>30</v>
      </c>
      <c r="F731" s="11" t="s">
        <v>63</v>
      </c>
      <c r="G731" s="3">
        <v>1200</v>
      </c>
      <c r="H731" s="3">
        <v>850</v>
      </c>
      <c r="I731" s="12">
        <v>1</v>
      </c>
      <c r="J731" s="9" t="s">
        <v>1398</v>
      </c>
      <c r="K731" s="9" t="s">
        <v>33</v>
      </c>
      <c r="L731" s="13">
        <v>1</v>
      </c>
      <c r="M731" s="9" t="s">
        <v>34</v>
      </c>
    </row>
    <row r="732" spans="1:13" ht="20.25" customHeight="1" x14ac:dyDescent="0.25">
      <c r="A732" s="9" t="s">
        <v>1399</v>
      </c>
      <c r="B732" s="10">
        <v>45778</v>
      </c>
      <c r="C732" s="9" t="s">
        <v>36</v>
      </c>
      <c r="D732" s="9" t="s">
        <v>29</v>
      </c>
      <c r="E732" s="11" t="s">
        <v>30</v>
      </c>
      <c r="F732" s="11" t="s">
        <v>63</v>
      </c>
      <c r="G732" s="3">
        <v>-4800</v>
      </c>
      <c r="H732" s="3">
        <v>-3400</v>
      </c>
      <c r="I732" s="12">
        <v>-4</v>
      </c>
      <c r="J732" s="9" t="s">
        <v>1400</v>
      </c>
      <c r="K732" s="9" t="s">
        <v>49</v>
      </c>
      <c r="L732" s="13">
        <v>0</v>
      </c>
      <c r="M732" s="9" t="s">
        <v>76</v>
      </c>
    </row>
    <row r="733" spans="1:13" ht="20.25" customHeight="1" x14ac:dyDescent="0.25">
      <c r="A733" s="9" t="s">
        <v>1401</v>
      </c>
      <c r="B733" s="10">
        <v>45779</v>
      </c>
      <c r="C733" s="9" t="s">
        <v>41</v>
      </c>
      <c r="D733" s="9" t="s">
        <v>29</v>
      </c>
      <c r="E733" s="11" t="s">
        <v>30</v>
      </c>
      <c r="F733" s="11" t="s">
        <v>63</v>
      </c>
      <c r="G733" s="3">
        <v>3600</v>
      </c>
      <c r="H733" s="3">
        <v>2550</v>
      </c>
      <c r="I733" s="12">
        <v>3</v>
      </c>
      <c r="J733" s="9" t="s">
        <v>1402</v>
      </c>
      <c r="K733" s="9" t="s">
        <v>49</v>
      </c>
      <c r="L733" s="13">
        <v>0</v>
      </c>
      <c r="M733" s="9" t="s">
        <v>34</v>
      </c>
    </row>
    <row r="734" spans="1:13" ht="20.25" customHeight="1" x14ac:dyDescent="0.25">
      <c r="A734" s="9" t="s">
        <v>1403</v>
      </c>
      <c r="B734" s="10">
        <v>45779</v>
      </c>
      <c r="C734" s="9" t="s">
        <v>28</v>
      </c>
      <c r="D734" s="9" t="s">
        <v>29</v>
      </c>
      <c r="E734" s="11" t="s">
        <v>30</v>
      </c>
      <c r="F734" s="11" t="s">
        <v>63</v>
      </c>
      <c r="G734" s="3">
        <v>1200</v>
      </c>
      <c r="H734" s="3">
        <v>850</v>
      </c>
      <c r="I734" s="12">
        <v>1</v>
      </c>
      <c r="J734" s="9" t="s">
        <v>1404</v>
      </c>
      <c r="K734" s="9" t="s">
        <v>49</v>
      </c>
      <c r="L734" s="13">
        <v>0</v>
      </c>
      <c r="M734" s="9" t="s">
        <v>34</v>
      </c>
    </row>
    <row r="735" spans="1:13" ht="20.25" customHeight="1" x14ac:dyDescent="0.25">
      <c r="A735" s="9" t="s">
        <v>1405</v>
      </c>
      <c r="B735" s="10">
        <v>45779</v>
      </c>
      <c r="C735" s="9" t="s">
        <v>71</v>
      </c>
      <c r="D735" s="9" t="s">
        <v>51</v>
      </c>
      <c r="E735" s="11" t="s">
        <v>43</v>
      </c>
      <c r="F735" s="11" t="s">
        <v>44</v>
      </c>
      <c r="G735" s="3">
        <v>45</v>
      </c>
      <c r="H735" s="3">
        <v>20</v>
      </c>
      <c r="I735" s="12">
        <v>1</v>
      </c>
      <c r="J735" s="9" t="s">
        <v>1406</v>
      </c>
      <c r="K735" s="9" t="s">
        <v>49</v>
      </c>
      <c r="L735" s="13">
        <v>0</v>
      </c>
      <c r="M735" s="9" t="s">
        <v>34</v>
      </c>
    </row>
    <row r="736" spans="1:13" ht="20.25" customHeight="1" x14ac:dyDescent="0.25">
      <c r="A736" s="9" t="s">
        <v>1407</v>
      </c>
      <c r="B736" s="10">
        <v>45780</v>
      </c>
      <c r="C736" s="9" t="s">
        <v>71</v>
      </c>
      <c r="D736" s="9" t="s">
        <v>42</v>
      </c>
      <c r="E736" s="11" t="s">
        <v>58</v>
      </c>
      <c r="F736" s="11" t="s">
        <v>59</v>
      </c>
      <c r="G736" s="3">
        <v>150</v>
      </c>
      <c r="H736" s="3">
        <v>90</v>
      </c>
      <c r="I736" s="12">
        <v>1</v>
      </c>
      <c r="J736" s="9" t="s">
        <v>1282</v>
      </c>
      <c r="K736" s="9" t="s">
        <v>49</v>
      </c>
      <c r="L736" s="13">
        <v>0</v>
      </c>
      <c r="M736" s="9" t="s">
        <v>34</v>
      </c>
    </row>
    <row r="737" spans="1:13" ht="20.25" customHeight="1" x14ac:dyDescent="0.25">
      <c r="A737" s="9" t="s">
        <v>1408</v>
      </c>
      <c r="B737" s="10">
        <v>45780</v>
      </c>
      <c r="C737" s="9" t="s">
        <v>71</v>
      </c>
      <c r="D737" s="9" t="s">
        <v>42</v>
      </c>
      <c r="E737" s="11" t="s">
        <v>37</v>
      </c>
      <c r="F737" s="11" t="s">
        <v>55</v>
      </c>
      <c r="G737" s="3">
        <v>90</v>
      </c>
      <c r="H737" s="3">
        <v>55</v>
      </c>
      <c r="I737" s="12">
        <v>1</v>
      </c>
      <c r="J737" s="9" t="s">
        <v>1409</v>
      </c>
      <c r="K737" s="9" t="s">
        <v>33</v>
      </c>
      <c r="L737" s="13">
        <v>1</v>
      </c>
      <c r="M737" s="9" t="s">
        <v>34</v>
      </c>
    </row>
    <row r="738" spans="1:13" ht="20.25" customHeight="1" x14ac:dyDescent="0.25">
      <c r="A738" s="9" t="s">
        <v>1410</v>
      </c>
      <c r="B738" s="10">
        <v>45781</v>
      </c>
      <c r="C738" s="9" t="s">
        <v>28</v>
      </c>
      <c r="D738" s="9" t="s">
        <v>42</v>
      </c>
      <c r="E738" s="11" t="s">
        <v>43</v>
      </c>
      <c r="F738" s="11" t="s">
        <v>47</v>
      </c>
      <c r="G738" s="3">
        <v>220</v>
      </c>
      <c r="H738" s="3">
        <v>130</v>
      </c>
      <c r="I738" s="12">
        <v>2</v>
      </c>
      <c r="J738" s="9" t="s">
        <v>1411</v>
      </c>
      <c r="K738" s="9" t="s">
        <v>49</v>
      </c>
      <c r="L738" s="13">
        <v>0</v>
      </c>
      <c r="M738" s="9" t="s">
        <v>34</v>
      </c>
    </row>
    <row r="739" spans="1:13" ht="20.25" customHeight="1" x14ac:dyDescent="0.25">
      <c r="A739" s="9" t="s">
        <v>1412</v>
      </c>
      <c r="B739" s="10">
        <v>45781</v>
      </c>
      <c r="C739" s="9" t="s">
        <v>41</v>
      </c>
      <c r="D739" s="9" t="s">
        <v>51</v>
      </c>
      <c r="E739" s="11" t="s">
        <v>58</v>
      </c>
      <c r="F739" s="11" t="s">
        <v>68</v>
      </c>
      <c r="G739" s="3">
        <v>350</v>
      </c>
      <c r="H739" s="3">
        <v>220</v>
      </c>
      <c r="I739" s="12">
        <v>1</v>
      </c>
      <c r="J739" s="9" t="s">
        <v>1413</v>
      </c>
      <c r="K739" s="9" t="s">
        <v>49</v>
      </c>
      <c r="L739" s="13">
        <v>0</v>
      </c>
      <c r="M739" s="9" t="s">
        <v>34</v>
      </c>
    </row>
    <row r="740" spans="1:13" ht="20.25" customHeight="1" x14ac:dyDescent="0.25">
      <c r="A740" s="9" t="s">
        <v>1414</v>
      </c>
      <c r="B740" s="10">
        <v>45781</v>
      </c>
      <c r="C740" s="9" t="s">
        <v>28</v>
      </c>
      <c r="D740" s="9" t="s">
        <v>51</v>
      </c>
      <c r="E740" s="11" t="s">
        <v>30</v>
      </c>
      <c r="F740" s="11" t="s">
        <v>31</v>
      </c>
      <c r="G740" s="3">
        <v>650</v>
      </c>
      <c r="H740" s="3">
        <v>450</v>
      </c>
      <c r="I740" s="12">
        <v>1</v>
      </c>
      <c r="J740" s="9" t="s">
        <v>1415</v>
      </c>
      <c r="K740" s="9" t="s">
        <v>49</v>
      </c>
      <c r="L740" s="13">
        <v>0</v>
      </c>
      <c r="M740" s="9" t="s">
        <v>34</v>
      </c>
    </row>
    <row r="741" spans="1:13" ht="20.25" customHeight="1" x14ac:dyDescent="0.25">
      <c r="A741" s="9" t="s">
        <v>1416</v>
      </c>
      <c r="B741" s="10">
        <v>45782</v>
      </c>
      <c r="C741" s="9" t="s">
        <v>28</v>
      </c>
      <c r="D741" s="9" t="s">
        <v>29</v>
      </c>
      <c r="E741" s="11" t="s">
        <v>58</v>
      </c>
      <c r="F741" s="11" t="s">
        <v>68</v>
      </c>
      <c r="G741" s="3">
        <v>1050</v>
      </c>
      <c r="H741" s="3">
        <v>660</v>
      </c>
      <c r="I741" s="12">
        <v>3</v>
      </c>
      <c r="J741" s="9" t="s">
        <v>665</v>
      </c>
      <c r="K741" s="9" t="s">
        <v>49</v>
      </c>
      <c r="L741" s="13">
        <v>0</v>
      </c>
      <c r="M741" s="9" t="s">
        <v>34</v>
      </c>
    </row>
    <row r="742" spans="1:13" ht="20.25" customHeight="1" x14ac:dyDescent="0.25">
      <c r="A742" s="9" t="s">
        <v>1417</v>
      </c>
      <c r="B742" s="10">
        <v>45782</v>
      </c>
      <c r="C742" s="9" t="s">
        <v>54</v>
      </c>
      <c r="D742" s="9" t="s">
        <v>51</v>
      </c>
      <c r="E742" s="11" t="s">
        <v>43</v>
      </c>
      <c r="F742" s="11" t="s">
        <v>90</v>
      </c>
      <c r="G742" s="3">
        <v>300</v>
      </c>
      <c r="H742" s="3">
        <v>180</v>
      </c>
      <c r="I742" s="12">
        <v>2</v>
      </c>
      <c r="J742" s="9" t="s">
        <v>1418</v>
      </c>
      <c r="K742" s="9" t="s">
        <v>33</v>
      </c>
      <c r="L742" s="13">
        <v>1</v>
      </c>
      <c r="M742" s="9" t="s">
        <v>34</v>
      </c>
    </row>
    <row r="743" spans="1:13" ht="20.25" customHeight="1" x14ac:dyDescent="0.25">
      <c r="A743" s="9" t="s">
        <v>1419</v>
      </c>
      <c r="B743" s="10">
        <v>45782</v>
      </c>
      <c r="C743" s="9" t="s">
        <v>41</v>
      </c>
      <c r="D743" s="9" t="s">
        <v>29</v>
      </c>
      <c r="E743" s="11" t="s">
        <v>43</v>
      </c>
      <c r="F743" s="11" t="s">
        <v>44</v>
      </c>
      <c r="G743" s="3">
        <v>45</v>
      </c>
      <c r="H743" s="3">
        <v>20</v>
      </c>
      <c r="I743" s="12">
        <v>1</v>
      </c>
      <c r="J743" s="9" t="s">
        <v>1420</v>
      </c>
      <c r="K743" s="9" t="s">
        <v>49</v>
      </c>
      <c r="L743" s="13">
        <v>0</v>
      </c>
      <c r="M743" s="9" t="s">
        <v>34</v>
      </c>
    </row>
    <row r="744" spans="1:13" ht="20.25" customHeight="1" x14ac:dyDescent="0.25">
      <c r="A744" s="9" t="s">
        <v>1421</v>
      </c>
      <c r="B744" s="10">
        <v>45782</v>
      </c>
      <c r="C744" s="9" t="s">
        <v>28</v>
      </c>
      <c r="D744" s="9" t="s">
        <v>29</v>
      </c>
      <c r="E744" s="11" t="s">
        <v>30</v>
      </c>
      <c r="F744" s="11" t="s">
        <v>80</v>
      </c>
      <c r="G744" s="3">
        <v>1700</v>
      </c>
      <c r="H744" s="3">
        <v>1200</v>
      </c>
      <c r="I744" s="12">
        <v>2</v>
      </c>
      <c r="J744" s="9" t="s">
        <v>111</v>
      </c>
      <c r="K744" s="9" t="s">
        <v>49</v>
      </c>
      <c r="L744" s="13">
        <v>0</v>
      </c>
      <c r="M744" s="9" t="s">
        <v>34</v>
      </c>
    </row>
    <row r="745" spans="1:13" ht="20.25" customHeight="1" x14ac:dyDescent="0.25">
      <c r="A745" s="9" t="s">
        <v>1422</v>
      </c>
      <c r="B745" s="10">
        <v>45782</v>
      </c>
      <c r="C745" s="9" t="s">
        <v>28</v>
      </c>
      <c r="D745" s="9" t="s">
        <v>51</v>
      </c>
      <c r="E745" s="11" t="s">
        <v>37</v>
      </c>
      <c r="F745" s="11" t="s">
        <v>72</v>
      </c>
      <c r="G745" s="3">
        <v>220</v>
      </c>
      <c r="H745" s="3">
        <v>130</v>
      </c>
      <c r="I745" s="12">
        <v>1</v>
      </c>
      <c r="J745" s="9" t="s">
        <v>1230</v>
      </c>
      <c r="K745" s="9" t="s">
        <v>49</v>
      </c>
      <c r="L745" s="13">
        <v>0</v>
      </c>
      <c r="M745" s="9" t="s">
        <v>34</v>
      </c>
    </row>
    <row r="746" spans="1:13" ht="20.25" customHeight="1" x14ac:dyDescent="0.25">
      <c r="A746" s="9" t="s">
        <v>1423</v>
      </c>
      <c r="B746" s="10">
        <v>45782</v>
      </c>
      <c r="C746" s="9" t="s">
        <v>28</v>
      </c>
      <c r="D746" s="9" t="s">
        <v>29</v>
      </c>
      <c r="E746" s="11" t="s">
        <v>37</v>
      </c>
      <c r="F746" s="11" t="s">
        <v>72</v>
      </c>
      <c r="G746" s="3">
        <v>220</v>
      </c>
      <c r="H746" s="3">
        <v>130</v>
      </c>
      <c r="I746" s="12">
        <v>1</v>
      </c>
      <c r="J746" s="9" t="s">
        <v>1424</v>
      </c>
      <c r="K746" s="9" t="s">
        <v>33</v>
      </c>
      <c r="L746" s="13">
        <v>1</v>
      </c>
      <c r="M746" s="9" t="s">
        <v>34</v>
      </c>
    </row>
    <row r="747" spans="1:13" ht="20.25" customHeight="1" x14ac:dyDescent="0.25">
      <c r="A747" s="9" t="s">
        <v>1425</v>
      </c>
      <c r="B747" s="10">
        <v>45783</v>
      </c>
      <c r="C747" s="9" t="s">
        <v>28</v>
      </c>
      <c r="D747" s="9" t="s">
        <v>29</v>
      </c>
      <c r="E747" s="11" t="s">
        <v>43</v>
      </c>
      <c r="F747" s="11" t="s">
        <v>44</v>
      </c>
      <c r="G747" s="3">
        <v>45</v>
      </c>
      <c r="H747" s="3">
        <v>20</v>
      </c>
      <c r="I747" s="12">
        <v>1</v>
      </c>
      <c r="J747" s="9" t="s">
        <v>1426</v>
      </c>
      <c r="K747" s="9" t="s">
        <v>33</v>
      </c>
      <c r="L747" s="13">
        <v>1</v>
      </c>
      <c r="M747" s="9" t="s">
        <v>34</v>
      </c>
    </row>
    <row r="748" spans="1:13" ht="20.25" customHeight="1" x14ac:dyDescent="0.25">
      <c r="A748" s="9" t="s">
        <v>1427</v>
      </c>
      <c r="B748" s="10">
        <v>45783</v>
      </c>
      <c r="C748" s="9" t="s">
        <v>28</v>
      </c>
      <c r="D748" s="9" t="s">
        <v>42</v>
      </c>
      <c r="E748" s="11" t="s">
        <v>30</v>
      </c>
      <c r="F748" s="11" t="s">
        <v>63</v>
      </c>
      <c r="G748" s="3">
        <v>1200</v>
      </c>
      <c r="H748" s="3">
        <v>850</v>
      </c>
      <c r="I748" s="12">
        <v>1</v>
      </c>
      <c r="J748" s="9" t="s">
        <v>1428</v>
      </c>
      <c r="K748" s="9" t="s">
        <v>49</v>
      </c>
      <c r="L748" s="13">
        <v>0</v>
      </c>
      <c r="M748" s="9" t="s">
        <v>34</v>
      </c>
    </row>
    <row r="749" spans="1:13" ht="20.25" customHeight="1" x14ac:dyDescent="0.25">
      <c r="A749" s="9" t="s">
        <v>1429</v>
      </c>
      <c r="B749" s="10">
        <v>45784</v>
      </c>
      <c r="C749" s="9" t="s">
        <v>28</v>
      </c>
      <c r="D749" s="9" t="s">
        <v>29</v>
      </c>
      <c r="E749" s="11" t="s">
        <v>58</v>
      </c>
      <c r="F749" s="11" t="s">
        <v>87</v>
      </c>
      <c r="G749" s="3">
        <v>180</v>
      </c>
      <c r="H749" s="3">
        <v>110</v>
      </c>
      <c r="I749" s="12">
        <v>1</v>
      </c>
      <c r="J749" s="9" t="s">
        <v>1430</v>
      </c>
      <c r="K749" s="9" t="s">
        <v>49</v>
      </c>
      <c r="L749" s="13">
        <v>0</v>
      </c>
      <c r="M749" s="9" t="s">
        <v>34</v>
      </c>
    </row>
    <row r="750" spans="1:13" ht="20.25" customHeight="1" x14ac:dyDescent="0.25">
      <c r="A750" s="9" t="s">
        <v>1431</v>
      </c>
      <c r="B750" s="10">
        <v>45784</v>
      </c>
      <c r="C750" s="9" t="s">
        <v>36</v>
      </c>
      <c r="D750" s="9" t="s">
        <v>29</v>
      </c>
      <c r="E750" s="11" t="s">
        <v>43</v>
      </c>
      <c r="F750" s="11" t="s">
        <v>44</v>
      </c>
      <c r="G750" s="3">
        <v>45</v>
      </c>
      <c r="H750" s="3">
        <v>20</v>
      </c>
      <c r="I750" s="12">
        <v>1</v>
      </c>
      <c r="J750" s="9" t="s">
        <v>1432</v>
      </c>
      <c r="K750" s="9" t="s">
        <v>49</v>
      </c>
      <c r="L750" s="13">
        <v>0</v>
      </c>
      <c r="M750" s="9" t="s">
        <v>34</v>
      </c>
    </row>
    <row r="751" spans="1:13" ht="20.25" customHeight="1" x14ac:dyDescent="0.25">
      <c r="A751" s="9" t="s">
        <v>1433</v>
      </c>
      <c r="B751" s="10">
        <v>45784</v>
      </c>
      <c r="C751" s="9" t="s">
        <v>41</v>
      </c>
      <c r="D751" s="9" t="s">
        <v>42</v>
      </c>
      <c r="E751" s="11" t="s">
        <v>58</v>
      </c>
      <c r="F751" s="11" t="s">
        <v>87</v>
      </c>
      <c r="G751" s="3">
        <v>360</v>
      </c>
      <c r="H751" s="3">
        <v>220</v>
      </c>
      <c r="I751" s="12">
        <v>2</v>
      </c>
      <c r="J751" s="9" t="s">
        <v>1109</v>
      </c>
      <c r="K751" s="9" t="s">
        <v>49</v>
      </c>
      <c r="L751" s="13">
        <v>0</v>
      </c>
      <c r="M751" s="9" t="s">
        <v>34</v>
      </c>
    </row>
    <row r="752" spans="1:13" ht="20.25" customHeight="1" x14ac:dyDescent="0.25">
      <c r="A752" s="9" t="s">
        <v>1434</v>
      </c>
      <c r="B752" s="10">
        <v>45784</v>
      </c>
      <c r="C752" s="9" t="s">
        <v>71</v>
      </c>
      <c r="D752" s="9" t="s">
        <v>51</v>
      </c>
      <c r="E752" s="11" t="s">
        <v>58</v>
      </c>
      <c r="F752" s="11" t="s">
        <v>68</v>
      </c>
      <c r="G752" s="3">
        <v>700</v>
      </c>
      <c r="H752" s="3">
        <v>440</v>
      </c>
      <c r="I752" s="12">
        <v>2</v>
      </c>
      <c r="J752" s="9" t="s">
        <v>1435</v>
      </c>
      <c r="K752" s="9" t="s">
        <v>49</v>
      </c>
      <c r="L752" s="13">
        <v>0</v>
      </c>
      <c r="M752" s="9" t="s">
        <v>34</v>
      </c>
    </row>
    <row r="753" spans="1:13" ht="20.25" customHeight="1" x14ac:dyDescent="0.25">
      <c r="A753" s="9" t="s">
        <v>1436</v>
      </c>
      <c r="B753" s="10">
        <v>45784</v>
      </c>
      <c r="C753" s="9" t="s">
        <v>41</v>
      </c>
      <c r="D753" s="9" t="s">
        <v>51</v>
      </c>
      <c r="E753" s="11" t="s">
        <v>30</v>
      </c>
      <c r="F753" s="11" t="s">
        <v>63</v>
      </c>
      <c r="G753" s="3">
        <v>1200</v>
      </c>
      <c r="H753" s="3">
        <v>850</v>
      </c>
      <c r="I753" s="12">
        <v>1</v>
      </c>
      <c r="J753" s="9" t="s">
        <v>1437</v>
      </c>
      <c r="K753" s="9" t="s">
        <v>33</v>
      </c>
      <c r="L753" s="13">
        <v>1</v>
      </c>
      <c r="M753" s="9" t="s">
        <v>34</v>
      </c>
    </row>
    <row r="754" spans="1:13" ht="20.25" customHeight="1" x14ac:dyDescent="0.25">
      <c r="A754" s="9" t="s">
        <v>1438</v>
      </c>
      <c r="B754" s="10">
        <v>45784</v>
      </c>
      <c r="C754" s="9" t="s">
        <v>28</v>
      </c>
      <c r="D754" s="9" t="s">
        <v>29</v>
      </c>
      <c r="E754" s="11" t="s">
        <v>30</v>
      </c>
      <c r="F754" s="11" t="s">
        <v>31</v>
      </c>
      <c r="G754" s="3">
        <v>650</v>
      </c>
      <c r="H754" s="3">
        <v>450</v>
      </c>
      <c r="I754" s="12">
        <v>1</v>
      </c>
      <c r="J754" s="9" t="s">
        <v>1439</v>
      </c>
      <c r="K754" s="9" t="s">
        <v>33</v>
      </c>
      <c r="L754" s="13">
        <v>1</v>
      </c>
      <c r="M754" s="9" t="s">
        <v>34</v>
      </c>
    </row>
    <row r="755" spans="1:13" ht="20.25" customHeight="1" x14ac:dyDescent="0.25">
      <c r="A755" s="9" t="s">
        <v>1440</v>
      </c>
      <c r="B755" s="10">
        <v>45784</v>
      </c>
      <c r="C755" s="9" t="s">
        <v>62</v>
      </c>
      <c r="D755" s="9" t="s">
        <v>29</v>
      </c>
      <c r="E755" s="11" t="s">
        <v>58</v>
      </c>
      <c r="F755" s="11" t="s">
        <v>87</v>
      </c>
      <c r="G755" s="3">
        <v>360</v>
      </c>
      <c r="H755" s="3">
        <v>220</v>
      </c>
      <c r="I755" s="12">
        <v>2</v>
      </c>
      <c r="J755" s="9" t="s">
        <v>1441</v>
      </c>
      <c r="K755" s="9" t="s">
        <v>49</v>
      </c>
      <c r="L755" s="13">
        <v>0</v>
      </c>
      <c r="M755" s="9" t="s">
        <v>34</v>
      </c>
    </row>
    <row r="756" spans="1:13" ht="20.25" customHeight="1" x14ac:dyDescent="0.25">
      <c r="A756" s="9" t="s">
        <v>1442</v>
      </c>
      <c r="B756" s="10">
        <v>45785</v>
      </c>
      <c r="C756" s="9" t="s">
        <v>54</v>
      </c>
      <c r="D756" s="9" t="s">
        <v>42</v>
      </c>
      <c r="E756" s="11" t="s">
        <v>43</v>
      </c>
      <c r="F756" s="11" t="s">
        <v>47</v>
      </c>
      <c r="G756" s="3">
        <v>110</v>
      </c>
      <c r="H756" s="3">
        <v>65</v>
      </c>
      <c r="I756" s="12">
        <v>1</v>
      </c>
      <c r="J756" s="9" t="s">
        <v>1443</v>
      </c>
      <c r="K756" s="9" t="s">
        <v>33</v>
      </c>
      <c r="L756" s="13">
        <v>1</v>
      </c>
      <c r="M756" s="9" t="s">
        <v>34</v>
      </c>
    </row>
    <row r="757" spans="1:13" ht="20.25" customHeight="1" x14ac:dyDescent="0.25">
      <c r="A757" s="9" t="s">
        <v>1444</v>
      </c>
      <c r="B757" s="10">
        <v>45786</v>
      </c>
      <c r="C757" s="9" t="s">
        <v>54</v>
      </c>
      <c r="D757" s="9" t="s">
        <v>51</v>
      </c>
      <c r="E757" s="11" t="s">
        <v>30</v>
      </c>
      <c r="F757" s="11" t="s">
        <v>63</v>
      </c>
      <c r="G757" s="3">
        <v>3600</v>
      </c>
      <c r="H757" s="3">
        <v>2550</v>
      </c>
      <c r="I757" s="12">
        <v>3</v>
      </c>
      <c r="J757" s="9" t="s">
        <v>1445</v>
      </c>
      <c r="K757" s="9" t="s">
        <v>33</v>
      </c>
      <c r="L757" s="13">
        <v>1</v>
      </c>
      <c r="M757" s="9" t="s">
        <v>34</v>
      </c>
    </row>
    <row r="758" spans="1:13" ht="20.25" customHeight="1" x14ac:dyDescent="0.25">
      <c r="A758" s="9" t="s">
        <v>1446</v>
      </c>
      <c r="B758" s="10">
        <v>45786</v>
      </c>
      <c r="C758" s="9" t="s">
        <v>54</v>
      </c>
      <c r="D758" s="9" t="s">
        <v>51</v>
      </c>
      <c r="E758" s="11" t="s">
        <v>58</v>
      </c>
      <c r="F758" s="11" t="s">
        <v>59</v>
      </c>
      <c r="G758" s="3">
        <v>300</v>
      </c>
      <c r="H758" s="3">
        <v>180</v>
      </c>
      <c r="I758" s="12">
        <v>2</v>
      </c>
      <c r="J758" s="9" t="s">
        <v>1447</v>
      </c>
      <c r="K758" s="9" t="s">
        <v>49</v>
      </c>
      <c r="L758" s="13">
        <v>0</v>
      </c>
      <c r="M758" s="9" t="s">
        <v>34</v>
      </c>
    </row>
    <row r="759" spans="1:13" ht="20.25" customHeight="1" x14ac:dyDescent="0.25">
      <c r="A759" s="9" t="s">
        <v>1448</v>
      </c>
      <c r="B759" s="10">
        <v>45786</v>
      </c>
      <c r="C759" s="9" t="s">
        <v>62</v>
      </c>
      <c r="D759" s="9" t="s">
        <v>29</v>
      </c>
      <c r="E759" s="11" t="s">
        <v>37</v>
      </c>
      <c r="F759" s="11" t="s">
        <v>72</v>
      </c>
      <c r="G759" s="3">
        <v>220</v>
      </c>
      <c r="H759" s="3">
        <v>130</v>
      </c>
      <c r="I759" s="12">
        <v>1</v>
      </c>
      <c r="J759" s="9" t="s">
        <v>1449</v>
      </c>
      <c r="K759" s="9" t="s">
        <v>33</v>
      </c>
      <c r="L759" s="13">
        <v>1</v>
      </c>
      <c r="M759" s="9" t="s">
        <v>34</v>
      </c>
    </row>
    <row r="760" spans="1:13" ht="20.25" customHeight="1" x14ac:dyDescent="0.25">
      <c r="A760" s="9" t="s">
        <v>1450</v>
      </c>
      <c r="B760" s="10">
        <v>45787</v>
      </c>
      <c r="C760" s="9" t="s">
        <v>71</v>
      </c>
      <c r="D760" s="9" t="s">
        <v>29</v>
      </c>
      <c r="E760" s="11" t="s">
        <v>30</v>
      </c>
      <c r="F760" s="11" t="s">
        <v>63</v>
      </c>
      <c r="G760" s="3">
        <v>1200</v>
      </c>
      <c r="H760" s="3">
        <v>850</v>
      </c>
      <c r="I760" s="12">
        <v>1</v>
      </c>
      <c r="J760" s="9" t="s">
        <v>243</v>
      </c>
      <c r="K760" s="9" t="s">
        <v>49</v>
      </c>
      <c r="L760" s="13">
        <v>0</v>
      </c>
      <c r="M760" s="9" t="s">
        <v>34</v>
      </c>
    </row>
    <row r="761" spans="1:13" ht="20.25" customHeight="1" x14ac:dyDescent="0.25">
      <c r="A761" s="9" t="s">
        <v>1451</v>
      </c>
      <c r="B761" s="10">
        <v>45787</v>
      </c>
      <c r="C761" s="9" t="s">
        <v>28</v>
      </c>
      <c r="D761" s="9" t="s">
        <v>42</v>
      </c>
      <c r="E761" s="11" t="s">
        <v>58</v>
      </c>
      <c r="F761" s="11" t="s">
        <v>68</v>
      </c>
      <c r="G761" s="3">
        <v>350</v>
      </c>
      <c r="H761" s="3">
        <v>220</v>
      </c>
      <c r="I761" s="12">
        <v>1</v>
      </c>
      <c r="J761" s="9" t="s">
        <v>1452</v>
      </c>
      <c r="K761" s="9" t="s">
        <v>33</v>
      </c>
      <c r="L761" s="13">
        <v>1</v>
      </c>
      <c r="M761" s="9" t="s">
        <v>34</v>
      </c>
    </row>
    <row r="762" spans="1:13" ht="20.25" customHeight="1" x14ac:dyDescent="0.25">
      <c r="A762" s="9" t="s">
        <v>1453</v>
      </c>
      <c r="B762" s="10">
        <v>45788</v>
      </c>
      <c r="C762" s="9" t="s">
        <v>71</v>
      </c>
      <c r="D762" s="9" t="s">
        <v>29</v>
      </c>
      <c r="E762" s="11" t="s">
        <v>37</v>
      </c>
      <c r="F762" s="11" t="s">
        <v>38</v>
      </c>
      <c r="G762" s="3">
        <v>120</v>
      </c>
      <c r="H762" s="3">
        <v>70</v>
      </c>
      <c r="I762" s="12">
        <v>1</v>
      </c>
      <c r="J762" s="9" t="s">
        <v>1454</v>
      </c>
      <c r="K762" s="9" t="s">
        <v>33</v>
      </c>
      <c r="L762" s="13">
        <v>1</v>
      </c>
      <c r="M762" s="9" t="s">
        <v>34</v>
      </c>
    </row>
    <row r="763" spans="1:13" ht="20.25" customHeight="1" x14ac:dyDescent="0.25">
      <c r="A763" s="9" t="s">
        <v>1455</v>
      </c>
      <c r="B763" s="10">
        <v>45790</v>
      </c>
      <c r="C763" s="9" t="s">
        <v>41</v>
      </c>
      <c r="D763" s="9" t="s">
        <v>51</v>
      </c>
      <c r="E763" s="11" t="s">
        <v>43</v>
      </c>
      <c r="F763" s="11" t="s">
        <v>90</v>
      </c>
      <c r="G763" s="3">
        <v>150</v>
      </c>
      <c r="H763" s="3">
        <v>90</v>
      </c>
      <c r="I763" s="12">
        <v>1</v>
      </c>
      <c r="J763" s="9" t="s">
        <v>1456</v>
      </c>
      <c r="K763" s="9" t="s">
        <v>49</v>
      </c>
      <c r="L763" s="13">
        <v>0</v>
      </c>
      <c r="M763" s="9" t="s">
        <v>34</v>
      </c>
    </row>
    <row r="764" spans="1:13" ht="20.25" customHeight="1" x14ac:dyDescent="0.25">
      <c r="A764" s="9" t="s">
        <v>1457</v>
      </c>
      <c r="B764" s="10">
        <v>45790</v>
      </c>
      <c r="C764" s="9" t="s">
        <v>41</v>
      </c>
      <c r="D764" s="9" t="s">
        <v>29</v>
      </c>
      <c r="E764" s="11" t="s">
        <v>37</v>
      </c>
      <c r="F764" s="11" t="s">
        <v>55</v>
      </c>
      <c r="G764" s="3">
        <v>180</v>
      </c>
      <c r="H764" s="3">
        <v>110</v>
      </c>
      <c r="I764" s="12">
        <v>2</v>
      </c>
      <c r="J764" s="9" t="s">
        <v>823</v>
      </c>
      <c r="K764" s="9" t="s">
        <v>49</v>
      </c>
      <c r="L764" s="13">
        <v>0</v>
      </c>
      <c r="M764" s="9" t="s">
        <v>34</v>
      </c>
    </row>
    <row r="765" spans="1:13" ht="20.25" customHeight="1" x14ac:dyDescent="0.25">
      <c r="A765" s="9" t="s">
        <v>1458</v>
      </c>
      <c r="B765" s="10">
        <v>45791</v>
      </c>
      <c r="C765" s="9" t="s">
        <v>71</v>
      </c>
      <c r="D765" s="9" t="s">
        <v>51</v>
      </c>
      <c r="E765" s="11" t="s">
        <v>37</v>
      </c>
      <c r="F765" s="11" t="s">
        <v>72</v>
      </c>
      <c r="G765" s="3">
        <v>-220</v>
      </c>
      <c r="H765" s="3">
        <v>-130</v>
      </c>
      <c r="I765" s="12">
        <v>-1</v>
      </c>
      <c r="J765" s="9" t="s">
        <v>1459</v>
      </c>
      <c r="K765" s="9" t="s">
        <v>49</v>
      </c>
      <c r="L765" s="13">
        <v>0</v>
      </c>
      <c r="M765" s="9" t="s">
        <v>76</v>
      </c>
    </row>
    <row r="766" spans="1:13" ht="20.25" customHeight="1" x14ac:dyDescent="0.25">
      <c r="A766" s="9" t="s">
        <v>1460</v>
      </c>
      <c r="B766" s="10">
        <v>45791</v>
      </c>
      <c r="C766" s="9" t="s">
        <v>28</v>
      </c>
      <c r="D766" s="9" t="s">
        <v>42</v>
      </c>
      <c r="E766" s="11" t="s">
        <v>30</v>
      </c>
      <c r="F766" s="11" t="s">
        <v>63</v>
      </c>
      <c r="G766" s="3">
        <v>1200</v>
      </c>
      <c r="H766" s="3">
        <v>850</v>
      </c>
      <c r="I766" s="12">
        <v>1</v>
      </c>
      <c r="J766" s="9" t="s">
        <v>665</v>
      </c>
      <c r="K766" s="9" t="s">
        <v>33</v>
      </c>
      <c r="L766" s="13">
        <v>1</v>
      </c>
      <c r="M766" s="9" t="s">
        <v>34</v>
      </c>
    </row>
    <row r="767" spans="1:13" ht="20.25" customHeight="1" x14ac:dyDescent="0.25">
      <c r="A767" s="9" t="s">
        <v>1461</v>
      </c>
      <c r="B767" s="10">
        <v>45792</v>
      </c>
      <c r="C767" s="9" t="s">
        <v>36</v>
      </c>
      <c r="D767" s="9" t="s">
        <v>51</v>
      </c>
      <c r="E767" s="11" t="s">
        <v>43</v>
      </c>
      <c r="F767" s="11" t="s">
        <v>90</v>
      </c>
      <c r="G767" s="3">
        <v>150</v>
      </c>
      <c r="H767" s="3">
        <v>90</v>
      </c>
      <c r="I767" s="12">
        <v>1</v>
      </c>
      <c r="J767" s="9" t="s">
        <v>493</v>
      </c>
      <c r="K767" s="9" t="s">
        <v>49</v>
      </c>
      <c r="L767" s="13">
        <v>0</v>
      </c>
      <c r="M767" s="9" t="s">
        <v>34</v>
      </c>
    </row>
    <row r="768" spans="1:13" ht="20.25" customHeight="1" x14ac:dyDescent="0.25">
      <c r="A768" s="9" t="s">
        <v>1462</v>
      </c>
      <c r="B768" s="10">
        <v>45792</v>
      </c>
      <c r="C768" s="9" t="s">
        <v>62</v>
      </c>
      <c r="D768" s="9" t="s">
        <v>29</v>
      </c>
      <c r="E768" s="11" t="s">
        <v>30</v>
      </c>
      <c r="F768" s="11" t="s">
        <v>31</v>
      </c>
      <c r="G768" s="3">
        <v>650</v>
      </c>
      <c r="H768" s="3">
        <v>450</v>
      </c>
      <c r="I768" s="12">
        <v>1</v>
      </c>
      <c r="J768" s="9" t="s">
        <v>1463</v>
      </c>
      <c r="K768" s="9" t="s">
        <v>33</v>
      </c>
      <c r="L768" s="13">
        <v>1</v>
      </c>
      <c r="M768" s="9" t="s">
        <v>34</v>
      </c>
    </row>
    <row r="769" spans="1:13" ht="20.25" customHeight="1" x14ac:dyDescent="0.25">
      <c r="A769" s="9" t="s">
        <v>1464</v>
      </c>
      <c r="B769" s="10">
        <v>45793</v>
      </c>
      <c r="C769" s="9" t="s">
        <v>71</v>
      </c>
      <c r="D769" s="9" t="s">
        <v>51</v>
      </c>
      <c r="E769" s="11" t="s">
        <v>43</v>
      </c>
      <c r="F769" s="11" t="s">
        <v>90</v>
      </c>
      <c r="G769" s="3">
        <v>150</v>
      </c>
      <c r="H769" s="3">
        <v>90</v>
      </c>
      <c r="I769" s="12">
        <v>1</v>
      </c>
      <c r="J769" s="9" t="s">
        <v>1465</v>
      </c>
      <c r="K769" s="9" t="s">
        <v>33</v>
      </c>
      <c r="L769" s="13">
        <v>1</v>
      </c>
      <c r="M769" s="9" t="s">
        <v>34</v>
      </c>
    </row>
    <row r="770" spans="1:13" ht="20.25" customHeight="1" x14ac:dyDescent="0.25">
      <c r="A770" s="9" t="s">
        <v>1466</v>
      </c>
      <c r="B770" s="10">
        <v>45793</v>
      </c>
      <c r="C770" s="9" t="s">
        <v>71</v>
      </c>
      <c r="D770" s="9" t="s">
        <v>51</v>
      </c>
      <c r="E770" s="11" t="s">
        <v>30</v>
      </c>
      <c r="F770" s="11" t="s">
        <v>31</v>
      </c>
      <c r="G770" s="3">
        <v>650</v>
      </c>
      <c r="H770" s="3">
        <v>450</v>
      </c>
      <c r="I770" s="12">
        <v>1</v>
      </c>
      <c r="J770" s="9" t="s">
        <v>1467</v>
      </c>
      <c r="K770" s="9" t="s">
        <v>49</v>
      </c>
      <c r="L770" s="13">
        <v>0</v>
      </c>
      <c r="M770" s="9" t="s">
        <v>34</v>
      </c>
    </row>
    <row r="771" spans="1:13" ht="20.25" customHeight="1" x14ac:dyDescent="0.25">
      <c r="A771" s="9" t="s">
        <v>1468</v>
      </c>
      <c r="B771" s="10">
        <v>45794</v>
      </c>
      <c r="C771" s="9" t="s">
        <v>28</v>
      </c>
      <c r="D771" s="9" t="s">
        <v>29</v>
      </c>
      <c r="E771" s="11" t="s">
        <v>43</v>
      </c>
      <c r="F771" s="11" t="s">
        <v>47</v>
      </c>
      <c r="G771" s="3">
        <v>110</v>
      </c>
      <c r="H771" s="3">
        <v>65</v>
      </c>
      <c r="I771" s="12">
        <v>1</v>
      </c>
      <c r="J771" s="9" t="s">
        <v>1469</v>
      </c>
      <c r="K771" s="9" t="s">
        <v>49</v>
      </c>
      <c r="L771" s="13">
        <v>0</v>
      </c>
      <c r="M771" s="9" t="s">
        <v>34</v>
      </c>
    </row>
    <row r="772" spans="1:13" ht="20.25" customHeight="1" x14ac:dyDescent="0.25">
      <c r="A772" s="9" t="s">
        <v>1470</v>
      </c>
      <c r="B772" s="10">
        <v>45795</v>
      </c>
      <c r="C772" s="9" t="s">
        <v>36</v>
      </c>
      <c r="D772" s="9" t="s">
        <v>42</v>
      </c>
      <c r="E772" s="11" t="s">
        <v>37</v>
      </c>
      <c r="F772" s="11" t="s">
        <v>38</v>
      </c>
      <c r="G772" s="3">
        <v>240</v>
      </c>
      <c r="H772" s="3">
        <v>140</v>
      </c>
      <c r="I772" s="12">
        <v>2</v>
      </c>
      <c r="J772" s="9" t="s">
        <v>1471</v>
      </c>
      <c r="K772" s="9" t="s">
        <v>49</v>
      </c>
      <c r="L772" s="13">
        <v>0</v>
      </c>
      <c r="M772" s="9" t="s">
        <v>34</v>
      </c>
    </row>
    <row r="773" spans="1:13" ht="20.25" customHeight="1" x14ac:dyDescent="0.25">
      <c r="A773" s="9" t="s">
        <v>1472</v>
      </c>
      <c r="B773" s="10">
        <v>45795</v>
      </c>
      <c r="C773" s="9" t="s">
        <v>54</v>
      </c>
      <c r="D773" s="9" t="s">
        <v>51</v>
      </c>
      <c r="E773" s="11" t="s">
        <v>43</v>
      </c>
      <c r="F773" s="11" t="s">
        <v>47</v>
      </c>
      <c r="G773" s="3">
        <v>110</v>
      </c>
      <c r="H773" s="3">
        <v>65</v>
      </c>
      <c r="I773" s="12">
        <v>1</v>
      </c>
      <c r="J773" s="9" t="s">
        <v>1207</v>
      </c>
      <c r="K773" s="9" t="s">
        <v>33</v>
      </c>
      <c r="L773" s="13">
        <v>1</v>
      </c>
      <c r="M773" s="9" t="s">
        <v>34</v>
      </c>
    </row>
    <row r="774" spans="1:13" ht="20.25" customHeight="1" x14ac:dyDescent="0.25">
      <c r="A774" s="9" t="s">
        <v>1473</v>
      </c>
      <c r="B774" s="10">
        <v>45795</v>
      </c>
      <c r="C774" s="9" t="s">
        <v>41</v>
      </c>
      <c r="D774" s="9" t="s">
        <v>42</v>
      </c>
      <c r="E774" s="11" t="s">
        <v>30</v>
      </c>
      <c r="F774" s="11" t="s">
        <v>63</v>
      </c>
      <c r="G774" s="3">
        <v>2400</v>
      </c>
      <c r="H774" s="3">
        <v>1700</v>
      </c>
      <c r="I774" s="12">
        <v>2</v>
      </c>
      <c r="J774" s="9" t="s">
        <v>1474</v>
      </c>
      <c r="K774" s="9" t="s">
        <v>33</v>
      </c>
      <c r="L774" s="13">
        <v>1</v>
      </c>
      <c r="M774" s="9" t="s">
        <v>34</v>
      </c>
    </row>
    <row r="775" spans="1:13" ht="20.25" customHeight="1" x14ac:dyDescent="0.25">
      <c r="A775" s="9" t="s">
        <v>1475</v>
      </c>
      <c r="B775" s="10">
        <v>45795</v>
      </c>
      <c r="C775" s="9" t="s">
        <v>41</v>
      </c>
      <c r="D775" s="9" t="s">
        <v>51</v>
      </c>
      <c r="E775" s="11" t="s">
        <v>58</v>
      </c>
      <c r="F775" s="11" t="s">
        <v>87</v>
      </c>
      <c r="G775" s="3">
        <v>-180</v>
      </c>
      <c r="H775" s="3">
        <v>-110</v>
      </c>
      <c r="I775" s="12">
        <v>-1</v>
      </c>
      <c r="J775" s="9" t="s">
        <v>1476</v>
      </c>
      <c r="K775" s="9" t="s">
        <v>49</v>
      </c>
      <c r="L775" s="13">
        <v>0</v>
      </c>
      <c r="M775" s="9" t="s">
        <v>76</v>
      </c>
    </row>
    <row r="776" spans="1:13" ht="20.25" customHeight="1" x14ac:dyDescent="0.25">
      <c r="A776" s="9" t="s">
        <v>1477</v>
      </c>
      <c r="B776" s="10">
        <v>45796</v>
      </c>
      <c r="C776" s="9" t="s">
        <v>36</v>
      </c>
      <c r="D776" s="9" t="s">
        <v>29</v>
      </c>
      <c r="E776" s="11" t="s">
        <v>37</v>
      </c>
      <c r="F776" s="11" t="s">
        <v>38</v>
      </c>
      <c r="G776" s="3">
        <v>120</v>
      </c>
      <c r="H776" s="3">
        <v>70</v>
      </c>
      <c r="I776" s="12">
        <v>1</v>
      </c>
      <c r="J776" s="9" t="s">
        <v>1478</v>
      </c>
      <c r="K776" s="9" t="s">
        <v>49</v>
      </c>
      <c r="L776" s="13">
        <v>0</v>
      </c>
      <c r="M776" s="9" t="s">
        <v>34</v>
      </c>
    </row>
    <row r="777" spans="1:13" ht="20.25" customHeight="1" x14ac:dyDescent="0.25">
      <c r="A777" s="9" t="s">
        <v>1479</v>
      </c>
      <c r="B777" s="10">
        <v>45796</v>
      </c>
      <c r="C777" s="9" t="s">
        <v>71</v>
      </c>
      <c r="D777" s="9" t="s">
        <v>29</v>
      </c>
      <c r="E777" s="11" t="s">
        <v>43</v>
      </c>
      <c r="F777" s="11" t="s">
        <v>90</v>
      </c>
      <c r="G777" s="3">
        <v>-150</v>
      </c>
      <c r="H777" s="3">
        <v>-90</v>
      </c>
      <c r="I777" s="12">
        <v>-1</v>
      </c>
      <c r="J777" s="9" t="s">
        <v>1287</v>
      </c>
      <c r="K777" s="9" t="s">
        <v>33</v>
      </c>
      <c r="L777" s="13">
        <v>1</v>
      </c>
      <c r="M777" s="9" t="s">
        <v>76</v>
      </c>
    </row>
    <row r="778" spans="1:13" ht="20.25" customHeight="1" x14ac:dyDescent="0.25">
      <c r="A778" s="9" t="s">
        <v>1480</v>
      </c>
      <c r="B778" s="10">
        <v>45796</v>
      </c>
      <c r="C778" s="9" t="s">
        <v>28</v>
      </c>
      <c r="D778" s="9" t="s">
        <v>29</v>
      </c>
      <c r="E778" s="11" t="s">
        <v>30</v>
      </c>
      <c r="F778" s="11" t="s">
        <v>80</v>
      </c>
      <c r="G778" s="3">
        <v>1700</v>
      </c>
      <c r="H778" s="3">
        <v>1200</v>
      </c>
      <c r="I778" s="12">
        <v>2</v>
      </c>
      <c r="J778" s="9" t="s">
        <v>1219</v>
      </c>
      <c r="K778" s="9" t="s">
        <v>49</v>
      </c>
      <c r="L778" s="13">
        <v>0</v>
      </c>
      <c r="M778" s="9" t="s">
        <v>34</v>
      </c>
    </row>
    <row r="779" spans="1:13" ht="20.25" customHeight="1" x14ac:dyDescent="0.25">
      <c r="A779" s="9" t="s">
        <v>1481</v>
      </c>
      <c r="B779" s="10">
        <v>45796</v>
      </c>
      <c r="C779" s="9" t="s">
        <v>41</v>
      </c>
      <c r="D779" s="9" t="s">
        <v>42</v>
      </c>
      <c r="E779" s="11" t="s">
        <v>43</v>
      </c>
      <c r="F779" s="11" t="s">
        <v>44</v>
      </c>
      <c r="G779" s="3">
        <v>45</v>
      </c>
      <c r="H779" s="3">
        <v>20</v>
      </c>
      <c r="I779" s="12">
        <v>1</v>
      </c>
      <c r="J779" s="9" t="s">
        <v>1482</v>
      </c>
      <c r="K779" s="9" t="s">
        <v>49</v>
      </c>
      <c r="L779" s="13">
        <v>0</v>
      </c>
      <c r="M779" s="9" t="s">
        <v>34</v>
      </c>
    </row>
    <row r="780" spans="1:13" ht="20.25" customHeight="1" x14ac:dyDescent="0.25">
      <c r="A780" s="9" t="s">
        <v>1483</v>
      </c>
      <c r="B780" s="10">
        <v>45796</v>
      </c>
      <c r="C780" s="9" t="s">
        <v>36</v>
      </c>
      <c r="D780" s="9" t="s">
        <v>51</v>
      </c>
      <c r="E780" s="11" t="s">
        <v>43</v>
      </c>
      <c r="F780" s="11" t="s">
        <v>44</v>
      </c>
      <c r="G780" s="3">
        <v>45</v>
      </c>
      <c r="H780" s="3">
        <v>20</v>
      </c>
      <c r="I780" s="12">
        <v>1</v>
      </c>
      <c r="J780" s="9" t="s">
        <v>1376</v>
      </c>
      <c r="K780" s="9" t="s">
        <v>49</v>
      </c>
      <c r="L780" s="13">
        <v>0</v>
      </c>
      <c r="M780" s="9" t="s">
        <v>34</v>
      </c>
    </row>
    <row r="781" spans="1:13" ht="20.25" customHeight="1" x14ac:dyDescent="0.25">
      <c r="A781" s="9" t="s">
        <v>1484</v>
      </c>
      <c r="B781" s="10">
        <v>45797</v>
      </c>
      <c r="C781" s="9" t="s">
        <v>36</v>
      </c>
      <c r="D781" s="9" t="s">
        <v>51</v>
      </c>
      <c r="E781" s="11" t="s">
        <v>30</v>
      </c>
      <c r="F781" s="11" t="s">
        <v>31</v>
      </c>
      <c r="G781" s="3">
        <v>-650</v>
      </c>
      <c r="H781" s="3">
        <v>-450</v>
      </c>
      <c r="I781" s="12">
        <v>-1</v>
      </c>
      <c r="J781" s="9" t="s">
        <v>1485</v>
      </c>
      <c r="K781" s="9" t="s">
        <v>33</v>
      </c>
      <c r="L781" s="13">
        <v>1</v>
      </c>
      <c r="M781" s="9" t="s">
        <v>76</v>
      </c>
    </row>
    <row r="782" spans="1:13" ht="20.25" customHeight="1" x14ac:dyDescent="0.25">
      <c r="A782" s="9" t="s">
        <v>1486</v>
      </c>
      <c r="B782" s="10">
        <v>45797</v>
      </c>
      <c r="C782" s="9" t="s">
        <v>71</v>
      </c>
      <c r="D782" s="9" t="s">
        <v>29</v>
      </c>
      <c r="E782" s="11" t="s">
        <v>43</v>
      </c>
      <c r="F782" s="11" t="s">
        <v>44</v>
      </c>
      <c r="G782" s="3">
        <v>45</v>
      </c>
      <c r="H782" s="3">
        <v>20</v>
      </c>
      <c r="I782" s="12">
        <v>1</v>
      </c>
      <c r="J782" s="9" t="s">
        <v>1487</v>
      </c>
      <c r="K782" s="9" t="s">
        <v>49</v>
      </c>
      <c r="L782" s="13">
        <v>0</v>
      </c>
      <c r="M782" s="9" t="s">
        <v>34</v>
      </c>
    </row>
    <row r="783" spans="1:13" ht="20.25" customHeight="1" x14ac:dyDescent="0.25">
      <c r="A783" s="9" t="s">
        <v>1488</v>
      </c>
      <c r="B783" s="10">
        <v>45797</v>
      </c>
      <c r="C783" s="9" t="s">
        <v>62</v>
      </c>
      <c r="D783" s="9" t="s">
        <v>29</v>
      </c>
      <c r="E783" s="11" t="s">
        <v>58</v>
      </c>
      <c r="F783" s="11" t="s">
        <v>59</v>
      </c>
      <c r="G783" s="3">
        <v>150</v>
      </c>
      <c r="H783" s="3">
        <v>90</v>
      </c>
      <c r="I783" s="12">
        <v>1</v>
      </c>
      <c r="J783" s="9" t="s">
        <v>1489</v>
      </c>
      <c r="K783" s="9" t="s">
        <v>49</v>
      </c>
      <c r="L783" s="13">
        <v>0</v>
      </c>
      <c r="M783" s="9" t="s">
        <v>34</v>
      </c>
    </row>
    <row r="784" spans="1:13" ht="20.25" customHeight="1" x14ac:dyDescent="0.25">
      <c r="A784" s="9" t="s">
        <v>1490</v>
      </c>
      <c r="B784" s="10">
        <v>45798</v>
      </c>
      <c r="C784" s="9" t="s">
        <v>28</v>
      </c>
      <c r="D784" s="9" t="s">
        <v>51</v>
      </c>
      <c r="E784" s="11" t="s">
        <v>58</v>
      </c>
      <c r="F784" s="11" t="s">
        <v>87</v>
      </c>
      <c r="G784" s="3">
        <v>360</v>
      </c>
      <c r="H784" s="3">
        <v>220</v>
      </c>
      <c r="I784" s="12">
        <v>2</v>
      </c>
      <c r="J784" s="9" t="s">
        <v>1491</v>
      </c>
      <c r="K784" s="9" t="s">
        <v>33</v>
      </c>
      <c r="L784" s="13">
        <v>1</v>
      </c>
      <c r="M784" s="9" t="s">
        <v>34</v>
      </c>
    </row>
    <row r="785" spans="1:13" ht="20.25" customHeight="1" x14ac:dyDescent="0.25">
      <c r="A785" s="9" t="s">
        <v>1492</v>
      </c>
      <c r="B785" s="10">
        <v>45798</v>
      </c>
      <c r="C785" s="9" t="s">
        <v>54</v>
      </c>
      <c r="D785" s="9" t="s">
        <v>29</v>
      </c>
      <c r="E785" s="11" t="s">
        <v>58</v>
      </c>
      <c r="F785" s="11" t="s">
        <v>87</v>
      </c>
      <c r="G785" s="3">
        <v>180</v>
      </c>
      <c r="H785" s="3">
        <v>110</v>
      </c>
      <c r="I785" s="12">
        <v>1</v>
      </c>
      <c r="J785" s="9" t="s">
        <v>1493</v>
      </c>
      <c r="K785" s="9" t="s">
        <v>49</v>
      </c>
      <c r="L785" s="13">
        <v>0</v>
      </c>
      <c r="M785" s="9" t="s">
        <v>34</v>
      </c>
    </row>
    <row r="786" spans="1:13" ht="20.25" customHeight="1" x14ac:dyDescent="0.25">
      <c r="A786" s="9" t="s">
        <v>1494</v>
      </c>
      <c r="B786" s="10">
        <v>45798</v>
      </c>
      <c r="C786" s="9" t="s">
        <v>28</v>
      </c>
      <c r="D786" s="9" t="s">
        <v>29</v>
      </c>
      <c r="E786" s="11" t="s">
        <v>37</v>
      </c>
      <c r="F786" s="11" t="s">
        <v>38</v>
      </c>
      <c r="G786" s="3">
        <v>240</v>
      </c>
      <c r="H786" s="3">
        <v>140</v>
      </c>
      <c r="I786" s="12">
        <v>2</v>
      </c>
      <c r="J786" s="9" t="s">
        <v>368</v>
      </c>
      <c r="K786" s="9" t="s">
        <v>49</v>
      </c>
      <c r="L786" s="13">
        <v>0</v>
      </c>
      <c r="M786" s="9" t="s">
        <v>34</v>
      </c>
    </row>
    <row r="787" spans="1:13" ht="20.25" customHeight="1" x14ac:dyDescent="0.25">
      <c r="A787" s="9" t="s">
        <v>1495</v>
      </c>
      <c r="B787" s="10">
        <v>45798</v>
      </c>
      <c r="C787" s="9" t="s">
        <v>36</v>
      </c>
      <c r="D787" s="9" t="s">
        <v>51</v>
      </c>
      <c r="E787" s="11" t="s">
        <v>37</v>
      </c>
      <c r="F787" s="11" t="s">
        <v>38</v>
      </c>
      <c r="G787" s="3">
        <v>-120</v>
      </c>
      <c r="H787" s="3">
        <v>-70</v>
      </c>
      <c r="I787" s="12">
        <v>-1</v>
      </c>
      <c r="J787" s="9" t="s">
        <v>1496</v>
      </c>
      <c r="K787" s="9" t="s">
        <v>49</v>
      </c>
      <c r="L787" s="13">
        <v>0</v>
      </c>
      <c r="M787" s="9" t="s">
        <v>76</v>
      </c>
    </row>
    <row r="788" spans="1:13" ht="20.25" customHeight="1" x14ac:dyDescent="0.25">
      <c r="A788" s="9" t="s">
        <v>1497</v>
      </c>
      <c r="B788" s="10">
        <v>45798</v>
      </c>
      <c r="C788" s="9" t="s">
        <v>28</v>
      </c>
      <c r="D788" s="9" t="s">
        <v>29</v>
      </c>
      <c r="E788" s="11" t="s">
        <v>58</v>
      </c>
      <c r="F788" s="11" t="s">
        <v>59</v>
      </c>
      <c r="G788" s="3">
        <v>300</v>
      </c>
      <c r="H788" s="3">
        <v>180</v>
      </c>
      <c r="I788" s="12">
        <v>2</v>
      </c>
      <c r="J788" s="9" t="s">
        <v>1498</v>
      </c>
      <c r="K788" s="9" t="s">
        <v>49</v>
      </c>
      <c r="L788" s="13">
        <v>0</v>
      </c>
      <c r="M788" s="9" t="s">
        <v>34</v>
      </c>
    </row>
    <row r="789" spans="1:13" ht="20.25" customHeight="1" x14ac:dyDescent="0.25">
      <c r="A789" s="9" t="s">
        <v>1499</v>
      </c>
      <c r="B789" s="10">
        <v>45798</v>
      </c>
      <c r="C789" s="9" t="s">
        <v>36</v>
      </c>
      <c r="D789" s="9" t="s">
        <v>29</v>
      </c>
      <c r="E789" s="11" t="s">
        <v>37</v>
      </c>
      <c r="F789" s="11" t="s">
        <v>72</v>
      </c>
      <c r="G789" s="3">
        <v>440</v>
      </c>
      <c r="H789" s="3">
        <v>260</v>
      </c>
      <c r="I789" s="12">
        <v>2</v>
      </c>
      <c r="J789" s="9" t="s">
        <v>1500</v>
      </c>
      <c r="K789" s="9" t="s">
        <v>49</v>
      </c>
      <c r="L789" s="13">
        <v>0</v>
      </c>
      <c r="M789" s="9" t="s">
        <v>34</v>
      </c>
    </row>
    <row r="790" spans="1:13" ht="20.25" customHeight="1" x14ac:dyDescent="0.25">
      <c r="A790" s="9" t="s">
        <v>1501</v>
      </c>
      <c r="B790" s="10">
        <v>45799</v>
      </c>
      <c r="C790" s="9" t="s">
        <v>71</v>
      </c>
      <c r="D790" s="9" t="s">
        <v>29</v>
      </c>
      <c r="E790" s="11" t="s">
        <v>37</v>
      </c>
      <c r="F790" s="11" t="s">
        <v>72</v>
      </c>
      <c r="G790" s="3">
        <v>220</v>
      </c>
      <c r="H790" s="3">
        <v>130</v>
      </c>
      <c r="I790" s="12">
        <v>1</v>
      </c>
      <c r="J790" s="9" t="s">
        <v>593</v>
      </c>
      <c r="K790" s="9" t="s">
        <v>49</v>
      </c>
      <c r="L790" s="13">
        <v>0</v>
      </c>
      <c r="M790" s="9" t="s">
        <v>34</v>
      </c>
    </row>
    <row r="791" spans="1:13" ht="20.25" customHeight="1" x14ac:dyDescent="0.25">
      <c r="A791" s="9" t="s">
        <v>1502</v>
      </c>
      <c r="B791" s="10">
        <v>45799</v>
      </c>
      <c r="C791" s="9" t="s">
        <v>28</v>
      </c>
      <c r="D791" s="9" t="s">
        <v>29</v>
      </c>
      <c r="E791" s="11" t="s">
        <v>37</v>
      </c>
      <c r="F791" s="11" t="s">
        <v>72</v>
      </c>
      <c r="G791" s="3">
        <v>440</v>
      </c>
      <c r="H791" s="3">
        <v>260</v>
      </c>
      <c r="I791" s="12">
        <v>2</v>
      </c>
      <c r="J791" s="9" t="s">
        <v>1503</v>
      </c>
      <c r="K791" s="9" t="s">
        <v>33</v>
      </c>
      <c r="L791" s="13">
        <v>1</v>
      </c>
      <c r="M791" s="9" t="s">
        <v>34</v>
      </c>
    </row>
    <row r="792" spans="1:13" ht="20.25" customHeight="1" x14ac:dyDescent="0.25">
      <c r="A792" s="9" t="s">
        <v>1504</v>
      </c>
      <c r="B792" s="10">
        <v>45799</v>
      </c>
      <c r="C792" s="9" t="s">
        <v>36</v>
      </c>
      <c r="D792" s="9" t="s">
        <v>42</v>
      </c>
      <c r="E792" s="11" t="s">
        <v>30</v>
      </c>
      <c r="F792" s="11" t="s">
        <v>80</v>
      </c>
      <c r="G792" s="3">
        <v>2550</v>
      </c>
      <c r="H792" s="3">
        <v>1800</v>
      </c>
      <c r="I792" s="12">
        <v>3</v>
      </c>
      <c r="J792" s="9" t="s">
        <v>1505</v>
      </c>
      <c r="K792" s="9" t="s">
        <v>49</v>
      </c>
      <c r="L792" s="13">
        <v>0</v>
      </c>
      <c r="M792" s="9" t="s">
        <v>34</v>
      </c>
    </row>
    <row r="793" spans="1:13" ht="20.25" customHeight="1" x14ac:dyDescent="0.25">
      <c r="A793" s="9" t="s">
        <v>1506</v>
      </c>
      <c r="B793" s="10">
        <v>45800</v>
      </c>
      <c r="C793" s="9" t="s">
        <v>62</v>
      </c>
      <c r="D793" s="9" t="s">
        <v>29</v>
      </c>
      <c r="E793" s="11" t="s">
        <v>43</v>
      </c>
      <c r="F793" s="11" t="s">
        <v>90</v>
      </c>
      <c r="G793" s="3">
        <v>150</v>
      </c>
      <c r="H793" s="3">
        <v>90</v>
      </c>
      <c r="I793" s="12">
        <v>1</v>
      </c>
      <c r="J793" s="9" t="s">
        <v>1507</v>
      </c>
      <c r="K793" s="9" t="s">
        <v>33</v>
      </c>
      <c r="L793" s="13">
        <v>1</v>
      </c>
      <c r="M793" s="9" t="s">
        <v>34</v>
      </c>
    </row>
    <row r="794" spans="1:13" ht="20.25" customHeight="1" x14ac:dyDescent="0.25">
      <c r="A794" s="9" t="s">
        <v>1508</v>
      </c>
      <c r="B794" s="10">
        <v>45800</v>
      </c>
      <c r="C794" s="9" t="s">
        <v>28</v>
      </c>
      <c r="D794" s="9" t="s">
        <v>29</v>
      </c>
      <c r="E794" s="11" t="s">
        <v>58</v>
      </c>
      <c r="F794" s="11" t="s">
        <v>59</v>
      </c>
      <c r="G794" s="3">
        <v>150</v>
      </c>
      <c r="H794" s="3">
        <v>90</v>
      </c>
      <c r="I794" s="12">
        <v>1</v>
      </c>
      <c r="J794" s="9" t="s">
        <v>1071</v>
      </c>
      <c r="K794" s="9" t="s">
        <v>49</v>
      </c>
      <c r="L794" s="13">
        <v>0</v>
      </c>
      <c r="M794" s="9" t="s">
        <v>34</v>
      </c>
    </row>
    <row r="795" spans="1:13" ht="20.25" customHeight="1" x14ac:dyDescent="0.25">
      <c r="A795" s="9" t="s">
        <v>1509</v>
      </c>
      <c r="B795" s="10">
        <v>45800</v>
      </c>
      <c r="C795" s="9" t="s">
        <v>41</v>
      </c>
      <c r="D795" s="9" t="s">
        <v>29</v>
      </c>
      <c r="E795" s="11" t="s">
        <v>30</v>
      </c>
      <c r="F795" s="11" t="s">
        <v>80</v>
      </c>
      <c r="G795" s="3">
        <v>1700</v>
      </c>
      <c r="H795" s="3">
        <v>1200</v>
      </c>
      <c r="I795" s="12">
        <v>2</v>
      </c>
      <c r="J795" s="9" t="s">
        <v>1510</v>
      </c>
      <c r="K795" s="9" t="s">
        <v>33</v>
      </c>
      <c r="L795" s="13">
        <v>1</v>
      </c>
      <c r="M795" s="9" t="s">
        <v>34</v>
      </c>
    </row>
    <row r="796" spans="1:13" ht="20.25" customHeight="1" x14ac:dyDescent="0.25">
      <c r="A796" s="9" t="s">
        <v>1511</v>
      </c>
      <c r="B796" s="10">
        <v>45800</v>
      </c>
      <c r="C796" s="9" t="s">
        <v>36</v>
      </c>
      <c r="D796" s="9" t="s">
        <v>51</v>
      </c>
      <c r="E796" s="11" t="s">
        <v>30</v>
      </c>
      <c r="F796" s="11" t="s">
        <v>63</v>
      </c>
      <c r="G796" s="3">
        <v>1200</v>
      </c>
      <c r="H796" s="3">
        <v>850</v>
      </c>
      <c r="I796" s="12">
        <v>1</v>
      </c>
      <c r="J796" s="9" t="s">
        <v>66</v>
      </c>
      <c r="K796" s="9" t="s">
        <v>49</v>
      </c>
      <c r="L796" s="13">
        <v>0</v>
      </c>
      <c r="M796" s="9" t="s">
        <v>34</v>
      </c>
    </row>
    <row r="797" spans="1:13" ht="20.25" customHeight="1" x14ac:dyDescent="0.25">
      <c r="A797" s="9" t="s">
        <v>1512</v>
      </c>
      <c r="B797" s="10">
        <v>45801</v>
      </c>
      <c r="C797" s="9" t="s">
        <v>41</v>
      </c>
      <c r="D797" s="9" t="s">
        <v>29</v>
      </c>
      <c r="E797" s="11" t="s">
        <v>58</v>
      </c>
      <c r="F797" s="11" t="s">
        <v>59</v>
      </c>
      <c r="G797" s="3">
        <v>150</v>
      </c>
      <c r="H797" s="3">
        <v>90</v>
      </c>
      <c r="I797" s="12">
        <v>1</v>
      </c>
      <c r="J797" s="9" t="s">
        <v>1513</v>
      </c>
      <c r="K797" s="9" t="s">
        <v>33</v>
      </c>
      <c r="L797" s="13">
        <v>1</v>
      </c>
      <c r="M797" s="9" t="s">
        <v>34</v>
      </c>
    </row>
    <row r="798" spans="1:13" ht="20.25" customHeight="1" x14ac:dyDescent="0.25">
      <c r="A798" s="9" t="s">
        <v>1514</v>
      </c>
      <c r="B798" s="10">
        <v>45801</v>
      </c>
      <c r="C798" s="9" t="s">
        <v>28</v>
      </c>
      <c r="D798" s="9" t="s">
        <v>51</v>
      </c>
      <c r="E798" s="11" t="s">
        <v>43</v>
      </c>
      <c r="F798" s="11" t="s">
        <v>90</v>
      </c>
      <c r="G798" s="3">
        <v>450</v>
      </c>
      <c r="H798" s="3">
        <v>270</v>
      </c>
      <c r="I798" s="12">
        <v>3</v>
      </c>
      <c r="J798" s="9" t="s">
        <v>1515</v>
      </c>
      <c r="K798" s="9" t="s">
        <v>33</v>
      </c>
      <c r="L798" s="13">
        <v>1</v>
      </c>
      <c r="M798" s="9" t="s">
        <v>34</v>
      </c>
    </row>
    <row r="799" spans="1:13" ht="20.25" customHeight="1" x14ac:dyDescent="0.25">
      <c r="A799" s="9" t="s">
        <v>1516</v>
      </c>
      <c r="B799" s="10">
        <v>45802</v>
      </c>
      <c r="C799" s="9" t="s">
        <v>28</v>
      </c>
      <c r="D799" s="9" t="s">
        <v>29</v>
      </c>
      <c r="E799" s="11" t="s">
        <v>58</v>
      </c>
      <c r="F799" s="11" t="s">
        <v>68</v>
      </c>
      <c r="G799" s="3">
        <v>350</v>
      </c>
      <c r="H799" s="3">
        <v>220</v>
      </c>
      <c r="I799" s="12">
        <v>1</v>
      </c>
      <c r="J799" s="9" t="s">
        <v>1517</v>
      </c>
      <c r="K799" s="9" t="s">
        <v>33</v>
      </c>
      <c r="L799" s="13">
        <v>1</v>
      </c>
      <c r="M799" s="9" t="s">
        <v>34</v>
      </c>
    </row>
    <row r="800" spans="1:13" ht="20.25" customHeight="1" x14ac:dyDescent="0.25">
      <c r="A800" s="9" t="s">
        <v>1518</v>
      </c>
      <c r="B800" s="10">
        <v>45803</v>
      </c>
      <c r="C800" s="9" t="s">
        <v>28</v>
      </c>
      <c r="D800" s="9" t="s">
        <v>29</v>
      </c>
      <c r="E800" s="11" t="s">
        <v>37</v>
      </c>
      <c r="F800" s="11" t="s">
        <v>72</v>
      </c>
      <c r="G800" s="3">
        <v>440</v>
      </c>
      <c r="H800" s="3">
        <v>260</v>
      </c>
      <c r="I800" s="12">
        <v>2</v>
      </c>
      <c r="J800" s="9" t="s">
        <v>1519</v>
      </c>
      <c r="K800" s="9" t="s">
        <v>33</v>
      </c>
      <c r="L800" s="13">
        <v>1</v>
      </c>
      <c r="M800" s="9" t="s">
        <v>34</v>
      </c>
    </row>
    <row r="801" spans="1:13" ht="20.25" customHeight="1" x14ac:dyDescent="0.25">
      <c r="A801" s="9" t="s">
        <v>1520</v>
      </c>
      <c r="B801" s="10">
        <v>45803</v>
      </c>
      <c r="C801" s="9" t="s">
        <v>28</v>
      </c>
      <c r="D801" s="9" t="s">
        <v>29</v>
      </c>
      <c r="E801" s="11" t="s">
        <v>30</v>
      </c>
      <c r="F801" s="11" t="s">
        <v>31</v>
      </c>
      <c r="G801" s="3">
        <v>1300</v>
      </c>
      <c r="H801" s="3">
        <v>900</v>
      </c>
      <c r="I801" s="12">
        <v>2</v>
      </c>
      <c r="J801" s="9" t="s">
        <v>1521</v>
      </c>
      <c r="K801" s="9" t="s">
        <v>49</v>
      </c>
      <c r="L801" s="13">
        <v>0</v>
      </c>
      <c r="M801" s="9" t="s">
        <v>34</v>
      </c>
    </row>
    <row r="802" spans="1:13" ht="20.25" customHeight="1" x14ac:dyDescent="0.25">
      <c r="A802" s="9" t="s">
        <v>1522</v>
      </c>
      <c r="B802" s="10">
        <v>45804</v>
      </c>
      <c r="C802" s="9" t="s">
        <v>28</v>
      </c>
      <c r="D802" s="9" t="s">
        <v>42</v>
      </c>
      <c r="E802" s="11" t="s">
        <v>58</v>
      </c>
      <c r="F802" s="11" t="s">
        <v>59</v>
      </c>
      <c r="G802" s="3">
        <v>600</v>
      </c>
      <c r="H802" s="3">
        <v>360</v>
      </c>
      <c r="I802" s="12">
        <v>4</v>
      </c>
      <c r="J802" s="9" t="s">
        <v>1523</v>
      </c>
      <c r="K802" s="9" t="s">
        <v>49</v>
      </c>
      <c r="L802" s="13">
        <v>0</v>
      </c>
      <c r="M802" s="9" t="s">
        <v>34</v>
      </c>
    </row>
    <row r="803" spans="1:13" ht="20.25" customHeight="1" x14ac:dyDescent="0.25">
      <c r="A803" s="9" t="s">
        <v>1524</v>
      </c>
      <c r="B803" s="10">
        <v>45804</v>
      </c>
      <c r="C803" s="9" t="s">
        <v>41</v>
      </c>
      <c r="D803" s="9" t="s">
        <v>42</v>
      </c>
      <c r="E803" s="11" t="s">
        <v>43</v>
      </c>
      <c r="F803" s="11" t="s">
        <v>90</v>
      </c>
      <c r="G803" s="3">
        <v>150</v>
      </c>
      <c r="H803" s="3">
        <v>90</v>
      </c>
      <c r="I803" s="12">
        <v>1</v>
      </c>
      <c r="J803" s="9" t="s">
        <v>806</v>
      </c>
      <c r="K803" s="9" t="s">
        <v>49</v>
      </c>
      <c r="L803" s="13">
        <v>0</v>
      </c>
      <c r="M803" s="9" t="s">
        <v>34</v>
      </c>
    </row>
    <row r="804" spans="1:13" ht="20.25" customHeight="1" x14ac:dyDescent="0.25">
      <c r="A804" s="9" t="s">
        <v>1525</v>
      </c>
      <c r="B804" s="10">
        <v>45805</v>
      </c>
      <c r="C804" s="9" t="s">
        <v>54</v>
      </c>
      <c r="D804" s="9" t="s">
        <v>29</v>
      </c>
      <c r="E804" s="11" t="s">
        <v>43</v>
      </c>
      <c r="F804" s="11" t="s">
        <v>44</v>
      </c>
      <c r="G804" s="3">
        <v>45</v>
      </c>
      <c r="H804" s="3">
        <v>20</v>
      </c>
      <c r="I804" s="12">
        <v>1</v>
      </c>
      <c r="J804" s="9" t="s">
        <v>1526</v>
      </c>
      <c r="K804" s="9" t="s">
        <v>33</v>
      </c>
      <c r="L804" s="13">
        <v>1</v>
      </c>
      <c r="M804" s="9" t="s">
        <v>34</v>
      </c>
    </row>
    <row r="805" spans="1:13" ht="20.25" customHeight="1" x14ac:dyDescent="0.25">
      <c r="A805" s="9" t="s">
        <v>1527</v>
      </c>
      <c r="B805" s="10">
        <v>45805</v>
      </c>
      <c r="C805" s="9" t="s">
        <v>54</v>
      </c>
      <c r="D805" s="9" t="s">
        <v>51</v>
      </c>
      <c r="E805" s="11" t="s">
        <v>30</v>
      </c>
      <c r="F805" s="11" t="s">
        <v>63</v>
      </c>
      <c r="G805" s="3">
        <v>1200</v>
      </c>
      <c r="H805" s="3">
        <v>850</v>
      </c>
      <c r="I805" s="12">
        <v>1</v>
      </c>
      <c r="J805" s="9" t="s">
        <v>1528</v>
      </c>
      <c r="K805" s="9" t="s">
        <v>49</v>
      </c>
      <c r="L805" s="13">
        <v>0</v>
      </c>
      <c r="M805" s="9" t="s">
        <v>34</v>
      </c>
    </row>
    <row r="806" spans="1:13" ht="20.25" customHeight="1" x14ac:dyDescent="0.25">
      <c r="A806" s="9" t="s">
        <v>1529</v>
      </c>
      <c r="B806" s="10">
        <v>45805</v>
      </c>
      <c r="C806" s="9" t="s">
        <v>41</v>
      </c>
      <c r="D806" s="9" t="s">
        <v>42</v>
      </c>
      <c r="E806" s="11" t="s">
        <v>58</v>
      </c>
      <c r="F806" s="11" t="s">
        <v>87</v>
      </c>
      <c r="G806" s="3">
        <v>180</v>
      </c>
      <c r="H806" s="3">
        <v>110</v>
      </c>
      <c r="I806" s="12">
        <v>1</v>
      </c>
      <c r="J806" s="9" t="s">
        <v>366</v>
      </c>
      <c r="K806" s="9" t="s">
        <v>49</v>
      </c>
      <c r="L806" s="13">
        <v>0</v>
      </c>
      <c r="M806" s="9" t="s">
        <v>34</v>
      </c>
    </row>
    <row r="807" spans="1:13" ht="20.25" customHeight="1" x14ac:dyDescent="0.25">
      <c r="A807" s="9" t="s">
        <v>1530</v>
      </c>
      <c r="B807" s="10">
        <v>45805</v>
      </c>
      <c r="C807" s="9" t="s">
        <v>28</v>
      </c>
      <c r="D807" s="9" t="s">
        <v>29</v>
      </c>
      <c r="E807" s="11" t="s">
        <v>30</v>
      </c>
      <c r="F807" s="11" t="s">
        <v>31</v>
      </c>
      <c r="G807" s="3">
        <v>650</v>
      </c>
      <c r="H807" s="3">
        <v>450</v>
      </c>
      <c r="I807" s="12">
        <v>1</v>
      </c>
      <c r="J807" s="9" t="s">
        <v>1531</v>
      </c>
      <c r="K807" s="9" t="s">
        <v>49</v>
      </c>
      <c r="L807" s="13">
        <v>0</v>
      </c>
      <c r="M807" s="9" t="s">
        <v>34</v>
      </c>
    </row>
    <row r="808" spans="1:13" ht="20.25" customHeight="1" x14ac:dyDescent="0.25">
      <c r="A808" s="9" t="s">
        <v>1532</v>
      </c>
      <c r="B808" s="10">
        <v>45805</v>
      </c>
      <c r="C808" s="9" t="s">
        <v>28</v>
      </c>
      <c r="D808" s="9" t="s">
        <v>42</v>
      </c>
      <c r="E808" s="11" t="s">
        <v>58</v>
      </c>
      <c r="F808" s="11" t="s">
        <v>68</v>
      </c>
      <c r="G808" s="3">
        <v>350</v>
      </c>
      <c r="H808" s="3">
        <v>220</v>
      </c>
      <c r="I808" s="12">
        <v>1</v>
      </c>
      <c r="J808" s="9" t="s">
        <v>749</v>
      </c>
      <c r="K808" s="9" t="s">
        <v>49</v>
      </c>
      <c r="L808" s="13">
        <v>0</v>
      </c>
      <c r="M808" s="9" t="s">
        <v>34</v>
      </c>
    </row>
    <row r="809" spans="1:13" ht="20.25" customHeight="1" x14ac:dyDescent="0.25">
      <c r="A809" s="9" t="s">
        <v>1533</v>
      </c>
      <c r="B809" s="10">
        <v>45806</v>
      </c>
      <c r="C809" s="9" t="s">
        <v>36</v>
      </c>
      <c r="D809" s="9" t="s">
        <v>29</v>
      </c>
      <c r="E809" s="11" t="s">
        <v>43</v>
      </c>
      <c r="F809" s="11" t="s">
        <v>47</v>
      </c>
      <c r="G809" s="3">
        <v>110</v>
      </c>
      <c r="H809" s="3">
        <v>65</v>
      </c>
      <c r="I809" s="12">
        <v>1</v>
      </c>
      <c r="J809" s="9" t="s">
        <v>1534</v>
      </c>
      <c r="K809" s="9" t="s">
        <v>33</v>
      </c>
      <c r="L809" s="13">
        <v>1</v>
      </c>
      <c r="M809" s="9" t="s">
        <v>34</v>
      </c>
    </row>
    <row r="810" spans="1:13" ht="20.25" customHeight="1" x14ac:dyDescent="0.25">
      <c r="A810" s="9" t="s">
        <v>1535</v>
      </c>
      <c r="B810" s="10">
        <v>45806</v>
      </c>
      <c r="C810" s="9" t="s">
        <v>28</v>
      </c>
      <c r="D810" s="9" t="s">
        <v>42</v>
      </c>
      <c r="E810" s="11" t="s">
        <v>43</v>
      </c>
      <c r="F810" s="11" t="s">
        <v>44</v>
      </c>
      <c r="G810" s="3">
        <v>45</v>
      </c>
      <c r="H810" s="3">
        <v>20</v>
      </c>
      <c r="I810" s="12">
        <v>1</v>
      </c>
      <c r="J810" s="9" t="s">
        <v>1536</v>
      </c>
      <c r="K810" s="9" t="s">
        <v>33</v>
      </c>
      <c r="L810" s="13">
        <v>1</v>
      </c>
      <c r="M810" s="9" t="s">
        <v>34</v>
      </c>
    </row>
    <row r="811" spans="1:13" ht="20.25" customHeight="1" x14ac:dyDescent="0.25">
      <c r="A811" s="9" t="s">
        <v>1537</v>
      </c>
      <c r="B811" s="10">
        <v>45806</v>
      </c>
      <c r="C811" s="9" t="s">
        <v>71</v>
      </c>
      <c r="D811" s="9" t="s">
        <v>51</v>
      </c>
      <c r="E811" s="11" t="s">
        <v>30</v>
      </c>
      <c r="F811" s="11" t="s">
        <v>63</v>
      </c>
      <c r="G811" s="3">
        <v>2400</v>
      </c>
      <c r="H811" s="3">
        <v>1700</v>
      </c>
      <c r="I811" s="12">
        <v>2</v>
      </c>
      <c r="J811" s="9" t="s">
        <v>1538</v>
      </c>
      <c r="K811" s="9" t="s">
        <v>49</v>
      </c>
      <c r="L811" s="13">
        <v>0</v>
      </c>
      <c r="M811" s="9" t="s">
        <v>34</v>
      </c>
    </row>
    <row r="812" spans="1:13" ht="20.25" customHeight="1" x14ac:dyDescent="0.25">
      <c r="A812" s="9" t="s">
        <v>1539</v>
      </c>
      <c r="B812" s="10">
        <v>45806</v>
      </c>
      <c r="C812" s="9" t="s">
        <v>71</v>
      </c>
      <c r="D812" s="9" t="s">
        <v>42</v>
      </c>
      <c r="E812" s="11" t="s">
        <v>43</v>
      </c>
      <c r="F812" s="11" t="s">
        <v>90</v>
      </c>
      <c r="G812" s="3">
        <v>300</v>
      </c>
      <c r="H812" s="3">
        <v>180</v>
      </c>
      <c r="I812" s="12">
        <v>2</v>
      </c>
      <c r="J812" s="9" t="s">
        <v>1260</v>
      </c>
      <c r="K812" s="9" t="s">
        <v>33</v>
      </c>
      <c r="L812" s="13">
        <v>1</v>
      </c>
      <c r="M812" s="9" t="s">
        <v>34</v>
      </c>
    </row>
    <row r="813" spans="1:13" ht="20.25" customHeight="1" x14ac:dyDescent="0.25">
      <c r="A813" s="9" t="s">
        <v>1540</v>
      </c>
      <c r="B813" s="10">
        <v>45807</v>
      </c>
      <c r="C813" s="9" t="s">
        <v>36</v>
      </c>
      <c r="D813" s="9" t="s">
        <v>51</v>
      </c>
      <c r="E813" s="11" t="s">
        <v>37</v>
      </c>
      <c r="F813" s="11" t="s">
        <v>55</v>
      </c>
      <c r="G813" s="3">
        <v>180</v>
      </c>
      <c r="H813" s="3">
        <v>110</v>
      </c>
      <c r="I813" s="12">
        <v>2</v>
      </c>
      <c r="J813" s="9" t="s">
        <v>1541</v>
      </c>
      <c r="K813" s="9" t="s">
        <v>49</v>
      </c>
      <c r="L813" s="13">
        <v>0</v>
      </c>
      <c r="M813" s="9" t="s">
        <v>34</v>
      </c>
    </row>
    <row r="814" spans="1:13" ht="20.25" customHeight="1" x14ac:dyDescent="0.25">
      <c r="A814" s="9" t="s">
        <v>1542</v>
      </c>
      <c r="B814" s="10">
        <v>45807</v>
      </c>
      <c r="C814" s="9" t="s">
        <v>36</v>
      </c>
      <c r="D814" s="9" t="s">
        <v>29</v>
      </c>
      <c r="E814" s="11" t="s">
        <v>58</v>
      </c>
      <c r="F814" s="11" t="s">
        <v>87</v>
      </c>
      <c r="G814" s="3">
        <v>540</v>
      </c>
      <c r="H814" s="3">
        <v>330</v>
      </c>
      <c r="I814" s="12">
        <v>3</v>
      </c>
      <c r="J814" s="9" t="s">
        <v>1543</v>
      </c>
      <c r="K814" s="9" t="s">
        <v>49</v>
      </c>
      <c r="L814" s="13">
        <v>0</v>
      </c>
      <c r="M814" s="9" t="s">
        <v>34</v>
      </c>
    </row>
    <row r="815" spans="1:13" ht="20.25" customHeight="1" x14ac:dyDescent="0.25">
      <c r="A815" s="9" t="s">
        <v>1544</v>
      </c>
      <c r="B815" s="10">
        <v>45807</v>
      </c>
      <c r="C815" s="9" t="s">
        <v>54</v>
      </c>
      <c r="D815" s="9" t="s">
        <v>42</v>
      </c>
      <c r="E815" s="11" t="s">
        <v>58</v>
      </c>
      <c r="F815" s="11" t="s">
        <v>87</v>
      </c>
      <c r="G815" s="3">
        <v>180</v>
      </c>
      <c r="H815" s="3">
        <v>110</v>
      </c>
      <c r="I815" s="12">
        <v>1</v>
      </c>
      <c r="J815" s="9" t="s">
        <v>1545</v>
      </c>
      <c r="K815" s="9" t="s">
        <v>49</v>
      </c>
      <c r="L815" s="13">
        <v>0</v>
      </c>
      <c r="M815" s="9" t="s">
        <v>34</v>
      </c>
    </row>
    <row r="816" spans="1:13" ht="20.25" customHeight="1" x14ac:dyDescent="0.25">
      <c r="A816" s="9" t="s">
        <v>1546</v>
      </c>
      <c r="B816" s="10">
        <v>45807</v>
      </c>
      <c r="C816" s="9" t="s">
        <v>41</v>
      </c>
      <c r="D816" s="9" t="s">
        <v>29</v>
      </c>
      <c r="E816" s="11" t="s">
        <v>37</v>
      </c>
      <c r="F816" s="11" t="s">
        <v>55</v>
      </c>
      <c r="G816" s="3">
        <v>360</v>
      </c>
      <c r="H816" s="3">
        <v>220</v>
      </c>
      <c r="I816" s="12">
        <v>4</v>
      </c>
      <c r="J816" s="9" t="s">
        <v>1547</v>
      </c>
      <c r="K816" s="9" t="s">
        <v>33</v>
      </c>
      <c r="L816" s="13">
        <v>1</v>
      </c>
      <c r="M816" s="9" t="s">
        <v>34</v>
      </c>
    </row>
    <row r="817" spans="1:13" ht="20.25" customHeight="1" x14ac:dyDescent="0.25">
      <c r="A817" s="9" t="s">
        <v>1548</v>
      </c>
      <c r="B817" s="10">
        <v>45807</v>
      </c>
      <c r="C817" s="9" t="s">
        <v>36</v>
      </c>
      <c r="D817" s="9" t="s">
        <v>29</v>
      </c>
      <c r="E817" s="11" t="s">
        <v>37</v>
      </c>
      <c r="F817" s="11" t="s">
        <v>38</v>
      </c>
      <c r="G817" s="3">
        <v>360</v>
      </c>
      <c r="H817" s="3">
        <v>210</v>
      </c>
      <c r="I817" s="12">
        <v>3</v>
      </c>
      <c r="J817" s="9" t="s">
        <v>1549</v>
      </c>
      <c r="K817" s="9" t="s">
        <v>49</v>
      </c>
      <c r="L817" s="13">
        <v>0</v>
      </c>
      <c r="M817" s="9" t="s">
        <v>34</v>
      </c>
    </row>
    <row r="818" spans="1:13" ht="20.25" customHeight="1" x14ac:dyDescent="0.25">
      <c r="A818" s="9" t="s">
        <v>1550</v>
      </c>
      <c r="B818" s="10">
        <v>45808</v>
      </c>
      <c r="C818" s="9" t="s">
        <v>62</v>
      </c>
      <c r="D818" s="9" t="s">
        <v>51</v>
      </c>
      <c r="E818" s="11" t="s">
        <v>58</v>
      </c>
      <c r="F818" s="11" t="s">
        <v>87</v>
      </c>
      <c r="G818" s="3">
        <v>180</v>
      </c>
      <c r="H818" s="3">
        <v>110</v>
      </c>
      <c r="I818" s="12">
        <v>1</v>
      </c>
      <c r="J818" s="9" t="s">
        <v>1505</v>
      </c>
      <c r="K818" s="9" t="s">
        <v>49</v>
      </c>
      <c r="L818" s="13">
        <v>0</v>
      </c>
      <c r="M818" s="9" t="s">
        <v>34</v>
      </c>
    </row>
    <row r="819" spans="1:13" ht="20.25" customHeight="1" x14ac:dyDescent="0.25">
      <c r="A819" s="9" t="s">
        <v>1551</v>
      </c>
      <c r="B819" s="10">
        <v>45808</v>
      </c>
      <c r="C819" s="9" t="s">
        <v>62</v>
      </c>
      <c r="D819" s="9" t="s">
        <v>51</v>
      </c>
      <c r="E819" s="11" t="s">
        <v>58</v>
      </c>
      <c r="F819" s="11" t="s">
        <v>87</v>
      </c>
      <c r="G819" s="3">
        <v>180</v>
      </c>
      <c r="H819" s="3">
        <v>110</v>
      </c>
      <c r="I819" s="12">
        <v>1</v>
      </c>
      <c r="J819" s="9" t="s">
        <v>569</v>
      </c>
      <c r="K819" s="9" t="s">
        <v>49</v>
      </c>
      <c r="L819" s="13">
        <v>0</v>
      </c>
      <c r="M819" s="9" t="s">
        <v>34</v>
      </c>
    </row>
    <row r="820" spans="1:13" ht="20.25" customHeight="1" x14ac:dyDescent="0.25">
      <c r="A820" s="9" t="s">
        <v>1552</v>
      </c>
      <c r="B820" s="10">
        <v>45808</v>
      </c>
      <c r="C820" s="9" t="s">
        <v>36</v>
      </c>
      <c r="D820" s="9" t="s">
        <v>42</v>
      </c>
      <c r="E820" s="11" t="s">
        <v>30</v>
      </c>
      <c r="F820" s="11" t="s">
        <v>80</v>
      </c>
      <c r="G820" s="3">
        <v>850</v>
      </c>
      <c r="H820" s="3">
        <v>600</v>
      </c>
      <c r="I820" s="12">
        <v>1</v>
      </c>
      <c r="J820" s="9" t="s">
        <v>1553</v>
      </c>
      <c r="K820" s="9" t="s">
        <v>33</v>
      </c>
      <c r="L820" s="13">
        <v>1</v>
      </c>
      <c r="M820" s="9" t="s">
        <v>34</v>
      </c>
    </row>
    <row r="821" spans="1:13" ht="20.25" customHeight="1" x14ac:dyDescent="0.25">
      <c r="A821" s="9" t="s">
        <v>1554</v>
      </c>
      <c r="B821" s="10">
        <v>45808</v>
      </c>
      <c r="C821" s="9" t="s">
        <v>36</v>
      </c>
      <c r="D821" s="9" t="s">
        <v>29</v>
      </c>
      <c r="E821" s="11" t="s">
        <v>43</v>
      </c>
      <c r="F821" s="11" t="s">
        <v>90</v>
      </c>
      <c r="G821" s="3">
        <v>150</v>
      </c>
      <c r="H821" s="3">
        <v>90</v>
      </c>
      <c r="I821" s="12">
        <v>1</v>
      </c>
      <c r="J821" s="9" t="s">
        <v>675</v>
      </c>
      <c r="K821" s="9" t="s">
        <v>49</v>
      </c>
      <c r="L821" s="13">
        <v>0</v>
      </c>
      <c r="M821" s="9" t="s">
        <v>34</v>
      </c>
    </row>
    <row r="822" spans="1:13" ht="20.25" customHeight="1" x14ac:dyDescent="0.25">
      <c r="A822" s="9" t="s">
        <v>1555</v>
      </c>
      <c r="B822" s="10">
        <v>45809</v>
      </c>
      <c r="C822" s="9" t="s">
        <v>71</v>
      </c>
      <c r="D822" s="9" t="s">
        <v>51</v>
      </c>
      <c r="E822" s="11" t="s">
        <v>58</v>
      </c>
      <c r="F822" s="11" t="s">
        <v>87</v>
      </c>
      <c r="G822" s="3">
        <v>180</v>
      </c>
      <c r="H822" s="3">
        <v>110</v>
      </c>
      <c r="I822" s="12">
        <v>1</v>
      </c>
      <c r="J822" s="9" t="s">
        <v>1476</v>
      </c>
      <c r="K822" s="9" t="s">
        <v>49</v>
      </c>
      <c r="L822" s="13">
        <v>0</v>
      </c>
      <c r="M822" s="9" t="s">
        <v>34</v>
      </c>
    </row>
    <row r="823" spans="1:13" ht="20.25" customHeight="1" x14ac:dyDescent="0.25">
      <c r="A823" s="9" t="s">
        <v>1556</v>
      </c>
      <c r="B823" s="10">
        <v>45809</v>
      </c>
      <c r="C823" s="9" t="s">
        <v>62</v>
      </c>
      <c r="D823" s="9" t="s">
        <v>51</v>
      </c>
      <c r="E823" s="11" t="s">
        <v>30</v>
      </c>
      <c r="F823" s="11" t="s">
        <v>63</v>
      </c>
      <c r="G823" s="3">
        <v>1200</v>
      </c>
      <c r="H823" s="3">
        <v>850</v>
      </c>
      <c r="I823" s="12">
        <v>1</v>
      </c>
      <c r="J823" s="9" t="s">
        <v>1557</v>
      </c>
      <c r="K823" s="9" t="s">
        <v>33</v>
      </c>
      <c r="L823" s="13">
        <v>1</v>
      </c>
      <c r="M823" s="9" t="s">
        <v>34</v>
      </c>
    </row>
    <row r="824" spans="1:13" ht="20.25" customHeight="1" x14ac:dyDescent="0.25">
      <c r="A824" s="9" t="s">
        <v>1558</v>
      </c>
      <c r="B824" s="10">
        <v>45810</v>
      </c>
      <c r="C824" s="9" t="s">
        <v>54</v>
      </c>
      <c r="D824" s="9" t="s">
        <v>29</v>
      </c>
      <c r="E824" s="11" t="s">
        <v>43</v>
      </c>
      <c r="F824" s="11" t="s">
        <v>90</v>
      </c>
      <c r="G824" s="3">
        <v>300</v>
      </c>
      <c r="H824" s="3">
        <v>180</v>
      </c>
      <c r="I824" s="12">
        <v>2</v>
      </c>
      <c r="J824" s="9" t="s">
        <v>1276</v>
      </c>
      <c r="K824" s="9" t="s">
        <v>33</v>
      </c>
      <c r="L824" s="13">
        <v>1</v>
      </c>
      <c r="M824" s="9" t="s">
        <v>34</v>
      </c>
    </row>
    <row r="825" spans="1:13" ht="20.25" customHeight="1" x14ac:dyDescent="0.25">
      <c r="A825" s="9" t="s">
        <v>1559</v>
      </c>
      <c r="B825" s="10">
        <v>45810</v>
      </c>
      <c r="C825" s="9" t="s">
        <v>28</v>
      </c>
      <c r="D825" s="9" t="s">
        <v>29</v>
      </c>
      <c r="E825" s="11" t="s">
        <v>43</v>
      </c>
      <c r="F825" s="11" t="s">
        <v>47</v>
      </c>
      <c r="G825" s="3">
        <v>110</v>
      </c>
      <c r="H825" s="3">
        <v>65</v>
      </c>
      <c r="I825" s="12">
        <v>1</v>
      </c>
      <c r="J825" s="9" t="s">
        <v>1553</v>
      </c>
      <c r="K825" s="9" t="s">
        <v>33</v>
      </c>
      <c r="L825" s="13">
        <v>1</v>
      </c>
      <c r="M825" s="9" t="s">
        <v>34</v>
      </c>
    </row>
    <row r="826" spans="1:13" ht="20.25" customHeight="1" x14ac:dyDescent="0.25">
      <c r="A826" s="9" t="s">
        <v>1560</v>
      </c>
      <c r="B826" s="10">
        <v>45810</v>
      </c>
      <c r="C826" s="9" t="s">
        <v>36</v>
      </c>
      <c r="D826" s="9" t="s">
        <v>29</v>
      </c>
      <c r="E826" s="11" t="s">
        <v>43</v>
      </c>
      <c r="F826" s="11" t="s">
        <v>44</v>
      </c>
      <c r="G826" s="3">
        <v>45</v>
      </c>
      <c r="H826" s="3">
        <v>20</v>
      </c>
      <c r="I826" s="12">
        <v>1</v>
      </c>
      <c r="J826" s="9" t="s">
        <v>1245</v>
      </c>
      <c r="K826" s="9" t="s">
        <v>49</v>
      </c>
      <c r="L826" s="13">
        <v>0</v>
      </c>
      <c r="M826" s="9" t="s">
        <v>34</v>
      </c>
    </row>
    <row r="827" spans="1:13" ht="20.25" customHeight="1" x14ac:dyDescent="0.25">
      <c r="A827" s="9" t="s">
        <v>1561</v>
      </c>
      <c r="B827" s="10">
        <v>45811</v>
      </c>
      <c r="C827" s="9" t="s">
        <v>71</v>
      </c>
      <c r="D827" s="9" t="s">
        <v>29</v>
      </c>
      <c r="E827" s="11" t="s">
        <v>58</v>
      </c>
      <c r="F827" s="11" t="s">
        <v>87</v>
      </c>
      <c r="G827" s="3">
        <v>540</v>
      </c>
      <c r="H827" s="3">
        <v>330</v>
      </c>
      <c r="I827" s="12">
        <v>3</v>
      </c>
      <c r="J827" s="9" t="s">
        <v>1562</v>
      </c>
      <c r="K827" s="9" t="s">
        <v>33</v>
      </c>
      <c r="L827" s="13">
        <v>1</v>
      </c>
      <c r="M827" s="9" t="s">
        <v>34</v>
      </c>
    </row>
    <row r="828" spans="1:13" ht="20.25" customHeight="1" x14ac:dyDescent="0.25">
      <c r="A828" s="9" t="s">
        <v>1563</v>
      </c>
      <c r="B828" s="10">
        <v>45811</v>
      </c>
      <c r="C828" s="9" t="s">
        <v>71</v>
      </c>
      <c r="D828" s="9" t="s">
        <v>42</v>
      </c>
      <c r="E828" s="11" t="s">
        <v>30</v>
      </c>
      <c r="F828" s="11" t="s">
        <v>63</v>
      </c>
      <c r="G828" s="3">
        <v>1200</v>
      </c>
      <c r="H828" s="3">
        <v>850</v>
      </c>
      <c r="I828" s="12">
        <v>1</v>
      </c>
      <c r="J828" s="9" t="s">
        <v>135</v>
      </c>
      <c r="K828" s="9" t="s">
        <v>33</v>
      </c>
      <c r="L828" s="13">
        <v>1</v>
      </c>
      <c r="M828" s="9" t="s">
        <v>34</v>
      </c>
    </row>
    <row r="829" spans="1:13" ht="20.25" customHeight="1" x14ac:dyDescent="0.25">
      <c r="A829" s="9" t="s">
        <v>1564</v>
      </c>
      <c r="B829" s="10">
        <v>45812</v>
      </c>
      <c r="C829" s="9" t="s">
        <v>28</v>
      </c>
      <c r="D829" s="9" t="s">
        <v>51</v>
      </c>
      <c r="E829" s="11" t="s">
        <v>58</v>
      </c>
      <c r="F829" s="11" t="s">
        <v>68</v>
      </c>
      <c r="G829" s="3">
        <v>1400</v>
      </c>
      <c r="H829" s="3">
        <v>880</v>
      </c>
      <c r="I829" s="12">
        <v>4</v>
      </c>
      <c r="J829" s="9" t="s">
        <v>1565</v>
      </c>
      <c r="K829" s="9" t="s">
        <v>49</v>
      </c>
      <c r="L829" s="13">
        <v>0</v>
      </c>
      <c r="M829" s="9" t="s">
        <v>34</v>
      </c>
    </row>
    <row r="830" spans="1:13" ht="20.25" customHeight="1" x14ac:dyDescent="0.25">
      <c r="A830" s="9" t="s">
        <v>1566</v>
      </c>
      <c r="B830" s="10">
        <v>45812</v>
      </c>
      <c r="C830" s="9" t="s">
        <v>54</v>
      </c>
      <c r="D830" s="9" t="s">
        <v>51</v>
      </c>
      <c r="E830" s="11" t="s">
        <v>30</v>
      </c>
      <c r="F830" s="11" t="s">
        <v>63</v>
      </c>
      <c r="G830" s="3">
        <v>1200</v>
      </c>
      <c r="H830" s="3">
        <v>850</v>
      </c>
      <c r="I830" s="12">
        <v>1</v>
      </c>
      <c r="J830" s="9" t="s">
        <v>1567</v>
      </c>
      <c r="K830" s="9" t="s">
        <v>49</v>
      </c>
      <c r="L830" s="13">
        <v>0</v>
      </c>
      <c r="M830" s="9" t="s">
        <v>34</v>
      </c>
    </row>
    <row r="831" spans="1:13" ht="20.25" customHeight="1" x14ac:dyDescent="0.25">
      <c r="A831" s="9" t="s">
        <v>1568</v>
      </c>
      <c r="B831" s="10">
        <v>45813</v>
      </c>
      <c r="C831" s="9" t="s">
        <v>41</v>
      </c>
      <c r="D831" s="9" t="s">
        <v>42</v>
      </c>
      <c r="E831" s="11" t="s">
        <v>43</v>
      </c>
      <c r="F831" s="11" t="s">
        <v>47</v>
      </c>
      <c r="G831" s="3">
        <v>440</v>
      </c>
      <c r="H831" s="3">
        <v>260</v>
      </c>
      <c r="I831" s="12">
        <v>4</v>
      </c>
      <c r="J831" s="9" t="s">
        <v>1569</v>
      </c>
      <c r="K831" s="9" t="s">
        <v>49</v>
      </c>
      <c r="L831" s="13">
        <v>0</v>
      </c>
      <c r="M831" s="9" t="s">
        <v>34</v>
      </c>
    </row>
    <row r="832" spans="1:13" ht="20.25" customHeight="1" x14ac:dyDescent="0.25">
      <c r="A832" s="9" t="s">
        <v>1570</v>
      </c>
      <c r="B832" s="10">
        <v>45814</v>
      </c>
      <c r="C832" s="9" t="s">
        <v>54</v>
      </c>
      <c r="D832" s="9" t="s">
        <v>29</v>
      </c>
      <c r="E832" s="11" t="s">
        <v>30</v>
      </c>
      <c r="F832" s="11" t="s">
        <v>31</v>
      </c>
      <c r="G832" s="3">
        <v>650</v>
      </c>
      <c r="H832" s="3">
        <v>450</v>
      </c>
      <c r="I832" s="12">
        <v>1</v>
      </c>
      <c r="J832" s="9" t="s">
        <v>1571</v>
      </c>
      <c r="K832" s="9" t="s">
        <v>49</v>
      </c>
      <c r="L832" s="13">
        <v>0</v>
      </c>
      <c r="M832" s="9" t="s">
        <v>34</v>
      </c>
    </row>
    <row r="833" spans="1:13" ht="20.25" customHeight="1" x14ac:dyDescent="0.25">
      <c r="A833" s="9" t="s">
        <v>1572</v>
      </c>
      <c r="B833" s="10">
        <v>45816</v>
      </c>
      <c r="C833" s="9" t="s">
        <v>54</v>
      </c>
      <c r="D833" s="9" t="s">
        <v>42</v>
      </c>
      <c r="E833" s="11" t="s">
        <v>30</v>
      </c>
      <c r="F833" s="11" t="s">
        <v>80</v>
      </c>
      <c r="G833" s="3">
        <v>850</v>
      </c>
      <c r="H833" s="3">
        <v>600</v>
      </c>
      <c r="I833" s="12">
        <v>1</v>
      </c>
      <c r="J833" s="9" t="s">
        <v>1573</v>
      </c>
      <c r="K833" s="9" t="s">
        <v>49</v>
      </c>
      <c r="L833" s="13">
        <v>0</v>
      </c>
      <c r="M833" s="9" t="s">
        <v>34</v>
      </c>
    </row>
    <row r="834" spans="1:13" ht="20.25" customHeight="1" x14ac:dyDescent="0.25">
      <c r="A834" s="9" t="s">
        <v>1574</v>
      </c>
      <c r="B834" s="10">
        <v>45816</v>
      </c>
      <c r="C834" s="9" t="s">
        <v>41</v>
      </c>
      <c r="D834" s="9" t="s">
        <v>29</v>
      </c>
      <c r="E834" s="11" t="s">
        <v>58</v>
      </c>
      <c r="F834" s="11" t="s">
        <v>59</v>
      </c>
      <c r="G834" s="3">
        <v>150</v>
      </c>
      <c r="H834" s="3">
        <v>90</v>
      </c>
      <c r="I834" s="12">
        <v>1</v>
      </c>
      <c r="J834" s="9" t="s">
        <v>1575</v>
      </c>
      <c r="K834" s="9" t="s">
        <v>49</v>
      </c>
      <c r="L834" s="13">
        <v>0</v>
      </c>
      <c r="M834" s="9" t="s">
        <v>34</v>
      </c>
    </row>
    <row r="835" spans="1:13" ht="20.25" customHeight="1" x14ac:dyDescent="0.25">
      <c r="A835" s="9" t="s">
        <v>1576</v>
      </c>
      <c r="B835" s="10">
        <v>45816</v>
      </c>
      <c r="C835" s="9" t="s">
        <v>36</v>
      </c>
      <c r="D835" s="9" t="s">
        <v>42</v>
      </c>
      <c r="E835" s="11" t="s">
        <v>58</v>
      </c>
      <c r="F835" s="11" t="s">
        <v>68</v>
      </c>
      <c r="G835" s="3">
        <v>700</v>
      </c>
      <c r="H835" s="3">
        <v>440</v>
      </c>
      <c r="I835" s="12">
        <v>2</v>
      </c>
      <c r="J835" s="9" t="s">
        <v>861</v>
      </c>
      <c r="K835" s="9" t="s">
        <v>33</v>
      </c>
      <c r="L835" s="13">
        <v>1</v>
      </c>
      <c r="M835" s="9" t="s">
        <v>34</v>
      </c>
    </row>
    <row r="836" spans="1:13" ht="20.25" customHeight="1" x14ac:dyDescent="0.25">
      <c r="A836" s="9" t="s">
        <v>1577</v>
      </c>
      <c r="B836" s="10">
        <v>45816</v>
      </c>
      <c r="C836" s="9" t="s">
        <v>71</v>
      </c>
      <c r="D836" s="9" t="s">
        <v>29</v>
      </c>
      <c r="E836" s="11" t="s">
        <v>43</v>
      </c>
      <c r="F836" s="11" t="s">
        <v>44</v>
      </c>
      <c r="G836" s="3">
        <v>135</v>
      </c>
      <c r="H836" s="3">
        <v>60</v>
      </c>
      <c r="I836" s="12">
        <v>3</v>
      </c>
      <c r="J836" s="9" t="s">
        <v>1578</v>
      </c>
      <c r="K836" s="9" t="s">
        <v>33</v>
      </c>
      <c r="L836" s="13">
        <v>1</v>
      </c>
      <c r="M836" s="9" t="s">
        <v>34</v>
      </c>
    </row>
    <row r="837" spans="1:13" ht="20.25" customHeight="1" x14ac:dyDescent="0.25">
      <c r="A837" s="9" t="s">
        <v>1579</v>
      </c>
      <c r="B837" s="10">
        <v>45817</v>
      </c>
      <c r="C837" s="9" t="s">
        <v>28</v>
      </c>
      <c r="D837" s="9" t="s">
        <v>42</v>
      </c>
      <c r="E837" s="11" t="s">
        <v>58</v>
      </c>
      <c r="F837" s="11" t="s">
        <v>68</v>
      </c>
      <c r="G837" s="3">
        <v>350</v>
      </c>
      <c r="H837" s="3">
        <v>220</v>
      </c>
      <c r="I837" s="12">
        <v>1</v>
      </c>
      <c r="J837" s="9" t="s">
        <v>1580</v>
      </c>
      <c r="K837" s="9" t="s">
        <v>33</v>
      </c>
      <c r="L837" s="13">
        <v>1</v>
      </c>
      <c r="M837" s="9" t="s">
        <v>34</v>
      </c>
    </row>
    <row r="838" spans="1:13" ht="20.25" customHeight="1" x14ac:dyDescent="0.25">
      <c r="A838" s="9" t="s">
        <v>1581</v>
      </c>
      <c r="B838" s="10">
        <v>45817</v>
      </c>
      <c r="C838" s="9" t="s">
        <v>41</v>
      </c>
      <c r="D838" s="9" t="s">
        <v>29</v>
      </c>
      <c r="E838" s="11" t="s">
        <v>30</v>
      </c>
      <c r="F838" s="11" t="s">
        <v>31</v>
      </c>
      <c r="G838" s="3">
        <v>1950</v>
      </c>
      <c r="H838" s="3">
        <v>1350</v>
      </c>
      <c r="I838" s="12">
        <v>3</v>
      </c>
      <c r="J838" s="9" t="s">
        <v>1582</v>
      </c>
      <c r="K838" s="9" t="s">
        <v>49</v>
      </c>
      <c r="L838" s="13">
        <v>0</v>
      </c>
      <c r="M838" s="9" t="s">
        <v>34</v>
      </c>
    </row>
    <row r="839" spans="1:13" ht="20.25" customHeight="1" x14ac:dyDescent="0.25">
      <c r="A839" s="9" t="s">
        <v>1583</v>
      </c>
      <c r="B839" s="10">
        <v>45817</v>
      </c>
      <c r="C839" s="9" t="s">
        <v>28</v>
      </c>
      <c r="D839" s="9" t="s">
        <v>29</v>
      </c>
      <c r="E839" s="11" t="s">
        <v>30</v>
      </c>
      <c r="F839" s="11" t="s">
        <v>80</v>
      </c>
      <c r="G839" s="3">
        <v>850</v>
      </c>
      <c r="H839" s="3">
        <v>600</v>
      </c>
      <c r="I839" s="12">
        <v>1</v>
      </c>
      <c r="J839" s="9" t="s">
        <v>618</v>
      </c>
      <c r="K839" s="9" t="s">
        <v>49</v>
      </c>
      <c r="L839" s="13">
        <v>0</v>
      </c>
      <c r="M839" s="9" t="s">
        <v>34</v>
      </c>
    </row>
    <row r="840" spans="1:13" ht="20.25" customHeight="1" x14ac:dyDescent="0.25">
      <c r="A840" s="9" t="s">
        <v>1584</v>
      </c>
      <c r="B840" s="10">
        <v>45817</v>
      </c>
      <c r="C840" s="9" t="s">
        <v>41</v>
      </c>
      <c r="D840" s="9" t="s">
        <v>51</v>
      </c>
      <c r="E840" s="11" t="s">
        <v>58</v>
      </c>
      <c r="F840" s="11" t="s">
        <v>59</v>
      </c>
      <c r="G840" s="3">
        <v>-300</v>
      </c>
      <c r="H840" s="3">
        <v>-180</v>
      </c>
      <c r="I840" s="12">
        <v>-2</v>
      </c>
      <c r="J840" s="9" t="s">
        <v>1585</v>
      </c>
      <c r="K840" s="9" t="s">
        <v>49</v>
      </c>
      <c r="L840" s="13">
        <v>0</v>
      </c>
      <c r="M840" s="9" t="s">
        <v>76</v>
      </c>
    </row>
    <row r="841" spans="1:13" ht="20.25" customHeight="1" x14ac:dyDescent="0.25">
      <c r="A841" s="9" t="s">
        <v>1586</v>
      </c>
      <c r="B841" s="10">
        <v>45818</v>
      </c>
      <c r="C841" s="9" t="s">
        <v>28</v>
      </c>
      <c r="D841" s="9" t="s">
        <v>29</v>
      </c>
      <c r="E841" s="11" t="s">
        <v>30</v>
      </c>
      <c r="F841" s="11" t="s">
        <v>31</v>
      </c>
      <c r="G841" s="3">
        <v>1300</v>
      </c>
      <c r="H841" s="3">
        <v>900</v>
      </c>
      <c r="I841" s="12">
        <v>2</v>
      </c>
      <c r="J841" s="9" t="s">
        <v>1587</v>
      </c>
      <c r="K841" s="9" t="s">
        <v>49</v>
      </c>
      <c r="L841" s="13">
        <v>0</v>
      </c>
      <c r="M841" s="9" t="s">
        <v>34</v>
      </c>
    </row>
    <row r="842" spans="1:13" ht="20.25" customHeight="1" x14ac:dyDescent="0.25">
      <c r="A842" s="9" t="s">
        <v>1588</v>
      </c>
      <c r="B842" s="10">
        <v>45818</v>
      </c>
      <c r="C842" s="9" t="s">
        <v>28</v>
      </c>
      <c r="D842" s="9" t="s">
        <v>51</v>
      </c>
      <c r="E842" s="11" t="s">
        <v>37</v>
      </c>
      <c r="F842" s="11" t="s">
        <v>55</v>
      </c>
      <c r="G842" s="3">
        <v>90</v>
      </c>
      <c r="H842" s="3">
        <v>55</v>
      </c>
      <c r="I842" s="12">
        <v>1</v>
      </c>
      <c r="J842" s="9" t="s">
        <v>442</v>
      </c>
      <c r="K842" s="9" t="s">
        <v>33</v>
      </c>
      <c r="L842" s="13">
        <v>1</v>
      </c>
      <c r="M842" s="9" t="s">
        <v>34</v>
      </c>
    </row>
    <row r="843" spans="1:13" ht="20.25" customHeight="1" x14ac:dyDescent="0.25">
      <c r="A843" s="9" t="s">
        <v>1589</v>
      </c>
      <c r="B843" s="10">
        <v>45818</v>
      </c>
      <c r="C843" s="9" t="s">
        <v>28</v>
      </c>
      <c r="D843" s="9" t="s">
        <v>29</v>
      </c>
      <c r="E843" s="11" t="s">
        <v>37</v>
      </c>
      <c r="F843" s="11" t="s">
        <v>38</v>
      </c>
      <c r="G843" s="3">
        <v>120</v>
      </c>
      <c r="H843" s="3">
        <v>70</v>
      </c>
      <c r="I843" s="12">
        <v>1</v>
      </c>
      <c r="J843" s="9" t="s">
        <v>804</v>
      </c>
      <c r="K843" s="9" t="s">
        <v>49</v>
      </c>
      <c r="L843" s="13">
        <v>0</v>
      </c>
      <c r="M843" s="9" t="s">
        <v>34</v>
      </c>
    </row>
    <row r="844" spans="1:13" ht="20.25" customHeight="1" x14ac:dyDescent="0.25">
      <c r="A844" s="9" t="s">
        <v>1590</v>
      </c>
      <c r="B844" s="10">
        <v>45819</v>
      </c>
      <c r="C844" s="9" t="s">
        <v>28</v>
      </c>
      <c r="D844" s="9" t="s">
        <v>51</v>
      </c>
      <c r="E844" s="11" t="s">
        <v>37</v>
      </c>
      <c r="F844" s="11" t="s">
        <v>72</v>
      </c>
      <c r="G844" s="3">
        <v>660</v>
      </c>
      <c r="H844" s="3">
        <v>390</v>
      </c>
      <c r="I844" s="12">
        <v>3</v>
      </c>
      <c r="J844" s="9" t="s">
        <v>237</v>
      </c>
      <c r="K844" s="9" t="s">
        <v>33</v>
      </c>
      <c r="L844" s="13">
        <v>1</v>
      </c>
      <c r="M844" s="9" t="s">
        <v>34</v>
      </c>
    </row>
    <row r="845" spans="1:13" ht="20.25" customHeight="1" x14ac:dyDescent="0.25">
      <c r="A845" s="9" t="s">
        <v>1591</v>
      </c>
      <c r="B845" s="10">
        <v>45819</v>
      </c>
      <c r="C845" s="9" t="s">
        <v>41</v>
      </c>
      <c r="D845" s="9" t="s">
        <v>29</v>
      </c>
      <c r="E845" s="11" t="s">
        <v>43</v>
      </c>
      <c r="F845" s="11" t="s">
        <v>90</v>
      </c>
      <c r="G845" s="3">
        <v>450</v>
      </c>
      <c r="H845" s="3">
        <v>270</v>
      </c>
      <c r="I845" s="12">
        <v>3</v>
      </c>
      <c r="J845" s="9" t="s">
        <v>1592</v>
      </c>
      <c r="K845" s="9" t="s">
        <v>33</v>
      </c>
      <c r="L845" s="13">
        <v>1</v>
      </c>
      <c r="M845" s="9" t="s">
        <v>34</v>
      </c>
    </row>
    <row r="846" spans="1:13" ht="20.25" customHeight="1" x14ac:dyDescent="0.25">
      <c r="A846" s="9" t="s">
        <v>1593</v>
      </c>
      <c r="B846" s="10">
        <v>45821</v>
      </c>
      <c r="C846" s="9" t="s">
        <v>41</v>
      </c>
      <c r="D846" s="9" t="s">
        <v>29</v>
      </c>
      <c r="E846" s="11" t="s">
        <v>43</v>
      </c>
      <c r="F846" s="11" t="s">
        <v>44</v>
      </c>
      <c r="G846" s="3">
        <v>180</v>
      </c>
      <c r="H846" s="3">
        <v>80</v>
      </c>
      <c r="I846" s="12">
        <v>4</v>
      </c>
      <c r="J846" s="9" t="s">
        <v>1594</v>
      </c>
      <c r="K846" s="9" t="s">
        <v>49</v>
      </c>
      <c r="L846" s="13">
        <v>0</v>
      </c>
      <c r="M846" s="9" t="s">
        <v>34</v>
      </c>
    </row>
    <row r="847" spans="1:13" ht="20.25" customHeight="1" x14ac:dyDescent="0.25">
      <c r="A847" s="9" t="s">
        <v>1595</v>
      </c>
      <c r="B847" s="10">
        <v>45821</v>
      </c>
      <c r="C847" s="9" t="s">
        <v>71</v>
      </c>
      <c r="D847" s="9" t="s">
        <v>29</v>
      </c>
      <c r="E847" s="11" t="s">
        <v>43</v>
      </c>
      <c r="F847" s="11" t="s">
        <v>44</v>
      </c>
      <c r="G847" s="3">
        <v>135</v>
      </c>
      <c r="H847" s="3">
        <v>60</v>
      </c>
      <c r="I847" s="12">
        <v>3</v>
      </c>
      <c r="J847" s="9" t="s">
        <v>1596</v>
      </c>
      <c r="K847" s="9" t="s">
        <v>33</v>
      </c>
      <c r="L847" s="13">
        <v>1</v>
      </c>
      <c r="M847" s="9" t="s">
        <v>34</v>
      </c>
    </row>
    <row r="848" spans="1:13" ht="20.25" customHeight="1" x14ac:dyDescent="0.25">
      <c r="A848" s="9" t="s">
        <v>1597</v>
      </c>
      <c r="B848" s="10">
        <v>45823</v>
      </c>
      <c r="C848" s="9" t="s">
        <v>28</v>
      </c>
      <c r="D848" s="9" t="s">
        <v>29</v>
      </c>
      <c r="E848" s="11" t="s">
        <v>30</v>
      </c>
      <c r="F848" s="11" t="s">
        <v>31</v>
      </c>
      <c r="G848" s="3">
        <v>650</v>
      </c>
      <c r="H848" s="3">
        <v>450</v>
      </c>
      <c r="I848" s="12">
        <v>1</v>
      </c>
      <c r="J848" s="9" t="s">
        <v>1598</v>
      </c>
      <c r="K848" s="9" t="s">
        <v>33</v>
      </c>
      <c r="L848" s="13">
        <v>1</v>
      </c>
      <c r="M848" s="9" t="s">
        <v>34</v>
      </c>
    </row>
    <row r="849" spans="1:13" ht="20.25" customHeight="1" x14ac:dyDescent="0.25">
      <c r="A849" s="9" t="s">
        <v>1599</v>
      </c>
      <c r="B849" s="10">
        <v>45824</v>
      </c>
      <c r="C849" s="9" t="s">
        <v>28</v>
      </c>
      <c r="D849" s="9" t="s">
        <v>29</v>
      </c>
      <c r="E849" s="11" t="s">
        <v>30</v>
      </c>
      <c r="F849" s="11" t="s">
        <v>80</v>
      </c>
      <c r="G849" s="3">
        <v>1700</v>
      </c>
      <c r="H849" s="3">
        <v>1200</v>
      </c>
      <c r="I849" s="12">
        <v>2</v>
      </c>
      <c r="J849" s="9" t="s">
        <v>783</v>
      </c>
      <c r="K849" s="9" t="s">
        <v>33</v>
      </c>
      <c r="L849" s="13">
        <v>1</v>
      </c>
      <c r="M849" s="9" t="s">
        <v>34</v>
      </c>
    </row>
    <row r="850" spans="1:13" ht="20.25" customHeight="1" x14ac:dyDescent="0.25">
      <c r="A850" s="9" t="s">
        <v>1600</v>
      </c>
      <c r="B850" s="10">
        <v>45824</v>
      </c>
      <c r="C850" s="9" t="s">
        <v>28</v>
      </c>
      <c r="D850" s="9" t="s">
        <v>29</v>
      </c>
      <c r="E850" s="11" t="s">
        <v>58</v>
      </c>
      <c r="F850" s="11" t="s">
        <v>87</v>
      </c>
      <c r="G850" s="3">
        <v>180</v>
      </c>
      <c r="H850" s="3">
        <v>110</v>
      </c>
      <c r="I850" s="12">
        <v>1</v>
      </c>
      <c r="J850" s="9" t="s">
        <v>1601</v>
      </c>
      <c r="K850" s="9" t="s">
        <v>49</v>
      </c>
      <c r="L850" s="13">
        <v>0</v>
      </c>
      <c r="M850" s="9" t="s">
        <v>34</v>
      </c>
    </row>
    <row r="851" spans="1:13" ht="20.25" customHeight="1" x14ac:dyDescent="0.25">
      <c r="A851" s="9" t="s">
        <v>1602</v>
      </c>
      <c r="B851" s="10">
        <v>45825</v>
      </c>
      <c r="C851" s="9" t="s">
        <v>28</v>
      </c>
      <c r="D851" s="9" t="s">
        <v>29</v>
      </c>
      <c r="E851" s="11" t="s">
        <v>43</v>
      </c>
      <c r="F851" s="11" t="s">
        <v>44</v>
      </c>
      <c r="G851" s="3">
        <v>225</v>
      </c>
      <c r="H851" s="3">
        <v>100</v>
      </c>
      <c r="I851" s="12">
        <v>5</v>
      </c>
      <c r="J851" s="9" t="s">
        <v>1603</v>
      </c>
      <c r="K851" s="9" t="s">
        <v>49</v>
      </c>
      <c r="L851" s="13">
        <v>0</v>
      </c>
      <c r="M851" s="9" t="s">
        <v>34</v>
      </c>
    </row>
    <row r="852" spans="1:13" ht="20.25" customHeight="1" x14ac:dyDescent="0.25">
      <c r="A852" s="9" t="s">
        <v>1604</v>
      </c>
      <c r="B852" s="10">
        <v>45825</v>
      </c>
      <c r="C852" s="9" t="s">
        <v>54</v>
      </c>
      <c r="D852" s="9" t="s">
        <v>29</v>
      </c>
      <c r="E852" s="11" t="s">
        <v>43</v>
      </c>
      <c r="F852" s="11" t="s">
        <v>47</v>
      </c>
      <c r="G852" s="3">
        <v>110</v>
      </c>
      <c r="H852" s="3">
        <v>65</v>
      </c>
      <c r="I852" s="12">
        <v>1</v>
      </c>
      <c r="J852" s="9" t="s">
        <v>1605</v>
      </c>
      <c r="K852" s="9" t="s">
        <v>49</v>
      </c>
      <c r="L852" s="13">
        <v>0</v>
      </c>
      <c r="M852" s="9" t="s">
        <v>34</v>
      </c>
    </row>
    <row r="853" spans="1:13" ht="20.25" customHeight="1" x14ac:dyDescent="0.25">
      <c r="A853" s="9" t="s">
        <v>1606</v>
      </c>
      <c r="B853" s="10">
        <v>45825</v>
      </c>
      <c r="C853" s="9" t="s">
        <v>28</v>
      </c>
      <c r="D853" s="9" t="s">
        <v>51</v>
      </c>
      <c r="E853" s="11" t="s">
        <v>43</v>
      </c>
      <c r="F853" s="11" t="s">
        <v>44</v>
      </c>
      <c r="G853" s="3">
        <v>45</v>
      </c>
      <c r="H853" s="3">
        <v>20</v>
      </c>
      <c r="I853" s="12">
        <v>1</v>
      </c>
      <c r="J853" s="9" t="s">
        <v>1607</v>
      </c>
      <c r="K853" s="9" t="s">
        <v>33</v>
      </c>
      <c r="L853" s="13">
        <v>1</v>
      </c>
      <c r="M853" s="9" t="s">
        <v>34</v>
      </c>
    </row>
    <row r="854" spans="1:13" ht="20.25" customHeight="1" x14ac:dyDescent="0.25">
      <c r="A854" s="9" t="s">
        <v>1608</v>
      </c>
      <c r="B854" s="10">
        <v>45825</v>
      </c>
      <c r="C854" s="9" t="s">
        <v>36</v>
      </c>
      <c r="D854" s="9" t="s">
        <v>42</v>
      </c>
      <c r="E854" s="11" t="s">
        <v>30</v>
      </c>
      <c r="F854" s="11" t="s">
        <v>63</v>
      </c>
      <c r="G854" s="3">
        <v>1200</v>
      </c>
      <c r="H854" s="3">
        <v>850</v>
      </c>
      <c r="I854" s="12">
        <v>1</v>
      </c>
      <c r="J854" s="9" t="s">
        <v>1609</v>
      </c>
      <c r="K854" s="9" t="s">
        <v>49</v>
      </c>
      <c r="L854" s="13">
        <v>0</v>
      </c>
      <c r="M854" s="9" t="s">
        <v>34</v>
      </c>
    </row>
    <row r="855" spans="1:13" ht="20.25" customHeight="1" x14ac:dyDescent="0.25">
      <c r="A855" s="9" t="s">
        <v>1610</v>
      </c>
      <c r="B855" s="10">
        <v>45825</v>
      </c>
      <c r="C855" s="9" t="s">
        <v>28</v>
      </c>
      <c r="D855" s="9" t="s">
        <v>29</v>
      </c>
      <c r="E855" s="11" t="s">
        <v>43</v>
      </c>
      <c r="F855" s="11" t="s">
        <v>47</v>
      </c>
      <c r="G855" s="3">
        <v>110</v>
      </c>
      <c r="H855" s="3">
        <v>65</v>
      </c>
      <c r="I855" s="12">
        <v>1</v>
      </c>
      <c r="J855" s="9" t="s">
        <v>1611</v>
      </c>
      <c r="K855" s="9" t="s">
        <v>49</v>
      </c>
      <c r="L855" s="13">
        <v>0</v>
      </c>
      <c r="M855" s="9" t="s">
        <v>34</v>
      </c>
    </row>
    <row r="856" spans="1:13" ht="20.25" customHeight="1" x14ac:dyDescent="0.25">
      <c r="A856" s="9" t="s">
        <v>1612</v>
      </c>
      <c r="B856" s="10">
        <v>45825</v>
      </c>
      <c r="C856" s="9" t="s">
        <v>28</v>
      </c>
      <c r="D856" s="9" t="s">
        <v>51</v>
      </c>
      <c r="E856" s="11" t="s">
        <v>58</v>
      </c>
      <c r="F856" s="11" t="s">
        <v>59</v>
      </c>
      <c r="G856" s="3">
        <v>150</v>
      </c>
      <c r="H856" s="3">
        <v>90</v>
      </c>
      <c r="I856" s="12">
        <v>1</v>
      </c>
      <c r="J856" s="9" t="s">
        <v>401</v>
      </c>
      <c r="K856" s="9" t="s">
        <v>33</v>
      </c>
      <c r="L856" s="13">
        <v>1</v>
      </c>
      <c r="M856" s="9" t="s">
        <v>34</v>
      </c>
    </row>
    <row r="857" spans="1:13" ht="20.25" customHeight="1" x14ac:dyDescent="0.25">
      <c r="A857" s="9" t="s">
        <v>1613</v>
      </c>
      <c r="B857" s="10">
        <v>45826</v>
      </c>
      <c r="C857" s="9" t="s">
        <v>71</v>
      </c>
      <c r="D857" s="9" t="s">
        <v>51</v>
      </c>
      <c r="E857" s="11" t="s">
        <v>30</v>
      </c>
      <c r="F857" s="11" t="s">
        <v>80</v>
      </c>
      <c r="G857" s="3">
        <v>2550</v>
      </c>
      <c r="H857" s="3">
        <v>1800</v>
      </c>
      <c r="I857" s="12">
        <v>3</v>
      </c>
      <c r="J857" s="9" t="s">
        <v>1614</v>
      </c>
      <c r="K857" s="9" t="s">
        <v>33</v>
      </c>
      <c r="L857" s="13">
        <v>1</v>
      </c>
      <c r="M857" s="9" t="s">
        <v>34</v>
      </c>
    </row>
    <row r="858" spans="1:13" ht="20.25" customHeight="1" x14ac:dyDescent="0.25">
      <c r="A858" s="9" t="s">
        <v>1615</v>
      </c>
      <c r="B858" s="10">
        <v>45826</v>
      </c>
      <c r="C858" s="9" t="s">
        <v>71</v>
      </c>
      <c r="D858" s="9" t="s">
        <v>29</v>
      </c>
      <c r="E858" s="11" t="s">
        <v>58</v>
      </c>
      <c r="F858" s="11" t="s">
        <v>59</v>
      </c>
      <c r="G858" s="3">
        <v>300</v>
      </c>
      <c r="H858" s="3">
        <v>180</v>
      </c>
      <c r="I858" s="12">
        <v>2</v>
      </c>
      <c r="J858" s="9" t="s">
        <v>1616</v>
      </c>
      <c r="K858" s="9" t="s">
        <v>33</v>
      </c>
      <c r="L858" s="13">
        <v>1</v>
      </c>
      <c r="M858" s="9" t="s">
        <v>34</v>
      </c>
    </row>
    <row r="859" spans="1:13" ht="20.25" customHeight="1" x14ac:dyDescent="0.25">
      <c r="A859" s="9" t="s">
        <v>1617</v>
      </c>
      <c r="B859" s="10">
        <v>45828</v>
      </c>
      <c r="C859" s="9" t="s">
        <v>28</v>
      </c>
      <c r="D859" s="9" t="s">
        <v>51</v>
      </c>
      <c r="E859" s="11" t="s">
        <v>30</v>
      </c>
      <c r="F859" s="11" t="s">
        <v>31</v>
      </c>
      <c r="G859" s="3">
        <v>650</v>
      </c>
      <c r="H859" s="3">
        <v>450</v>
      </c>
      <c r="I859" s="12">
        <v>1</v>
      </c>
      <c r="J859" s="9" t="s">
        <v>1618</v>
      </c>
      <c r="K859" s="9" t="s">
        <v>49</v>
      </c>
      <c r="L859" s="13">
        <v>0</v>
      </c>
      <c r="M859" s="9" t="s">
        <v>34</v>
      </c>
    </row>
    <row r="860" spans="1:13" ht="20.25" customHeight="1" x14ac:dyDescent="0.25">
      <c r="A860" s="9" t="s">
        <v>1619</v>
      </c>
      <c r="B860" s="10">
        <v>45828</v>
      </c>
      <c r="C860" s="9" t="s">
        <v>28</v>
      </c>
      <c r="D860" s="9" t="s">
        <v>29</v>
      </c>
      <c r="E860" s="11" t="s">
        <v>58</v>
      </c>
      <c r="F860" s="11" t="s">
        <v>68</v>
      </c>
      <c r="G860" s="3">
        <v>700</v>
      </c>
      <c r="H860" s="3">
        <v>440</v>
      </c>
      <c r="I860" s="12">
        <v>2</v>
      </c>
      <c r="J860" s="9" t="s">
        <v>1620</v>
      </c>
      <c r="K860" s="9" t="s">
        <v>49</v>
      </c>
      <c r="L860" s="13">
        <v>0</v>
      </c>
      <c r="M860" s="9" t="s">
        <v>34</v>
      </c>
    </row>
    <row r="861" spans="1:13" ht="20.25" customHeight="1" x14ac:dyDescent="0.25">
      <c r="A861" s="9" t="s">
        <v>1621</v>
      </c>
      <c r="B861" s="10">
        <v>45828</v>
      </c>
      <c r="C861" s="9" t="s">
        <v>36</v>
      </c>
      <c r="D861" s="9" t="s">
        <v>51</v>
      </c>
      <c r="E861" s="11" t="s">
        <v>58</v>
      </c>
      <c r="F861" s="11" t="s">
        <v>68</v>
      </c>
      <c r="G861" s="3">
        <v>700</v>
      </c>
      <c r="H861" s="3">
        <v>440</v>
      </c>
      <c r="I861" s="12">
        <v>2</v>
      </c>
      <c r="J861" s="9" t="s">
        <v>1622</v>
      </c>
      <c r="K861" s="9" t="s">
        <v>33</v>
      </c>
      <c r="L861" s="13">
        <v>1</v>
      </c>
      <c r="M861" s="9" t="s">
        <v>34</v>
      </c>
    </row>
    <row r="862" spans="1:13" ht="20.25" customHeight="1" x14ac:dyDescent="0.25">
      <c r="A862" s="9" t="s">
        <v>1623</v>
      </c>
      <c r="B862" s="10">
        <v>45829</v>
      </c>
      <c r="C862" s="9" t="s">
        <v>28</v>
      </c>
      <c r="D862" s="9" t="s">
        <v>29</v>
      </c>
      <c r="E862" s="11" t="s">
        <v>58</v>
      </c>
      <c r="F862" s="11" t="s">
        <v>68</v>
      </c>
      <c r="G862" s="3">
        <v>350</v>
      </c>
      <c r="H862" s="3">
        <v>220</v>
      </c>
      <c r="I862" s="12">
        <v>1</v>
      </c>
      <c r="J862" s="9" t="s">
        <v>1624</v>
      </c>
      <c r="K862" s="9" t="s">
        <v>33</v>
      </c>
      <c r="L862" s="13">
        <v>1</v>
      </c>
      <c r="M862" s="9" t="s">
        <v>34</v>
      </c>
    </row>
    <row r="863" spans="1:13" ht="20.25" customHeight="1" x14ac:dyDescent="0.25">
      <c r="A863" s="9" t="s">
        <v>1625</v>
      </c>
      <c r="B863" s="10">
        <v>45829</v>
      </c>
      <c r="C863" s="9" t="s">
        <v>28</v>
      </c>
      <c r="D863" s="9" t="s">
        <v>51</v>
      </c>
      <c r="E863" s="11" t="s">
        <v>37</v>
      </c>
      <c r="F863" s="11" t="s">
        <v>72</v>
      </c>
      <c r="G863" s="3">
        <v>220</v>
      </c>
      <c r="H863" s="3">
        <v>130</v>
      </c>
      <c r="I863" s="12">
        <v>1</v>
      </c>
      <c r="J863" s="9" t="s">
        <v>1626</v>
      </c>
      <c r="K863" s="9" t="s">
        <v>49</v>
      </c>
      <c r="L863" s="13">
        <v>0</v>
      </c>
      <c r="M863" s="9" t="s">
        <v>34</v>
      </c>
    </row>
    <row r="864" spans="1:13" ht="20.25" customHeight="1" x14ac:dyDescent="0.25">
      <c r="A864" s="9" t="s">
        <v>1627</v>
      </c>
      <c r="B864" s="10">
        <v>45829</v>
      </c>
      <c r="C864" s="9" t="s">
        <v>62</v>
      </c>
      <c r="D864" s="9" t="s">
        <v>51</v>
      </c>
      <c r="E864" s="11" t="s">
        <v>43</v>
      </c>
      <c r="F864" s="11" t="s">
        <v>90</v>
      </c>
      <c r="G864" s="3">
        <v>450</v>
      </c>
      <c r="H864" s="3">
        <v>270</v>
      </c>
      <c r="I864" s="12">
        <v>3</v>
      </c>
      <c r="J864" s="9" t="s">
        <v>300</v>
      </c>
      <c r="K864" s="9" t="s">
        <v>49</v>
      </c>
      <c r="L864" s="13">
        <v>0</v>
      </c>
      <c r="M864" s="9" t="s">
        <v>34</v>
      </c>
    </row>
    <row r="865" spans="1:13" ht="20.25" customHeight="1" x14ac:dyDescent="0.25">
      <c r="A865" s="9" t="s">
        <v>1628</v>
      </c>
      <c r="B865" s="10">
        <v>45829</v>
      </c>
      <c r="C865" s="9" t="s">
        <v>71</v>
      </c>
      <c r="D865" s="9" t="s">
        <v>29</v>
      </c>
      <c r="E865" s="11" t="s">
        <v>37</v>
      </c>
      <c r="F865" s="11" t="s">
        <v>72</v>
      </c>
      <c r="G865" s="3">
        <v>440</v>
      </c>
      <c r="H865" s="3">
        <v>260</v>
      </c>
      <c r="I865" s="12">
        <v>2</v>
      </c>
      <c r="J865" s="9" t="s">
        <v>405</v>
      </c>
      <c r="K865" s="9" t="s">
        <v>33</v>
      </c>
      <c r="L865" s="13">
        <v>1</v>
      </c>
      <c r="M865" s="9" t="s">
        <v>34</v>
      </c>
    </row>
    <row r="866" spans="1:13" ht="20.25" customHeight="1" x14ac:dyDescent="0.25">
      <c r="A866" s="9" t="s">
        <v>1629</v>
      </c>
      <c r="B866" s="10">
        <v>45830</v>
      </c>
      <c r="C866" s="9" t="s">
        <v>71</v>
      </c>
      <c r="D866" s="9" t="s">
        <v>29</v>
      </c>
      <c r="E866" s="11" t="s">
        <v>58</v>
      </c>
      <c r="F866" s="11" t="s">
        <v>68</v>
      </c>
      <c r="G866" s="3">
        <v>350</v>
      </c>
      <c r="H866" s="3">
        <v>220</v>
      </c>
      <c r="I866" s="12">
        <v>1</v>
      </c>
      <c r="J866" s="9" t="s">
        <v>1065</v>
      </c>
      <c r="K866" s="9" t="s">
        <v>49</v>
      </c>
      <c r="L866" s="13">
        <v>0</v>
      </c>
      <c r="M866" s="9" t="s">
        <v>34</v>
      </c>
    </row>
    <row r="867" spans="1:13" ht="20.25" customHeight="1" x14ac:dyDescent="0.25">
      <c r="A867" s="9" t="s">
        <v>1630</v>
      </c>
      <c r="B867" s="10">
        <v>45831</v>
      </c>
      <c r="C867" s="9" t="s">
        <v>36</v>
      </c>
      <c r="D867" s="9" t="s">
        <v>42</v>
      </c>
      <c r="E867" s="11" t="s">
        <v>43</v>
      </c>
      <c r="F867" s="11" t="s">
        <v>47</v>
      </c>
      <c r="G867" s="3">
        <v>220</v>
      </c>
      <c r="H867" s="3">
        <v>130</v>
      </c>
      <c r="I867" s="12">
        <v>2</v>
      </c>
      <c r="J867" s="9" t="s">
        <v>1631</v>
      </c>
      <c r="K867" s="9" t="s">
        <v>33</v>
      </c>
      <c r="L867" s="13">
        <v>1</v>
      </c>
      <c r="M867" s="9" t="s">
        <v>34</v>
      </c>
    </row>
    <row r="868" spans="1:13" ht="20.25" customHeight="1" x14ac:dyDescent="0.25">
      <c r="A868" s="9" t="s">
        <v>1632</v>
      </c>
      <c r="B868" s="10">
        <v>45831</v>
      </c>
      <c r="C868" s="9" t="s">
        <v>36</v>
      </c>
      <c r="D868" s="9" t="s">
        <v>29</v>
      </c>
      <c r="E868" s="11" t="s">
        <v>43</v>
      </c>
      <c r="F868" s="11" t="s">
        <v>44</v>
      </c>
      <c r="G868" s="3">
        <v>45</v>
      </c>
      <c r="H868" s="3">
        <v>20</v>
      </c>
      <c r="I868" s="12">
        <v>1</v>
      </c>
      <c r="J868" s="9" t="s">
        <v>173</v>
      </c>
      <c r="K868" s="9" t="s">
        <v>49</v>
      </c>
      <c r="L868" s="13">
        <v>0</v>
      </c>
      <c r="M868" s="9" t="s">
        <v>34</v>
      </c>
    </row>
    <row r="869" spans="1:13" ht="20.25" customHeight="1" x14ac:dyDescent="0.25">
      <c r="A869" s="9" t="s">
        <v>1633</v>
      </c>
      <c r="B869" s="10">
        <v>45832</v>
      </c>
      <c r="C869" s="9" t="s">
        <v>71</v>
      </c>
      <c r="D869" s="9" t="s">
        <v>51</v>
      </c>
      <c r="E869" s="11" t="s">
        <v>30</v>
      </c>
      <c r="F869" s="11" t="s">
        <v>31</v>
      </c>
      <c r="G869" s="3">
        <v>650</v>
      </c>
      <c r="H869" s="3">
        <v>450</v>
      </c>
      <c r="I869" s="12">
        <v>1</v>
      </c>
      <c r="J869" s="9" t="s">
        <v>1634</v>
      </c>
      <c r="K869" s="9" t="s">
        <v>33</v>
      </c>
      <c r="L869" s="13">
        <v>1</v>
      </c>
      <c r="M869" s="9" t="s">
        <v>34</v>
      </c>
    </row>
    <row r="870" spans="1:13" ht="20.25" customHeight="1" x14ac:dyDescent="0.25">
      <c r="A870" s="9" t="s">
        <v>1635</v>
      </c>
      <c r="B870" s="10">
        <v>45834</v>
      </c>
      <c r="C870" s="9" t="s">
        <v>41</v>
      </c>
      <c r="D870" s="9" t="s">
        <v>42</v>
      </c>
      <c r="E870" s="11" t="s">
        <v>58</v>
      </c>
      <c r="F870" s="11" t="s">
        <v>59</v>
      </c>
      <c r="G870" s="3">
        <v>150</v>
      </c>
      <c r="H870" s="3">
        <v>90</v>
      </c>
      <c r="I870" s="12">
        <v>1</v>
      </c>
      <c r="J870" s="9" t="s">
        <v>1636</v>
      </c>
      <c r="K870" s="9" t="s">
        <v>49</v>
      </c>
      <c r="L870" s="13">
        <v>0</v>
      </c>
      <c r="M870" s="9" t="s">
        <v>34</v>
      </c>
    </row>
    <row r="871" spans="1:13" ht="20.25" customHeight="1" x14ac:dyDescent="0.25">
      <c r="A871" s="9" t="s">
        <v>1637</v>
      </c>
      <c r="B871" s="10">
        <v>45834</v>
      </c>
      <c r="C871" s="9" t="s">
        <v>41</v>
      </c>
      <c r="D871" s="9" t="s">
        <v>51</v>
      </c>
      <c r="E871" s="11" t="s">
        <v>30</v>
      </c>
      <c r="F871" s="11" t="s">
        <v>63</v>
      </c>
      <c r="G871" s="3">
        <v>1200</v>
      </c>
      <c r="H871" s="3">
        <v>850</v>
      </c>
      <c r="I871" s="12">
        <v>1</v>
      </c>
      <c r="J871" s="9" t="s">
        <v>503</v>
      </c>
      <c r="K871" s="9" t="s">
        <v>49</v>
      </c>
      <c r="L871" s="13">
        <v>0</v>
      </c>
      <c r="M871" s="9" t="s">
        <v>34</v>
      </c>
    </row>
    <row r="872" spans="1:13" ht="20.25" customHeight="1" x14ac:dyDescent="0.25">
      <c r="A872" s="9" t="s">
        <v>1638</v>
      </c>
      <c r="B872" s="10">
        <v>45835</v>
      </c>
      <c r="C872" s="9" t="s">
        <v>28</v>
      </c>
      <c r="D872" s="9" t="s">
        <v>51</v>
      </c>
      <c r="E872" s="11" t="s">
        <v>30</v>
      </c>
      <c r="F872" s="11" t="s">
        <v>80</v>
      </c>
      <c r="G872" s="3">
        <v>1700</v>
      </c>
      <c r="H872" s="3">
        <v>1200</v>
      </c>
      <c r="I872" s="12">
        <v>2</v>
      </c>
      <c r="J872" s="9" t="s">
        <v>1639</v>
      </c>
      <c r="K872" s="9" t="s">
        <v>49</v>
      </c>
      <c r="L872" s="13">
        <v>0</v>
      </c>
      <c r="M872" s="9" t="s">
        <v>34</v>
      </c>
    </row>
    <row r="873" spans="1:13" ht="20.25" customHeight="1" x14ac:dyDescent="0.25">
      <c r="A873" s="9" t="s">
        <v>1640</v>
      </c>
      <c r="B873" s="10">
        <v>45836</v>
      </c>
      <c r="C873" s="9" t="s">
        <v>71</v>
      </c>
      <c r="D873" s="9" t="s">
        <v>51</v>
      </c>
      <c r="E873" s="11" t="s">
        <v>37</v>
      </c>
      <c r="F873" s="11" t="s">
        <v>72</v>
      </c>
      <c r="G873" s="3">
        <v>660</v>
      </c>
      <c r="H873" s="3">
        <v>390</v>
      </c>
      <c r="I873" s="12">
        <v>3</v>
      </c>
      <c r="J873" s="9" t="s">
        <v>1641</v>
      </c>
      <c r="K873" s="9" t="s">
        <v>49</v>
      </c>
      <c r="L873" s="13">
        <v>0</v>
      </c>
      <c r="M873" s="9" t="s">
        <v>34</v>
      </c>
    </row>
    <row r="874" spans="1:13" ht="20.25" customHeight="1" x14ac:dyDescent="0.25">
      <c r="A874" s="9" t="s">
        <v>1642</v>
      </c>
      <c r="B874" s="10">
        <v>45836</v>
      </c>
      <c r="C874" s="9" t="s">
        <v>36</v>
      </c>
      <c r="D874" s="9" t="s">
        <v>42</v>
      </c>
      <c r="E874" s="11" t="s">
        <v>43</v>
      </c>
      <c r="F874" s="11" t="s">
        <v>47</v>
      </c>
      <c r="G874" s="3">
        <v>110</v>
      </c>
      <c r="H874" s="3">
        <v>65</v>
      </c>
      <c r="I874" s="12">
        <v>1</v>
      </c>
      <c r="J874" s="9" t="s">
        <v>1187</v>
      </c>
      <c r="K874" s="9" t="s">
        <v>49</v>
      </c>
      <c r="L874" s="13">
        <v>0</v>
      </c>
      <c r="M874" s="9" t="s">
        <v>34</v>
      </c>
    </row>
    <row r="875" spans="1:13" ht="20.25" customHeight="1" x14ac:dyDescent="0.25">
      <c r="A875" s="9" t="s">
        <v>1643</v>
      </c>
      <c r="B875" s="10">
        <v>45836</v>
      </c>
      <c r="C875" s="9" t="s">
        <v>54</v>
      </c>
      <c r="D875" s="9" t="s">
        <v>29</v>
      </c>
      <c r="E875" s="11" t="s">
        <v>30</v>
      </c>
      <c r="F875" s="11" t="s">
        <v>80</v>
      </c>
      <c r="G875" s="3">
        <v>850</v>
      </c>
      <c r="H875" s="3">
        <v>600</v>
      </c>
      <c r="I875" s="12">
        <v>1</v>
      </c>
      <c r="J875" s="9" t="s">
        <v>1445</v>
      </c>
      <c r="K875" s="9" t="s">
        <v>49</v>
      </c>
      <c r="L875" s="13">
        <v>0</v>
      </c>
      <c r="M875" s="9" t="s">
        <v>34</v>
      </c>
    </row>
    <row r="876" spans="1:13" ht="20.25" customHeight="1" x14ac:dyDescent="0.25">
      <c r="A876" s="9" t="s">
        <v>1644</v>
      </c>
      <c r="B876" s="10">
        <v>45836</v>
      </c>
      <c r="C876" s="9" t="s">
        <v>71</v>
      </c>
      <c r="D876" s="9" t="s">
        <v>29</v>
      </c>
      <c r="E876" s="11" t="s">
        <v>43</v>
      </c>
      <c r="F876" s="11" t="s">
        <v>44</v>
      </c>
      <c r="G876" s="3">
        <v>90</v>
      </c>
      <c r="H876" s="3">
        <v>40</v>
      </c>
      <c r="I876" s="12">
        <v>2</v>
      </c>
      <c r="J876" s="9" t="s">
        <v>1645</v>
      </c>
      <c r="K876" s="9" t="s">
        <v>49</v>
      </c>
      <c r="L876" s="13">
        <v>0</v>
      </c>
      <c r="M876" s="9" t="s">
        <v>34</v>
      </c>
    </row>
    <row r="877" spans="1:13" ht="20.25" customHeight="1" x14ac:dyDescent="0.25">
      <c r="A877" s="9" t="s">
        <v>1646</v>
      </c>
      <c r="B877" s="10">
        <v>45836</v>
      </c>
      <c r="C877" s="9" t="s">
        <v>71</v>
      </c>
      <c r="D877" s="9" t="s">
        <v>29</v>
      </c>
      <c r="E877" s="11" t="s">
        <v>43</v>
      </c>
      <c r="F877" s="11" t="s">
        <v>44</v>
      </c>
      <c r="G877" s="3">
        <v>135</v>
      </c>
      <c r="H877" s="3">
        <v>60</v>
      </c>
      <c r="I877" s="12">
        <v>3</v>
      </c>
      <c r="J877" s="9" t="s">
        <v>137</v>
      </c>
      <c r="K877" s="9" t="s">
        <v>49</v>
      </c>
      <c r="L877" s="13">
        <v>0</v>
      </c>
      <c r="M877" s="9" t="s">
        <v>34</v>
      </c>
    </row>
    <row r="878" spans="1:13" ht="20.25" customHeight="1" x14ac:dyDescent="0.25">
      <c r="A878" s="9" t="s">
        <v>1647</v>
      </c>
      <c r="B878" s="10">
        <v>45837</v>
      </c>
      <c r="C878" s="9" t="s">
        <v>28</v>
      </c>
      <c r="D878" s="9" t="s">
        <v>42</v>
      </c>
      <c r="E878" s="11" t="s">
        <v>43</v>
      </c>
      <c r="F878" s="11" t="s">
        <v>90</v>
      </c>
      <c r="G878" s="3">
        <v>300</v>
      </c>
      <c r="H878" s="3">
        <v>180</v>
      </c>
      <c r="I878" s="12">
        <v>2</v>
      </c>
      <c r="J878" s="9" t="s">
        <v>1648</v>
      </c>
      <c r="K878" s="9" t="s">
        <v>49</v>
      </c>
      <c r="L878" s="13">
        <v>0</v>
      </c>
      <c r="M878" s="9" t="s">
        <v>34</v>
      </c>
    </row>
    <row r="879" spans="1:13" ht="20.25" customHeight="1" x14ac:dyDescent="0.25">
      <c r="A879" s="9" t="s">
        <v>1649</v>
      </c>
      <c r="B879" s="10">
        <v>45837</v>
      </c>
      <c r="C879" s="9" t="s">
        <v>71</v>
      </c>
      <c r="D879" s="9" t="s">
        <v>51</v>
      </c>
      <c r="E879" s="11" t="s">
        <v>30</v>
      </c>
      <c r="F879" s="11" t="s">
        <v>80</v>
      </c>
      <c r="G879" s="3">
        <v>2550</v>
      </c>
      <c r="H879" s="3">
        <v>1800</v>
      </c>
      <c r="I879" s="12">
        <v>3</v>
      </c>
      <c r="J879" s="9" t="s">
        <v>1650</v>
      </c>
      <c r="K879" s="9" t="s">
        <v>33</v>
      </c>
      <c r="L879" s="13">
        <v>1</v>
      </c>
      <c r="M879" s="9" t="s">
        <v>34</v>
      </c>
    </row>
    <row r="880" spans="1:13" ht="20.25" customHeight="1" x14ac:dyDescent="0.25">
      <c r="A880" s="9" t="s">
        <v>1651</v>
      </c>
      <c r="B880" s="10">
        <v>45837</v>
      </c>
      <c r="C880" s="9" t="s">
        <v>28</v>
      </c>
      <c r="D880" s="9" t="s">
        <v>29</v>
      </c>
      <c r="E880" s="11" t="s">
        <v>43</v>
      </c>
      <c r="F880" s="11" t="s">
        <v>90</v>
      </c>
      <c r="G880" s="3">
        <v>150</v>
      </c>
      <c r="H880" s="3">
        <v>90</v>
      </c>
      <c r="I880" s="12">
        <v>1</v>
      </c>
      <c r="J880" s="9" t="s">
        <v>1652</v>
      </c>
      <c r="K880" s="9" t="s">
        <v>33</v>
      </c>
      <c r="L880" s="13">
        <v>1</v>
      </c>
      <c r="M880" s="9" t="s">
        <v>34</v>
      </c>
    </row>
    <row r="881" spans="1:13" ht="20.25" customHeight="1" x14ac:dyDescent="0.25">
      <c r="A881" s="9" t="s">
        <v>1653</v>
      </c>
      <c r="B881" s="10">
        <v>45838</v>
      </c>
      <c r="C881" s="9" t="s">
        <v>36</v>
      </c>
      <c r="D881" s="9" t="s">
        <v>42</v>
      </c>
      <c r="E881" s="11" t="s">
        <v>58</v>
      </c>
      <c r="F881" s="11" t="s">
        <v>87</v>
      </c>
      <c r="G881" s="3">
        <v>360</v>
      </c>
      <c r="H881" s="3">
        <v>220</v>
      </c>
      <c r="I881" s="12">
        <v>2</v>
      </c>
      <c r="J881" s="9" t="s">
        <v>1631</v>
      </c>
      <c r="K881" s="9" t="s">
        <v>33</v>
      </c>
      <c r="L881" s="13">
        <v>1</v>
      </c>
      <c r="M881" s="9" t="s">
        <v>34</v>
      </c>
    </row>
    <row r="882" spans="1:13" ht="20.25" customHeight="1" x14ac:dyDescent="0.25">
      <c r="A882" s="9" t="s">
        <v>1654</v>
      </c>
      <c r="B882" s="10">
        <v>45839</v>
      </c>
      <c r="C882" s="9" t="s">
        <v>28</v>
      </c>
      <c r="D882" s="9" t="s">
        <v>29</v>
      </c>
      <c r="E882" s="11" t="s">
        <v>37</v>
      </c>
      <c r="F882" s="11" t="s">
        <v>72</v>
      </c>
      <c r="G882" s="3">
        <v>220</v>
      </c>
      <c r="H882" s="3">
        <v>130</v>
      </c>
      <c r="I882" s="12">
        <v>1</v>
      </c>
      <c r="J882" s="9" t="s">
        <v>1655</v>
      </c>
      <c r="K882" s="9" t="s">
        <v>49</v>
      </c>
      <c r="L882" s="13">
        <v>0</v>
      </c>
      <c r="M882" s="9" t="s">
        <v>34</v>
      </c>
    </row>
    <row r="883" spans="1:13" ht="20.25" customHeight="1" x14ac:dyDescent="0.25">
      <c r="A883" s="9" t="s">
        <v>1656</v>
      </c>
      <c r="B883" s="10">
        <v>45839</v>
      </c>
      <c r="C883" s="9" t="s">
        <v>41</v>
      </c>
      <c r="D883" s="9" t="s">
        <v>29</v>
      </c>
      <c r="E883" s="11" t="s">
        <v>30</v>
      </c>
      <c r="F883" s="11" t="s">
        <v>63</v>
      </c>
      <c r="G883" s="3">
        <v>1200</v>
      </c>
      <c r="H883" s="3">
        <v>850</v>
      </c>
      <c r="I883" s="12">
        <v>1</v>
      </c>
      <c r="J883" s="9" t="s">
        <v>1657</v>
      </c>
      <c r="K883" s="9" t="s">
        <v>33</v>
      </c>
      <c r="L883" s="13">
        <v>1</v>
      </c>
      <c r="M883" s="9" t="s">
        <v>34</v>
      </c>
    </row>
    <row r="884" spans="1:13" ht="20.25" customHeight="1" x14ac:dyDescent="0.25">
      <c r="A884" s="9" t="s">
        <v>1658</v>
      </c>
      <c r="B884" s="10">
        <v>45840</v>
      </c>
      <c r="C884" s="9" t="s">
        <v>28</v>
      </c>
      <c r="D884" s="9" t="s">
        <v>51</v>
      </c>
      <c r="E884" s="11" t="s">
        <v>30</v>
      </c>
      <c r="F884" s="11" t="s">
        <v>80</v>
      </c>
      <c r="G884" s="3">
        <v>850</v>
      </c>
      <c r="H884" s="3">
        <v>600</v>
      </c>
      <c r="I884" s="12">
        <v>1</v>
      </c>
      <c r="J884" s="9" t="s">
        <v>1659</v>
      </c>
      <c r="K884" s="9" t="s">
        <v>49</v>
      </c>
      <c r="L884" s="13">
        <v>0</v>
      </c>
      <c r="M884" s="9" t="s">
        <v>34</v>
      </c>
    </row>
    <row r="885" spans="1:13" ht="20.25" customHeight="1" x14ac:dyDescent="0.25">
      <c r="A885" s="9" t="s">
        <v>1660</v>
      </c>
      <c r="B885" s="10">
        <v>45840</v>
      </c>
      <c r="C885" s="9" t="s">
        <v>36</v>
      </c>
      <c r="D885" s="9" t="s">
        <v>29</v>
      </c>
      <c r="E885" s="11" t="s">
        <v>37</v>
      </c>
      <c r="F885" s="11" t="s">
        <v>55</v>
      </c>
      <c r="G885" s="3">
        <v>90</v>
      </c>
      <c r="H885" s="3">
        <v>55</v>
      </c>
      <c r="I885" s="12">
        <v>1</v>
      </c>
      <c r="J885" s="9" t="s">
        <v>941</v>
      </c>
      <c r="K885" s="9" t="s">
        <v>33</v>
      </c>
      <c r="L885" s="13">
        <v>1</v>
      </c>
      <c r="M885" s="9" t="s">
        <v>34</v>
      </c>
    </row>
    <row r="886" spans="1:13" ht="20.25" customHeight="1" x14ac:dyDescent="0.25">
      <c r="A886" s="9" t="s">
        <v>1661</v>
      </c>
      <c r="B886" s="10">
        <v>45840</v>
      </c>
      <c r="C886" s="9" t="s">
        <v>54</v>
      </c>
      <c r="D886" s="9" t="s">
        <v>42</v>
      </c>
      <c r="E886" s="11" t="s">
        <v>58</v>
      </c>
      <c r="F886" s="11" t="s">
        <v>68</v>
      </c>
      <c r="G886" s="3">
        <v>1050</v>
      </c>
      <c r="H886" s="3">
        <v>660</v>
      </c>
      <c r="I886" s="12">
        <v>3</v>
      </c>
      <c r="J886" s="9" t="s">
        <v>1284</v>
      </c>
      <c r="K886" s="9" t="s">
        <v>49</v>
      </c>
      <c r="L886" s="13">
        <v>0</v>
      </c>
      <c r="M886" s="9" t="s">
        <v>34</v>
      </c>
    </row>
    <row r="887" spans="1:13" ht="20.25" customHeight="1" x14ac:dyDescent="0.25">
      <c r="A887" s="9" t="s">
        <v>1662</v>
      </c>
      <c r="B887" s="10">
        <v>45841</v>
      </c>
      <c r="C887" s="9" t="s">
        <v>28</v>
      </c>
      <c r="D887" s="9" t="s">
        <v>29</v>
      </c>
      <c r="E887" s="11" t="s">
        <v>30</v>
      </c>
      <c r="F887" s="11" t="s">
        <v>80</v>
      </c>
      <c r="G887" s="3">
        <v>2550</v>
      </c>
      <c r="H887" s="3">
        <v>1800</v>
      </c>
      <c r="I887" s="12">
        <v>3</v>
      </c>
      <c r="J887" s="9" t="s">
        <v>802</v>
      </c>
      <c r="K887" s="9" t="s">
        <v>33</v>
      </c>
      <c r="L887" s="13">
        <v>1</v>
      </c>
      <c r="M887" s="9" t="s">
        <v>34</v>
      </c>
    </row>
    <row r="888" spans="1:13" ht="20.25" customHeight="1" x14ac:dyDescent="0.25">
      <c r="A888" s="9" t="s">
        <v>1663</v>
      </c>
      <c r="B888" s="10">
        <v>45841</v>
      </c>
      <c r="C888" s="9" t="s">
        <v>71</v>
      </c>
      <c r="D888" s="9" t="s">
        <v>42</v>
      </c>
      <c r="E888" s="11" t="s">
        <v>30</v>
      </c>
      <c r="F888" s="11" t="s">
        <v>31</v>
      </c>
      <c r="G888" s="3">
        <v>650</v>
      </c>
      <c r="H888" s="3">
        <v>450</v>
      </c>
      <c r="I888" s="12">
        <v>1</v>
      </c>
      <c r="J888" s="9" t="s">
        <v>401</v>
      </c>
      <c r="K888" s="9" t="s">
        <v>33</v>
      </c>
      <c r="L888" s="13">
        <v>1</v>
      </c>
      <c r="M888" s="9" t="s">
        <v>34</v>
      </c>
    </row>
    <row r="889" spans="1:13" ht="20.25" customHeight="1" x14ac:dyDescent="0.25">
      <c r="A889" s="9" t="s">
        <v>1664</v>
      </c>
      <c r="B889" s="10">
        <v>45842</v>
      </c>
      <c r="C889" s="9" t="s">
        <v>36</v>
      </c>
      <c r="D889" s="9" t="s">
        <v>51</v>
      </c>
      <c r="E889" s="11" t="s">
        <v>37</v>
      </c>
      <c r="F889" s="11" t="s">
        <v>55</v>
      </c>
      <c r="G889" s="3">
        <v>90</v>
      </c>
      <c r="H889" s="3">
        <v>55</v>
      </c>
      <c r="I889" s="12">
        <v>1</v>
      </c>
      <c r="J889" s="9" t="s">
        <v>1333</v>
      </c>
      <c r="K889" s="9" t="s">
        <v>33</v>
      </c>
      <c r="L889" s="13">
        <v>1</v>
      </c>
      <c r="M889" s="9" t="s">
        <v>34</v>
      </c>
    </row>
    <row r="890" spans="1:13" ht="20.25" customHeight="1" x14ac:dyDescent="0.25">
      <c r="A890" s="9" t="s">
        <v>1665</v>
      </c>
      <c r="B890" s="10">
        <v>45842</v>
      </c>
      <c r="C890" s="9" t="s">
        <v>28</v>
      </c>
      <c r="D890" s="9" t="s">
        <v>29</v>
      </c>
      <c r="E890" s="11" t="s">
        <v>30</v>
      </c>
      <c r="F890" s="11" t="s">
        <v>63</v>
      </c>
      <c r="G890" s="3">
        <v>1200</v>
      </c>
      <c r="H890" s="3">
        <v>850</v>
      </c>
      <c r="I890" s="12">
        <v>1</v>
      </c>
      <c r="J890" s="9" t="s">
        <v>1666</v>
      </c>
      <c r="K890" s="9" t="s">
        <v>49</v>
      </c>
      <c r="L890" s="13">
        <v>0</v>
      </c>
      <c r="M890" s="9" t="s">
        <v>34</v>
      </c>
    </row>
    <row r="891" spans="1:13" ht="20.25" customHeight="1" x14ac:dyDescent="0.25">
      <c r="A891" s="9" t="s">
        <v>1667</v>
      </c>
      <c r="B891" s="10">
        <v>45842</v>
      </c>
      <c r="C891" s="9" t="s">
        <v>41</v>
      </c>
      <c r="D891" s="9" t="s">
        <v>42</v>
      </c>
      <c r="E891" s="11" t="s">
        <v>43</v>
      </c>
      <c r="F891" s="11" t="s">
        <v>47</v>
      </c>
      <c r="G891" s="3">
        <v>110</v>
      </c>
      <c r="H891" s="3">
        <v>65</v>
      </c>
      <c r="I891" s="12">
        <v>1</v>
      </c>
      <c r="J891" s="9" t="s">
        <v>1668</v>
      </c>
      <c r="K891" s="9" t="s">
        <v>49</v>
      </c>
      <c r="L891" s="13">
        <v>0</v>
      </c>
      <c r="M891" s="9" t="s">
        <v>34</v>
      </c>
    </row>
    <row r="892" spans="1:13" ht="20.25" customHeight="1" x14ac:dyDescent="0.25">
      <c r="A892" s="9" t="s">
        <v>1669</v>
      </c>
      <c r="B892" s="10">
        <v>45842</v>
      </c>
      <c r="C892" s="9" t="s">
        <v>28</v>
      </c>
      <c r="D892" s="9" t="s">
        <v>51</v>
      </c>
      <c r="E892" s="11" t="s">
        <v>30</v>
      </c>
      <c r="F892" s="11" t="s">
        <v>31</v>
      </c>
      <c r="G892" s="3">
        <v>1300</v>
      </c>
      <c r="H892" s="3">
        <v>900</v>
      </c>
      <c r="I892" s="12">
        <v>2</v>
      </c>
      <c r="J892" s="9" t="s">
        <v>1670</v>
      </c>
      <c r="K892" s="9" t="s">
        <v>49</v>
      </c>
      <c r="L892" s="13">
        <v>0</v>
      </c>
      <c r="M892" s="9" t="s">
        <v>34</v>
      </c>
    </row>
    <row r="893" spans="1:13" ht="20.25" customHeight="1" x14ac:dyDescent="0.25">
      <c r="A893" s="9" t="s">
        <v>1671</v>
      </c>
      <c r="B893" s="10">
        <v>45843</v>
      </c>
      <c r="C893" s="9" t="s">
        <v>36</v>
      </c>
      <c r="D893" s="9" t="s">
        <v>29</v>
      </c>
      <c r="E893" s="11" t="s">
        <v>30</v>
      </c>
      <c r="F893" s="11" t="s">
        <v>63</v>
      </c>
      <c r="G893" s="3">
        <v>3600</v>
      </c>
      <c r="H893" s="3">
        <v>2550</v>
      </c>
      <c r="I893" s="12">
        <v>3</v>
      </c>
      <c r="J893" s="9" t="s">
        <v>1672</v>
      </c>
      <c r="K893" s="9" t="s">
        <v>49</v>
      </c>
      <c r="L893" s="13">
        <v>0</v>
      </c>
      <c r="M893" s="9" t="s">
        <v>34</v>
      </c>
    </row>
    <row r="894" spans="1:13" ht="20.25" customHeight="1" x14ac:dyDescent="0.25">
      <c r="A894" s="9" t="s">
        <v>1673</v>
      </c>
      <c r="B894" s="10">
        <v>45843</v>
      </c>
      <c r="C894" s="9" t="s">
        <v>71</v>
      </c>
      <c r="D894" s="9" t="s">
        <v>29</v>
      </c>
      <c r="E894" s="11" t="s">
        <v>58</v>
      </c>
      <c r="F894" s="11" t="s">
        <v>87</v>
      </c>
      <c r="G894" s="3">
        <v>720</v>
      </c>
      <c r="H894" s="3">
        <v>440</v>
      </c>
      <c r="I894" s="12">
        <v>4</v>
      </c>
      <c r="J894" s="9" t="s">
        <v>1674</v>
      </c>
      <c r="K894" s="9" t="s">
        <v>33</v>
      </c>
      <c r="L894" s="13">
        <v>1</v>
      </c>
      <c r="M894" s="9" t="s">
        <v>34</v>
      </c>
    </row>
    <row r="895" spans="1:13" ht="20.25" customHeight="1" x14ac:dyDescent="0.25">
      <c r="A895" s="9" t="s">
        <v>1675</v>
      </c>
      <c r="B895" s="10">
        <v>45843</v>
      </c>
      <c r="C895" s="9" t="s">
        <v>71</v>
      </c>
      <c r="D895" s="9" t="s">
        <v>42</v>
      </c>
      <c r="E895" s="11" t="s">
        <v>58</v>
      </c>
      <c r="F895" s="11" t="s">
        <v>68</v>
      </c>
      <c r="G895" s="3">
        <v>700</v>
      </c>
      <c r="H895" s="3">
        <v>440</v>
      </c>
      <c r="I895" s="12">
        <v>2</v>
      </c>
      <c r="J895" s="9" t="s">
        <v>1676</v>
      </c>
      <c r="K895" s="9" t="s">
        <v>33</v>
      </c>
      <c r="L895" s="13">
        <v>1</v>
      </c>
      <c r="M895" s="9" t="s">
        <v>34</v>
      </c>
    </row>
    <row r="896" spans="1:13" ht="20.25" customHeight="1" x14ac:dyDescent="0.25">
      <c r="A896" s="9" t="s">
        <v>1677</v>
      </c>
      <c r="B896" s="10">
        <v>45843</v>
      </c>
      <c r="C896" s="9" t="s">
        <v>41</v>
      </c>
      <c r="D896" s="9" t="s">
        <v>29</v>
      </c>
      <c r="E896" s="11" t="s">
        <v>58</v>
      </c>
      <c r="F896" s="11" t="s">
        <v>68</v>
      </c>
      <c r="G896" s="3">
        <v>700</v>
      </c>
      <c r="H896" s="3">
        <v>440</v>
      </c>
      <c r="I896" s="12">
        <v>2</v>
      </c>
      <c r="J896" s="9" t="s">
        <v>1678</v>
      </c>
      <c r="K896" s="9" t="s">
        <v>49</v>
      </c>
      <c r="L896" s="13">
        <v>0</v>
      </c>
      <c r="M896" s="9" t="s">
        <v>34</v>
      </c>
    </row>
    <row r="897" spans="1:13" ht="20.25" customHeight="1" x14ac:dyDescent="0.25">
      <c r="A897" s="9" t="s">
        <v>1679</v>
      </c>
      <c r="B897" s="10">
        <v>45843</v>
      </c>
      <c r="C897" s="9" t="s">
        <v>28</v>
      </c>
      <c r="D897" s="9" t="s">
        <v>29</v>
      </c>
      <c r="E897" s="11" t="s">
        <v>58</v>
      </c>
      <c r="F897" s="11" t="s">
        <v>59</v>
      </c>
      <c r="G897" s="3">
        <v>150</v>
      </c>
      <c r="H897" s="3">
        <v>90</v>
      </c>
      <c r="I897" s="12">
        <v>1</v>
      </c>
      <c r="J897" s="9" t="s">
        <v>1680</v>
      </c>
      <c r="K897" s="9" t="s">
        <v>49</v>
      </c>
      <c r="L897" s="13">
        <v>0</v>
      </c>
      <c r="M897" s="9" t="s">
        <v>34</v>
      </c>
    </row>
    <row r="898" spans="1:13" ht="20.25" customHeight="1" x14ac:dyDescent="0.25">
      <c r="A898" s="9" t="s">
        <v>1681</v>
      </c>
      <c r="B898" s="10">
        <v>45844</v>
      </c>
      <c r="C898" s="9" t="s">
        <v>28</v>
      </c>
      <c r="D898" s="9" t="s">
        <v>29</v>
      </c>
      <c r="E898" s="11" t="s">
        <v>43</v>
      </c>
      <c r="F898" s="11" t="s">
        <v>90</v>
      </c>
      <c r="G898" s="3">
        <v>150</v>
      </c>
      <c r="H898" s="3">
        <v>90</v>
      </c>
      <c r="I898" s="12">
        <v>1</v>
      </c>
      <c r="J898" s="9" t="s">
        <v>1682</v>
      </c>
      <c r="K898" s="9" t="s">
        <v>49</v>
      </c>
      <c r="L898" s="13">
        <v>0</v>
      </c>
      <c r="M898" s="9" t="s">
        <v>34</v>
      </c>
    </row>
    <row r="899" spans="1:13" ht="20.25" customHeight="1" x14ac:dyDescent="0.25">
      <c r="A899" s="9" t="s">
        <v>1683</v>
      </c>
      <c r="B899" s="10">
        <v>45845</v>
      </c>
      <c r="C899" s="9" t="s">
        <v>41</v>
      </c>
      <c r="D899" s="9" t="s">
        <v>29</v>
      </c>
      <c r="E899" s="11" t="s">
        <v>37</v>
      </c>
      <c r="F899" s="11" t="s">
        <v>72</v>
      </c>
      <c r="G899" s="3">
        <v>220</v>
      </c>
      <c r="H899" s="3">
        <v>130</v>
      </c>
      <c r="I899" s="12">
        <v>1</v>
      </c>
      <c r="J899" s="9" t="s">
        <v>1684</v>
      </c>
      <c r="K899" s="9" t="s">
        <v>49</v>
      </c>
      <c r="L899" s="13">
        <v>0</v>
      </c>
      <c r="M899" s="9" t="s">
        <v>34</v>
      </c>
    </row>
    <row r="900" spans="1:13" ht="20.25" customHeight="1" x14ac:dyDescent="0.25">
      <c r="A900" s="9" t="s">
        <v>1685</v>
      </c>
      <c r="B900" s="10">
        <v>45846</v>
      </c>
      <c r="C900" s="9" t="s">
        <v>71</v>
      </c>
      <c r="D900" s="9" t="s">
        <v>51</v>
      </c>
      <c r="E900" s="11" t="s">
        <v>30</v>
      </c>
      <c r="F900" s="11" t="s">
        <v>63</v>
      </c>
      <c r="G900" s="3">
        <v>1200</v>
      </c>
      <c r="H900" s="3">
        <v>850</v>
      </c>
      <c r="I900" s="12">
        <v>1</v>
      </c>
      <c r="J900" s="9" t="s">
        <v>747</v>
      </c>
      <c r="K900" s="9" t="s">
        <v>49</v>
      </c>
      <c r="L900" s="13">
        <v>0</v>
      </c>
      <c r="M900" s="9" t="s">
        <v>34</v>
      </c>
    </row>
    <row r="901" spans="1:13" ht="20.25" customHeight="1" x14ac:dyDescent="0.25">
      <c r="A901" s="9" t="s">
        <v>1686</v>
      </c>
      <c r="B901" s="10">
        <v>45846</v>
      </c>
      <c r="C901" s="9" t="s">
        <v>54</v>
      </c>
      <c r="D901" s="9" t="s">
        <v>29</v>
      </c>
      <c r="E901" s="11" t="s">
        <v>58</v>
      </c>
      <c r="F901" s="11" t="s">
        <v>68</v>
      </c>
      <c r="G901" s="3">
        <v>700</v>
      </c>
      <c r="H901" s="3">
        <v>440</v>
      </c>
      <c r="I901" s="12">
        <v>2</v>
      </c>
      <c r="J901" s="9" t="s">
        <v>1411</v>
      </c>
      <c r="K901" s="9" t="s">
        <v>33</v>
      </c>
      <c r="L901" s="13">
        <v>1</v>
      </c>
      <c r="M901" s="9" t="s">
        <v>34</v>
      </c>
    </row>
    <row r="902" spans="1:13" ht="20.25" customHeight="1" x14ac:dyDescent="0.25">
      <c r="A902" s="9" t="s">
        <v>1687</v>
      </c>
      <c r="B902" s="10">
        <v>45846</v>
      </c>
      <c r="C902" s="9" t="s">
        <v>54</v>
      </c>
      <c r="D902" s="9" t="s">
        <v>29</v>
      </c>
      <c r="E902" s="11" t="s">
        <v>43</v>
      </c>
      <c r="F902" s="11" t="s">
        <v>47</v>
      </c>
      <c r="G902" s="3">
        <v>110</v>
      </c>
      <c r="H902" s="3">
        <v>65</v>
      </c>
      <c r="I902" s="12">
        <v>1</v>
      </c>
      <c r="J902" s="9" t="s">
        <v>1295</v>
      </c>
      <c r="K902" s="9" t="s">
        <v>33</v>
      </c>
      <c r="L902" s="13">
        <v>1</v>
      </c>
      <c r="M902" s="9" t="s">
        <v>34</v>
      </c>
    </row>
    <row r="903" spans="1:13" ht="20.25" customHeight="1" x14ac:dyDescent="0.25">
      <c r="A903" s="9" t="s">
        <v>1688</v>
      </c>
      <c r="B903" s="10">
        <v>45846</v>
      </c>
      <c r="C903" s="9" t="s">
        <v>54</v>
      </c>
      <c r="D903" s="9" t="s">
        <v>29</v>
      </c>
      <c r="E903" s="11" t="s">
        <v>58</v>
      </c>
      <c r="F903" s="11" t="s">
        <v>59</v>
      </c>
      <c r="G903" s="3">
        <v>150</v>
      </c>
      <c r="H903" s="3">
        <v>90</v>
      </c>
      <c r="I903" s="12">
        <v>1</v>
      </c>
      <c r="J903" s="9" t="s">
        <v>1611</v>
      </c>
      <c r="K903" s="9" t="s">
        <v>33</v>
      </c>
      <c r="L903" s="13">
        <v>1</v>
      </c>
      <c r="M903" s="9" t="s">
        <v>34</v>
      </c>
    </row>
    <row r="904" spans="1:13" ht="20.25" customHeight="1" x14ac:dyDescent="0.25">
      <c r="A904" s="9" t="s">
        <v>1689</v>
      </c>
      <c r="B904" s="10">
        <v>45846</v>
      </c>
      <c r="C904" s="9" t="s">
        <v>36</v>
      </c>
      <c r="D904" s="9" t="s">
        <v>29</v>
      </c>
      <c r="E904" s="11" t="s">
        <v>30</v>
      </c>
      <c r="F904" s="11" t="s">
        <v>80</v>
      </c>
      <c r="G904" s="3">
        <v>850</v>
      </c>
      <c r="H904" s="3">
        <v>600</v>
      </c>
      <c r="I904" s="12">
        <v>1</v>
      </c>
      <c r="J904" s="9" t="s">
        <v>1690</v>
      </c>
      <c r="K904" s="9" t="s">
        <v>33</v>
      </c>
      <c r="L904" s="13">
        <v>1</v>
      </c>
      <c r="M904" s="9" t="s">
        <v>34</v>
      </c>
    </row>
    <row r="905" spans="1:13" ht="20.25" customHeight="1" x14ac:dyDescent="0.25">
      <c r="A905" s="9" t="s">
        <v>1691</v>
      </c>
      <c r="B905" s="10">
        <v>45846</v>
      </c>
      <c r="C905" s="9" t="s">
        <v>36</v>
      </c>
      <c r="D905" s="9" t="s">
        <v>42</v>
      </c>
      <c r="E905" s="11" t="s">
        <v>43</v>
      </c>
      <c r="F905" s="11" t="s">
        <v>90</v>
      </c>
      <c r="G905" s="3">
        <v>600</v>
      </c>
      <c r="H905" s="3">
        <v>360</v>
      </c>
      <c r="I905" s="12">
        <v>4</v>
      </c>
      <c r="J905" s="9" t="s">
        <v>1692</v>
      </c>
      <c r="K905" s="9" t="s">
        <v>33</v>
      </c>
      <c r="L905" s="13">
        <v>1</v>
      </c>
      <c r="M905" s="9" t="s">
        <v>34</v>
      </c>
    </row>
    <row r="906" spans="1:13" ht="20.25" customHeight="1" x14ac:dyDescent="0.25">
      <c r="A906" s="9" t="s">
        <v>1693</v>
      </c>
      <c r="B906" s="10">
        <v>45846</v>
      </c>
      <c r="C906" s="9" t="s">
        <v>41</v>
      </c>
      <c r="D906" s="9" t="s">
        <v>29</v>
      </c>
      <c r="E906" s="11" t="s">
        <v>37</v>
      </c>
      <c r="F906" s="11" t="s">
        <v>72</v>
      </c>
      <c r="G906" s="3">
        <v>220</v>
      </c>
      <c r="H906" s="3">
        <v>130</v>
      </c>
      <c r="I906" s="12">
        <v>1</v>
      </c>
      <c r="J906" s="9" t="s">
        <v>1056</v>
      </c>
      <c r="K906" s="9" t="s">
        <v>49</v>
      </c>
      <c r="L906" s="13">
        <v>0</v>
      </c>
      <c r="M906" s="9" t="s">
        <v>34</v>
      </c>
    </row>
    <row r="907" spans="1:13" ht="20.25" customHeight="1" x14ac:dyDescent="0.25">
      <c r="A907" s="9" t="s">
        <v>1694</v>
      </c>
      <c r="B907" s="10">
        <v>45846</v>
      </c>
      <c r="C907" s="9" t="s">
        <v>36</v>
      </c>
      <c r="D907" s="9" t="s">
        <v>42</v>
      </c>
      <c r="E907" s="11" t="s">
        <v>37</v>
      </c>
      <c r="F907" s="11" t="s">
        <v>72</v>
      </c>
      <c r="G907" s="3">
        <v>440</v>
      </c>
      <c r="H907" s="3">
        <v>260</v>
      </c>
      <c r="I907" s="12">
        <v>2</v>
      </c>
      <c r="J907" s="9" t="s">
        <v>1212</v>
      </c>
      <c r="K907" s="9" t="s">
        <v>49</v>
      </c>
      <c r="L907" s="13">
        <v>0</v>
      </c>
      <c r="M907" s="9" t="s">
        <v>34</v>
      </c>
    </row>
    <row r="908" spans="1:13" ht="20.25" customHeight="1" x14ac:dyDescent="0.25">
      <c r="A908" s="9" t="s">
        <v>1695</v>
      </c>
      <c r="B908" s="10">
        <v>45846</v>
      </c>
      <c r="C908" s="9" t="s">
        <v>28</v>
      </c>
      <c r="D908" s="9" t="s">
        <v>29</v>
      </c>
      <c r="E908" s="11" t="s">
        <v>30</v>
      </c>
      <c r="F908" s="11" t="s">
        <v>80</v>
      </c>
      <c r="G908" s="3">
        <v>1700</v>
      </c>
      <c r="H908" s="3">
        <v>1200</v>
      </c>
      <c r="I908" s="12">
        <v>2</v>
      </c>
      <c r="J908" s="9" t="s">
        <v>1222</v>
      </c>
      <c r="K908" s="9" t="s">
        <v>49</v>
      </c>
      <c r="L908" s="13">
        <v>0</v>
      </c>
      <c r="M908" s="9" t="s">
        <v>34</v>
      </c>
    </row>
    <row r="909" spans="1:13" ht="20.25" customHeight="1" x14ac:dyDescent="0.25">
      <c r="A909" s="9" t="s">
        <v>1696</v>
      </c>
      <c r="B909" s="10">
        <v>45847</v>
      </c>
      <c r="C909" s="9" t="s">
        <v>54</v>
      </c>
      <c r="D909" s="9" t="s">
        <v>29</v>
      </c>
      <c r="E909" s="11" t="s">
        <v>30</v>
      </c>
      <c r="F909" s="11" t="s">
        <v>31</v>
      </c>
      <c r="G909" s="3">
        <v>650</v>
      </c>
      <c r="H909" s="3">
        <v>450</v>
      </c>
      <c r="I909" s="12">
        <v>1</v>
      </c>
      <c r="J909" s="9" t="s">
        <v>1697</v>
      </c>
      <c r="K909" s="9" t="s">
        <v>49</v>
      </c>
      <c r="L909" s="13">
        <v>0</v>
      </c>
      <c r="M909" s="9" t="s">
        <v>34</v>
      </c>
    </row>
    <row r="910" spans="1:13" ht="20.25" customHeight="1" x14ac:dyDescent="0.25">
      <c r="A910" s="9" t="s">
        <v>1698</v>
      </c>
      <c r="B910" s="10">
        <v>45847</v>
      </c>
      <c r="C910" s="9" t="s">
        <v>54</v>
      </c>
      <c r="D910" s="9" t="s">
        <v>42</v>
      </c>
      <c r="E910" s="11" t="s">
        <v>37</v>
      </c>
      <c r="F910" s="11" t="s">
        <v>72</v>
      </c>
      <c r="G910" s="3">
        <v>220</v>
      </c>
      <c r="H910" s="3">
        <v>130</v>
      </c>
      <c r="I910" s="12">
        <v>1</v>
      </c>
      <c r="J910" s="9" t="s">
        <v>60</v>
      </c>
      <c r="K910" s="9" t="s">
        <v>49</v>
      </c>
      <c r="L910" s="13">
        <v>0</v>
      </c>
      <c r="M910" s="9" t="s">
        <v>34</v>
      </c>
    </row>
    <row r="911" spans="1:13" ht="20.25" customHeight="1" x14ac:dyDescent="0.25">
      <c r="A911" s="9" t="s">
        <v>1699</v>
      </c>
      <c r="B911" s="10">
        <v>45847</v>
      </c>
      <c r="C911" s="9" t="s">
        <v>36</v>
      </c>
      <c r="D911" s="9" t="s">
        <v>29</v>
      </c>
      <c r="E911" s="11" t="s">
        <v>30</v>
      </c>
      <c r="F911" s="11" t="s">
        <v>31</v>
      </c>
      <c r="G911" s="3">
        <v>1950</v>
      </c>
      <c r="H911" s="3">
        <v>1350</v>
      </c>
      <c r="I911" s="12">
        <v>3</v>
      </c>
      <c r="J911" s="9" t="s">
        <v>463</v>
      </c>
      <c r="K911" s="9" t="s">
        <v>33</v>
      </c>
      <c r="L911" s="13">
        <v>1</v>
      </c>
      <c r="M911" s="9" t="s">
        <v>34</v>
      </c>
    </row>
    <row r="912" spans="1:13" ht="20.25" customHeight="1" x14ac:dyDescent="0.25">
      <c r="A912" s="9" t="s">
        <v>1700</v>
      </c>
      <c r="B912" s="10">
        <v>45847</v>
      </c>
      <c r="C912" s="9" t="s">
        <v>28</v>
      </c>
      <c r="D912" s="9" t="s">
        <v>51</v>
      </c>
      <c r="E912" s="11" t="s">
        <v>58</v>
      </c>
      <c r="F912" s="11" t="s">
        <v>59</v>
      </c>
      <c r="G912" s="3">
        <v>150</v>
      </c>
      <c r="H912" s="3">
        <v>90</v>
      </c>
      <c r="I912" s="12">
        <v>1</v>
      </c>
      <c r="J912" s="9" t="s">
        <v>1185</v>
      </c>
      <c r="K912" s="9" t="s">
        <v>49</v>
      </c>
      <c r="L912" s="13">
        <v>0</v>
      </c>
      <c r="M912" s="9" t="s">
        <v>34</v>
      </c>
    </row>
    <row r="913" spans="1:13" ht="20.25" customHeight="1" x14ac:dyDescent="0.25">
      <c r="A913" s="9" t="s">
        <v>1701</v>
      </c>
      <c r="B913" s="10">
        <v>45848</v>
      </c>
      <c r="C913" s="9" t="s">
        <v>36</v>
      </c>
      <c r="D913" s="9" t="s">
        <v>42</v>
      </c>
      <c r="E913" s="11" t="s">
        <v>58</v>
      </c>
      <c r="F913" s="11" t="s">
        <v>68</v>
      </c>
      <c r="G913" s="3">
        <v>-1050</v>
      </c>
      <c r="H913" s="3">
        <v>-660</v>
      </c>
      <c r="I913" s="12">
        <v>-3</v>
      </c>
      <c r="J913" s="9" t="s">
        <v>1702</v>
      </c>
      <c r="K913" s="9" t="s">
        <v>49</v>
      </c>
      <c r="L913" s="13">
        <v>0</v>
      </c>
      <c r="M913" s="9" t="s">
        <v>76</v>
      </c>
    </row>
    <row r="914" spans="1:13" ht="20.25" customHeight="1" x14ac:dyDescent="0.25">
      <c r="A914" s="9" t="s">
        <v>1703</v>
      </c>
      <c r="B914" s="10">
        <v>45848</v>
      </c>
      <c r="C914" s="9" t="s">
        <v>54</v>
      </c>
      <c r="D914" s="9" t="s">
        <v>29</v>
      </c>
      <c r="E914" s="11" t="s">
        <v>30</v>
      </c>
      <c r="F914" s="11" t="s">
        <v>80</v>
      </c>
      <c r="G914" s="3">
        <v>850</v>
      </c>
      <c r="H914" s="3">
        <v>600</v>
      </c>
      <c r="I914" s="12">
        <v>1</v>
      </c>
      <c r="J914" s="9" t="s">
        <v>1704</v>
      </c>
      <c r="K914" s="9" t="s">
        <v>33</v>
      </c>
      <c r="L914" s="13">
        <v>1</v>
      </c>
      <c r="M914" s="9" t="s">
        <v>34</v>
      </c>
    </row>
    <row r="915" spans="1:13" ht="20.25" customHeight="1" x14ac:dyDescent="0.25">
      <c r="A915" s="9" t="s">
        <v>1705</v>
      </c>
      <c r="B915" s="10">
        <v>45848</v>
      </c>
      <c r="C915" s="9" t="s">
        <v>62</v>
      </c>
      <c r="D915" s="9" t="s">
        <v>29</v>
      </c>
      <c r="E915" s="11" t="s">
        <v>43</v>
      </c>
      <c r="F915" s="11" t="s">
        <v>90</v>
      </c>
      <c r="G915" s="3">
        <v>150</v>
      </c>
      <c r="H915" s="3">
        <v>90</v>
      </c>
      <c r="I915" s="12">
        <v>1</v>
      </c>
      <c r="J915" s="9" t="s">
        <v>1706</v>
      </c>
      <c r="K915" s="9" t="s">
        <v>49</v>
      </c>
      <c r="L915" s="13">
        <v>0</v>
      </c>
      <c r="M915" s="9" t="s">
        <v>34</v>
      </c>
    </row>
    <row r="916" spans="1:13" ht="20.25" customHeight="1" x14ac:dyDescent="0.25">
      <c r="A916" s="9" t="s">
        <v>1707</v>
      </c>
      <c r="B916" s="10">
        <v>45849</v>
      </c>
      <c r="C916" s="9" t="s">
        <v>28</v>
      </c>
      <c r="D916" s="9" t="s">
        <v>51</v>
      </c>
      <c r="E916" s="11" t="s">
        <v>43</v>
      </c>
      <c r="F916" s="11" t="s">
        <v>47</v>
      </c>
      <c r="G916" s="3">
        <v>330</v>
      </c>
      <c r="H916" s="3">
        <v>195</v>
      </c>
      <c r="I916" s="12">
        <v>3</v>
      </c>
      <c r="J916" s="9" t="s">
        <v>151</v>
      </c>
      <c r="K916" s="9" t="s">
        <v>33</v>
      </c>
      <c r="L916" s="13">
        <v>1</v>
      </c>
      <c r="M916" s="9" t="s">
        <v>34</v>
      </c>
    </row>
    <row r="917" spans="1:13" ht="20.25" customHeight="1" x14ac:dyDescent="0.25">
      <c r="A917" s="9" t="s">
        <v>1708</v>
      </c>
      <c r="B917" s="10">
        <v>45849</v>
      </c>
      <c r="C917" s="9" t="s">
        <v>28</v>
      </c>
      <c r="D917" s="9" t="s">
        <v>29</v>
      </c>
      <c r="E917" s="11" t="s">
        <v>37</v>
      </c>
      <c r="F917" s="11" t="s">
        <v>38</v>
      </c>
      <c r="G917" s="3">
        <v>240</v>
      </c>
      <c r="H917" s="3">
        <v>140</v>
      </c>
      <c r="I917" s="12">
        <v>2</v>
      </c>
      <c r="J917" s="9" t="s">
        <v>1219</v>
      </c>
      <c r="K917" s="9" t="s">
        <v>49</v>
      </c>
      <c r="L917" s="13">
        <v>0</v>
      </c>
      <c r="M917" s="9" t="s">
        <v>34</v>
      </c>
    </row>
    <row r="918" spans="1:13" ht="20.25" customHeight="1" x14ac:dyDescent="0.25">
      <c r="A918" s="9" t="s">
        <v>1709</v>
      </c>
      <c r="B918" s="10">
        <v>45849</v>
      </c>
      <c r="C918" s="9" t="s">
        <v>54</v>
      </c>
      <c r="D918" s="9" t="s">
        <v>29</v>
      </c>
      <c r="E918" s="11" t="s">
        <v>30</v>
      </c>
      <c r="F918" s="11" t="s">
        <v>31</v>
      </c>
      <c r="G918" s="3">
        <v>3250</v>
      </c>
      <c r="H918" s="3">
        <v>2250</v>
      </c>
      <c r="I918" s="12">
        <v>5</v>
      </c>
      <c r="J918" s="9" t="s">
        <v>1710</v>
      </c>
      <c r="K918" s="9" t="s">
        <v>33</v>
      </c>
      <c r="L918" s="13">
        <v>1</v>
      </c>
      <c r="M918" s="9" t="s">
        <v>34</v>
      </c>
    </row>
    <row r="919" spans="1:13" ht="20.25" customHeight="1" x14ac:dyDescent="0.25">
      <c r="A919" s="9" t="s">
        <v>1711</v>
      </c>
      <c r="B919" s="10">
        <v>45849</v>
      </c>
      <c r="C919" s="9" t="s">
        <v>36</v>
      </c>
      <c r="D919" s="9" t="s">
        <v>29</v>
      </c>
      <c r="E919" s="11" t="s">
        <v>30</v>
      </c>
      <c r="F919" s="11" t="s">
        <v>80</v>
      </c>
      <c r="G919" s="3">
        <v>1700</v>
      </c>
      <c r="H919" s="3">
        <v>1200</v>
      </c>
      <c r="I919" s="12">
        <v>2</v>
      </c>
      <c r="J919" s="9" t="s">
        <v>1712</v>
      </c>
      <c r="K919" s="9" t="s">
        <v>33</v>
      </c>
      <c r="L919" s="13">
        <v>1</v>
      </c>
      <c r="M919" s="9" t="s">
        <v>34</v>
      </c>
    </row>
    <row r="920" spans="1:13" ht="20.25" customHeight="1" x14ac:dyDescent="0.25">
      <c r="A920" s="9" t="s">
        <v>1713</v>
      </c>
      <c r="B920" s="10">
        <v>45850</v>
      </c>
      <c r="C920" s="9" t="s">
        <v>71</v>
      </c>
      <c r="D920" s="9" t="s">
        <v>29</v>
      </c>
      <c r="E920" s="11" t="s">
        <v>58</v>
      </c>
      <c r="F920" s="11" t="s">
        <v>68</v>
      </c>
      <c r="G920" s="3">
        <v>1050</v>
      </c>
      <c r="H920" s="3">
        <v>660</v>
      </c>
      <c r="I920" s="12">
        <v>3</v>
      </c>
      <c r="J920" s="9" t="s">
        <v>1714</v>
      </c>
      <c r="K920" s="9" t="s">
        <v>49</v>
      </c>
      <c r="L920" s="13">
        <v>0</v>
      </c>
      <c r="M920" s="9" t="s">
        <v>34</v>
      </c>
    </row>
    <row r="921" spans="1:13" ht="20.25" customHeight="1" x14ac:dyDescent="0.25">
      <c r="A921" s="9" t="s">
        <v>1715</v>
      </c>
      <c r="B921" s="10">
        <v>45850</v>
      </c>
      <c r="C921" s="9" t="s">
        <v>62</v>
      </c>
      <c r="D921" s="9" t="s">
        <v>51</v>
      </c>
      <c r="E921" s="11" t="s">
        <v>30</v>
      </c>
      <c r="F921" s="11" t="s">
        <v>80</v>
      </c>
      <c r="G921" s="3">
        <v>1700</v>
      </c>
      <c r="H921" s="3">
        <v>1200</v>
      </c>
      <c r="I921" s="12">
        <v>2</v>
      </c>
      <c r="J921" s="9" t="s">
        <v>1716</v>
      </c>
      <c r="K921" s="9" t="s">
        <v>49</v>
      </c>
      <c r="L921" s="13">
        <v>0</v>
      </c>
      <c r="M921" s="9" t="s">
        <v>34</v>
      </c>
    </row>
    <row r="922" spans="1:13" ht="20.25" customHeight="1" x14ac:dyDescent="0.25">
      <c r="A922" s="9" t="s">
        <v>1717</v>
      </c>
      <c r="B922" s="10">
        <v>45851</v>
      </c>
      <c r="C922" s="9" t="s">
        <v>28</v>
      </c>
      <c r="D922" s="9" t="s">
        <v>29</v>
      </c>
      <c r="E922" s="11" t="s">
        <v>43</v>
      </c>
      <c r="F922" s="11" t="s">
        <v>90</v>
      </c>
      <c r="G922" s="3">
        <v>300</v>
      </c>
      <c r="H922" s="3">
        <v>180</v>
      </c>
      <c r="I922" s="12">
        <v>2</v>
      </c>
      <c r="J922" s="9" t="s">
        <v>1718</v>
      </c>
      <c r="K922" s="9" t="s">
        <v>33</v>
      </c>
      <c r="L922" s="13">
        <v>1</v>
      </c>
      <c r="M922" s="9" t="s">
        <v>34</v>
      </c>
    </row>
    <row r="923" spans="1:13" ht="20.25" customHeight="1" x14ac:dyDescent="0.25">
      <c r="A923" s="9" t="s">
        <v>1719</v>
      </c>
      <c r="B923" s="10">
        <v>45851</v>
      </c>
      <c r="C923" s="9" t="s">
        <v>71</v>
      </c>
      <c r="D923" s="9" t="s">
        <v>29</v>
      </c>
      <c r="E923" s="11" t="s">
        <v>30</v>
      </c>
      <c r="F923" s="11" t="s">
        <v>63</v>
      </c>
      <c r="G923" s="3">
        <v>1200</v>
      </c>
      <c r="H923" s="3">
        <v>850</v>
      </c>
      <c r="I923" s="12">
        <v>1</v>
      </c>
      <c r="J923" s="9" t="s">
        <v>1720</v>
      </c>
      <c r="K923" s="9" t="s">
        <v>49</v>
      </c>
      <c r="L923" s="13">
        <v>0</v>
      </c>
      <c r="M923" s="9" t="s">
        <v>34</v>
      </c>
    </row>
    <row r="924" spans="1:13" ht="20.25" customHeight="1" x14ac:dyDescent="0.25">
      <c r="A924" s="9" t="s">
        <v>1721</v>
      </c>
      <c r="B924" s="10">
        <v>45851</v>
      </c>
      <c r="C924" s="9" t="s">
        <v>28</v>
      </c>
      <c r="D924" s="9" t="s">
        <v>51</v>
      </c>
      <c r="E924" s="11" t="s">
        <v>58</v>
      </c>
      <c r="F924" s="11" t="s">
        <v>68</v>
      </c>
      <c r="G924" s="3">
        <v>350</v>
      </c>
      <c r="H924" s="3">
        <v>220</v>
      </c>
      <c r="I924" s="12">
        <v>1</v>
      </c>
      <c r="J924" s="9" t="s">
        <v>1331</v>
      </c>
      <c r="K924" s="9" t="s">
        <v>49</v>
      </c>
      <c r="L924" s="13">
        <v>0</v>
      </c>
      <c r="M924" s="9" t="s">
        <v>34</v>
      </c>
    </row>
    <row r="925" spans="1:13" ht="20.25" customHeight="1" x14ac:dyDescent="0.25">
      <c r="A925" s="9" t="s">
        <v>1722</v>
      </c>
      <c r="B925" s="10">
        <v>45851</v>
      </c>
      <c r="C925" s="9" t="s">
        <v>36</v>
      </c>
      <c r="D925" s="9" t="s">
        <v>29</v>
      </c>
      <c r="E925" s="11" t="s">
        <v>58</v>
      </c>
      <c r="F925" s="11" t="s">
        <v>59</v>
      </c>
      <c r="G925" s="3">
        <v>450</v>
      </c>
      <c r="H925" s="3">
        <v>270</v>
      </c>
      <c r="I925" s="12">
        <v>3</v>
      </c>
      <c r="J925" s="9" t="s">
        <v>1723</v>
      </c>
      <c r="K925" s="9" t="s">
        <v>49</v>
      </c>
      <c r="L925" s="13">
        <v>0</v>
      </c>
      <c r="M925" s="9" t="s">
        <v>34</v>
      </c>
    </row>
    <row r="926" spans="1:13" ht="20.25" customHeight="1" x14ac:dyDescent="0.25">
      <c r="A926" s="9" t="s">
        <v>1724</v>
      </c>
      <c r="B926" s="10">
        <v>45852</v>
      </c>
      <c r="C926" s="9" t="s">
        <v>54</v>
      </c>
      <c r="D926" s="9" t="s">
        <v>29</v>
      </c>
      <c r="E926" s="11" t="s">
        <v>37</v>
      </c>
      <c r="F926" s="11" t="s">
        <v>72</v>
      </c>
      <c r="G926" s="3">
        <v>220</v>
      </c>
      <c r="H926" s="3">
        <v>130</v>
      </c>
      <c r="I926" s="12">
        <v>1</v>
      </c>
      <c r="J926" s="9" t="s">
        <v>1725</v>
      </c>
      <c r="K926" s="9" t="s">
        <v>49</v>
      </c>
      <c r="L926" s="13">
        <v>0</v>
      </c>
      <c r="M926" s="9" t="s">
        <v>34</v>
      </c>
    </row>
    <row r="927" spans="1:13" ht="20.25" customHeight="1" x14ac:dyDescent="0.25">
      <c r="A927" s="9" t="s">
        <v>1726</v>
      </c>
      <c r="B927" s="10">
        <v>45852</v>
      </c>
      <c r="C927" s="9" t="s">
        <v>36</v>
      </c>
      <c r="D927" s="9" t="s">
        <v>51</v>
      </c>
      <c r="E927" s="11" t="s">
        <v>30</v>
      </c>
      <c r="F927" s="11" t="s">
        <v>31</v>
      </c>
      <c r="G927" s="3">
        <v>650</v>
      </c>
      <c r="H927" s="3">
        <v>450</v>
      </c>
      <c r="I927" s="12">
        <v>1</v>
      </c>
      <c r="J927" s="9" t="s">
        <v>386</v>
      </c>
      <c r="K927" s="9" t="s">
        <v>33</v>
      </c>
      <c r="L927" s="13">
        <v>1</v>
      </c>
      <c r="M927" s="9" t="s">
        <v>34</v>
      </c>
    </row>
    <row r="928" spans="1:13" ht="20.25" customHeight="1" x14ac:dyDescent="0.25">
      <c r="A928" s="9" t="s">
        <v>1727</v>
      </c>
      <c r="B928" s="10">
        <v>45852</v>
      </c>
      <c r="C928" s="9" t="s">
        <v>62</v>
      </c>
      <c r="D928" s="9" t="s">
        <v>29</v>
      </c>
      <c r="E928" s="11" t="s">
        <v>58</v>
      </c>
      <c r="F928" s="11" t="s">
        <v>87</v>
      </c>
      <c r="G928" s="3">
        <v>180</v>
      </c>
      <c r="H928" s="3">
        <v>110</v>
      </c>
      <c r="I928" s="12">
        <v>1</v>
      </c>
      <c r="J928" s="9" t="s">
        <v>1728</v>
      </c>
      <c r="K928" s="9" t="s">
        <v>49</v>
      </c>
      <c r="L928" s="13">
        <v>0</v>
      </c>
      <c r="M928" s="9" t="s">
        <v>34</v>
      </c>
    </row>
    <row r="929" spans="1:13" ht="20.25" customHeight="1" x14ac:dyDescent="0.25">
      <c r="A929" s="9" t="s">
        <v>1729</v>
      </c>
      <c r="B929" s="10">
        <v>45853</v>
      </c>
      <c r="C929" s="9" t="s">
        <v>71</v>
      </c>
      <c r="D929" s="9" t="s">
        <v>51</v>
      </c>
      <c r="E929" s="11" t="s">
        <v>30</v>
      </c>
      <c r="F929" s="11" t="s">
        <v>80</v>
      </c>
      <c r="G929" s="3">
        <v>850</v>
      </c>
      <c r="H929" s="3">
        <v>600</v>
      </c>
      <c r="I929" s="12">
        <v>1</v>
      </c>
      <c r="J929" s="9" t="s">
        <v>1363</v>
      </c>
      <c r="K929" s="9" t="s">
        <v>49</v>
      </c>
      <c r="L929" s="13">
        <v>0</v>
      </c>
      <c r="M929" s="9" t="s">
        <v>34</v>
      </c>
    </row>
    <row r="930" spans="1:13" ht="20.25" customHeight="1" x14ac:dyDescent="0.25">
      <c r="A930" s="9" t="s">
        <v>1730</v>
      </c>
      <c r="B930" s="10">
        <v>45853</v>
      </c>
      <c r="C930" s="9" t="s">
        <v>36</v>
      </c>
      <c r="D930" s="9" t="s">
        <v>42</v>
      </c>
      <c r="E930" s="11" t="s">
        <v>43</v>
      </c>
      <c r="F930" s="11" t="s">
        <v>90</v>
      </c>
      <c r="G930" s="3">
        <v>150</v>
      </c>
      <c r="H930" s="3">
        <v>90</v>
      </c>
      <c r="I930" s="12">
        <v>1</v>
      </c>
      <c r="J930" s="9" t="s">
        <v>1731</v>
      </c>
      <c r="K930" s="9" t="s">
        <v>49</v>
      </c>
      <c r="L930" s="13">
        <v>0</v>
      </c>
      <c r="M930" s="9" t="s">
        <v>34</v>
      </c>
    </row>
    <row r="931" spans="1:13" ht="20.25" customHeight="1" x14ac:dyDescent="0.25">
      <c r="A931" s="9" t="s">
        <v>1732</v>
      </c>
      <c r="B931" s="10">
        <v>45853</v>
      </c>
      <c r="C931" s="9" t="s">
        <v>28</v>
      </c>
      <c r="D931" s="9" t="s">
        <v>29</v>
      </c>
      <c r="E931" s="11" t="s">
        <v>30</v>
      </c>
      <c r="F931" s="11" t="s">
        <v>63</v>
      </c>
      <c r="G931" s="3">
        <v>1200</v>
      </c>
      <c r="H931" s="3">
        <v>850</v>
      </c>
      <c r="I931" s="12">
        <v>1</v>
      </c>
      <c r="J931" s="9" t="s">
        <v>1733</v>
      </c>
      <c r="K931" s="9" t="s">
        <v>49</v>
      </c>
      <c r="L931" s="13">
        <v>0</v>
      </c>
      <c r="M931" s="9" t="s">
        <v>34</v>
      </c>
    </row>
    <row r="932" spans="1:13" ht="20.25" customHeight="1" x14ac:dyDescent="0.25">
      <c r="A932" s="9" t="s">
        <v>1734</v>
      </c>
      <c r="B932" s="10">
        <v>45853</v>
      </c>
      <c r="C932" s="9" t="s">
        <v>36</v>
      </c>
      <c r="D932" s="9" t="s">
        <v>51</v>
      </c>
      <c r="E932" s="11" t="s">
        <v>43</v>
      </c>
      <c r="F932" s="11" t="s">
        <v>90</v>
      </c>
      <c r="G932" s="3">
        <v>450</v>
      </c>
      <c r="H932" s="3">
        <v>270</v>
      </c>
      <c r="I932" s="12">
        <v>3</v>
      </c>
      <c r="J932" s="9" t="s">
        <v>1735</v>
      </c>
      <c r="K932" s="9" t="s">
        <v>33</v>
      </c>
      <c r="L932" s="13">
        <v>1</v>
      </c>
      <c r="M932" s="9" t="s">
        <v>34</v>
      </c>
    </row>
    <row r="933" spans="1:13" ht="20.25" customHeight="1" x14ac:dyDescent="0.25">
      <c r="A933" s="9" t="s">
        <v>1736</v>
      </c>
      <c r="B933" s="10">
        <v>45854</v>
      </c>
      <c r="C933" s="9" t="s">
        <v>36</v>
      </c>
      <c r="D933" s="9" t="s">
        <v>29</v>
      </c>
      <c r="E933" s="11" t="s">
        <v>43</v>
      </c>
      <c r="F933" s="11" t="s">
        <v>90</v>
      </c>
      <c r="G933" s="3">
        <v>150</v>
      </c>
      <c r="H933" s="3">
        <v>90</v>
      </c>
      <c r="I933" s="12">
        <v>1</v>
      </c>
      <c r="J933" s="9" t="s">
        <v>1737</v>
      </c>
      <c r="K933" s="9" t="s">
        <v>49</v>
      </c>
      <c r="L933" s="13">
        <v>0</v>
      </c>
      <c r="M933" s="9" t="s">
        <v>34</v>
      </c>
    </row>
    <row r="934" spans="1:13" ht="20.25" customHeight="1" x14ac:dyDescent="0.25">
      <c r="A934" s="9" t="s">
        <v>1738</v>
      </c>
      <c r="B934" s="10">
        <v>45854</v>
      </c>
      <c r="C934" s="9" t="s">
        <v>28</v>
      </c>
      <c r="D934" s="9" t="s">
        <v>29</v>
      </c>
      <c r="E934" s="11" t="s">
        <v>30</v>
      </c>
      <c r="F934" s="11" t="s">
        <v>80</v>
      </c>
      <c r="G934" s="3">
        <v>850</v>
      </c>
      <c r="H934" s="3">
        <v>600</v>
      </c>
      <c r="I934" s="12">
        <v>1</v>
      </c>
      <c r="J934" s="9" t="s">
        <v>1115</v>
      </c>
      <c r="K934" s="9" t="s">
        <v>49</v>
      </c>
      <c r="L934" s="13">
        <v>0</v>
      </c>
      <c r="M934" s="9" t="s">
        <v>34</v>
      </c>
    </row>
    <row r="935" spans="1:13" ht="20.25" customHeight="1" x14ac:dyDescent="0.25">
      <c r="A935" s="9" t="s">
        <v>1739</v>
      </c>
      <c r="B935" s="10">
        <v>45855</v>
      </c>
      <c r="C935" s="9" t="s">
        <v>36</v>
      </c>
      <c r="D935" s="9" t="s">
        <v>42</v>
      </c>
      <c r="E935" s="11" t="s">
        <v>43</v>
      </c>
      <c r="F935" s="11" t="s">
        <v>44</v>
      </c>
      <c r="G935" s="3">
        <v>45</v>
      </c>
      <c r="H935" s="3">
        <v>20</v>
      </c>
      <c r="I935" s="12">
        <v>1</v>
      </c>
      <c r="J935" s="9" t="s">
        <v>1740</v>
      </c>
      <c r="K935" s="9" t="s">
        <v>33</v>
      </c>
      <c r="L935" s="13">
        <v>1</v>
      </c>
      <c r="M935" s="9" t="s">
        <v>34</v>
      </c>
    </row>
    <row r="936" spans="1:13" ht="20.25" customHeight="1" x14ac:dyDescent="0.25">
      <c r="A936" s="9" t="s">
        <v>1741</v>
      </c>
      <c r="B936" s="10">
        <v>45855</v>
      </c>
      <c r="C936" s="9" t="s">
        <v>36</v>
      </c>
      <c r="D936" s="9" t="s">
        <v>42</v>
      </c>
      <c r="E936" s="11" t="s">
        <v>30</v>
      </c>
      <c r="F936" s="11" t="s">
        <v>63</v>
      </c>
      <c r="G936" s="3">
        <v>1200</v>
      </c>
      <c r="H936" s="3">
        <v>850</v>
      </c>
      <c r="I936" s="12">
        <v>1</v>
      </c>
      <c r="J936" s="9" t="s">
        <v>1742</v>
      </c>
      <c r="K936" s="9" t="s">
        <v>49</v>
      </c>
      <c r="L936" s="13">
        <v>0</v>
      </c>
      <c r="M936" s="9" t="s">
        <v>34</v>
      </c>
    </row>
    <row r="937" spans="1:13" ht="20.25" customHeight="1" x14ac:dyDescent="0.25">
      <c r="A937" s="9" t="s">
        <v>1743</v>
      </c>
      <c r="B937" s="10">
        <v>45855</v>
      </c>
      <c r="C937" s="9" t="s">
        <v>41</v>
      </c>
      <c r="D937" s="9" t="s">
        <v>29</v>
      </c>
      <c r="E937" s="11" t="s">
        <v>43</v>
      </c>
      <c r="F937" s="11" t="s">
        <v>44</v>
      </c>
      <c r="G937" s="3">
        <v>45</v>
      </c>
      <c r="H937" s="3">
        <v>20</v>
      </c>
      <c r="I937" s="12">
        <v>1</v>
      </c>
      <c r="J937" s="9" t="s">
        <v>1744</v>
      </c>
      <c r="K937" s="9" t="s">
        <v>49</v>
      </c>
      <c r="L937" s="13">
        <v>0</v>
      </c>
      <c r="M937" s="9" t="s">
        <v>34</v>
      </c>
    </row>
    <row r="938" spans="1:13" ht="20.25" customHeight="1" x14ac:dyDescent="0.25">
      <c r="A938" s="9" t="s">
        <v>1745</v>
      </c>
      <c r="B938" s="10">
        <v>45855</v>
      </c>
      <c r="C938" s="9" t="s">
        <v>41</v>
      </c>
      <c r="D938" s="9" t="s">
        <v>51</v>
      </c>
      <c r="E938" s="11" t="s">
        <v>58</v>
      </c>
      <c r="F938" s="11" t="s">
        <v>59</v>
      </c>
      <c r="G938" s="3">
        <v>300</v>
      </c>
      <c r="H938" s="3">
        <v>180</v>
      </c>
      <c r="I938" s="12">
        <v>2</v>
      </c>
      <c r="J938" s="9" t="s">
        <v>1404</v>
      </c>
      <c r="K938" s="9" t="s">
        <v>49</v>
      </c>
      <c r="L938" s="13">
        <v>0</v>
      </c>
      <c r="M938" s="9" t="s">
        <v>34</v>
      </c>
    </row>
    <row r="939" spans="1:13" ht="20.25" customHeight="1" x14ac:dyDescent="0.25">
      <c r="A939" s="9" t="s">
        <v>1746</v>
      </c>
      <c r="B939" s="10">
        <v>45856</v>
      </c>
      <c r="C939" s="9" t="s">
        <v>41</v>
      </c>
      <c r="D939" s="9" t="s">
        <v>42</v>
      </c>
      <c r="E939" s="11" t="s">
        <v>58</v>
      </c>
      <c r="F939" s="11" t="s">
        <v>87</v>
      </c>
      <c r="G939" s="3">
        <v>180</v>
      </c>
      <c r="H939" s="3">
        <v>110</v>
      </c>
      <c r="I939" s="12">
        <v>1</v>
      </c>
      <c r="J939" s="9" t="s">
        <v>1747</v>
      </c>
      <c r="K939" s="9" t="s">
        <v>49</v>
      </c>
      <c r="L939" s="13">
        <v>0</v>
      </c>
      <c r="M939" s="9" t="s">
        <v>34</v>
      </c>
    </row>
    <row r="940" spans="1:13" ht="20.25" customHeight="1" x14ac:dyDescent="0.25">
      <c r="A940" s="9" t="s">
        <v>1748</v>
      </c>
      <c r="B940" s="10">
        <v>45856</v>
      </c>
      <c r="C940" s="9" t="s">
        <v>28</v>
      </c>
      <c r="D940" s="9" t="s">
        <v>42</v>
      </c>
      <c r="E940" s="11" t="s">
        <v>58</v>
      </c>
      <c r="F940" s="11" t="s">
        <v>68</v>
      </c>
      <c r="G940" s="3">
        <v>1050</v>
      </c>
      <c r="H940" s="3">
        <v>660</v>
      </c>
      <c r="I940" s="12">
        <v>3</v>
      </c>
      <c r="J940" s="9" t="s">
        <v>1075</v>
      </c>
      <c r="K940" s="9" t="s">
        <v>33</v>
      </c>
      <c r="L940" s="13">
        <v>1</v>
      </c>
      <c r="M940" s="9" t="s">
        <v>34</v>
      </c>
    </row>
    <row r="941" spans="1:13" ht="20.25" customHeight="1" x14ac:dyDescent="0.25">
      <c r="A941" s="9" t="s">
        <v>1749</v>
      </c>
      <c r="B941" s="10">
        <v>45856</v>
      </c>
      <c r="C941" s="9" t="s">
        <v>28</v>
      </c>
      <c r="D941" s="9" t="s">
        <v>51</v>
      </c>
      <c r="E941" s="11" t="s">
        <v>30</v>
      </c>
      <c r="F941" s="11" t="s">
        <v>31</v>
      </c>
      <c r="G941" s="3">
        <v>650</v>
      </c>
      <c r="H941" s="3">
        <v>450</v>
      </c>
      <c r="I941" s="12">
        <v>1</v>
      </c>
      <c r="J941" s="9" t="s">
        <v>1750</v>
      </c>
      <c r="K941" s="9" t="s">
        <v>49</v>
      </c>
      <c r="L941" s="13">
        <v>0</v>
      </c>
      <c r="M941" s="9" t="s">
        <v>34</v>
      </c>
    </row>
    <row r="942" spans="1:13" ht="20.25" customHeight="1" x14ac:dyDescent="0.25">
      <c r="A942" s="9" t="s">
        <v>1751</v>
      </c>
      <c r="B942" s="10">
        <v>45857</v>
      </c>
      <c r="C942" s="9" t="s">
        <v>41</v>
      </c>
      <c r="D942" s="9" t="s">
        <v>29</v>
      </c>
      <c r="E942" s="11" t="s">
        <v>43</v>
      </c>
      <c r="F942" s="11" t="s">
        <v>44</v>
      </c>
      <c r="G942" s="3">
        <v>45</v>
      </c>
      <c r="H942" s="3">
        <v>20</v>
      </c>
      <c r="I942" s="12">
        <v>1</v>
      </c>
      <c r="J942" s="9" t="s">
        <v>1153</v>
      </c>
      <c r="K942" s="9" t="s">
        <v>49</v>
      </c>
      <c r="L942" s="13">
        <v>0</v>
      </c>
      <c r="M942" s="9" t="s">
        <v>34</v>
      </c>
    </row>
    <row r="943" spans="1:13" ht="20.25" customHeight="1" x14ac:dyDescent="0.25">
      <c r="A943" s="9" t="s">
        <v>1752</v>
      </c>
      <c r="B943" s="10">
        <v>45857</v>
      </c>
      <c r="C943" s="9" t="s">
        <v>36</v>
      </c>
      <c r="D943" s="9" t="s">
        <v>29</v>
      </c>
      <c r="E943" s="11" t="s">
        <v>30</v>
      </c>
      <c r="F943" s="11" t="s">
        <v>63</v>
      </c>
      <c r="G943" s="3">
        <v>1200</v>
      </c>
      <c r="H943" s="3">
        <v>850</v>
      </c>
      <c r="I943" s="12">
        <v>1</v>
      </c>
      <c r="J943" s="9" t="s">
        <v>1753</v>
      </c>
      <c r="K943" s="9" t="s">
        <v>33</v>
      </c>
      <c r="L943" s="13">
        <v>1</v>
      </c>
      <c r="M943" s="9" t="s">
        <v>34</v>
      </c>
    </row>
    <row r="944" spans="1:13" ht="20.25" customHeight="1" x14ac:dyDescent="0.25">
      <c r="A944" s="9" t="s">
        <v>1754</v>
      </c>
      <c r="B944" s="10">
        <v>45857</v>
      </c>
      <c r="C944" s="9" t="s">
        <v>28</v>
      </c>
      <c r="D944" s="9" t="s">
        <v>42</v>
      </c>
      <c r="E944" s="11" t="s">
        <v>37</v>
      </c>
      <c r="F944" s="11" t="s">
        <v>55</v>
      </c>
      <c r="G944" s="3">
        <v>90</v>
      </c>
      <c r="H944" s="3">
        <v>55</v>
      </c>
      <c r="I944" s="12">
        <v>1</v>
      </c>
      <c r="J944" s="9" t="s">
        <v>1755</v>
      </c>
      <c r="K944" s="9" t="s">
        <v>33</v>
      </c>
      <c r="L944" s="13">
        <v>1</v>
      </c>
      <c r="M944" s="9" t="s">
        <v>34</v>
      </c>
    </row>
    <row r="945" spans="1:13" ht="20.25" customHeight="1" x14ac:dyDescent="0.25">
      <c r="A945" s="9" t="s">
        <v>1756</v>
      </c>
      <c r="B945" s="10">
        <v>45857</v>
      </c>
      <c r="C945" s="9" t="s">
        <v>54</v>
      </c>
      <c r="D945" s="9" t="s">
        <v>29</v>
      </c>
      <c r="E945" s="11" t="s">
        <v>58</v>
      </c>
      <c r="F945" s="11" t="s">
        <v>87</v>
      </c>
      <c r="G945" s="3">
        <v>360</v>
      </c>
      <c r="H945" s="3">
        <v>220</v>
      </c>
      <c r="I945" s="12">
        <v>2</v>
      </c>
      <c r="J945" s="9" t="s">
        <v>483</v>
      </c>
      <c r="K945" s="9" t="s">
        <v>49</v>
      </c>
      <c r="L945" s="13">
        <v>0</v>
      </c>
      <c r="M945" s="9" t="s">
        <v>34</v>
      </c>
    </row>
    <row r="946" spans="1:13" ht="20.25" customHeight="1" x14ac:dyDescent="0.25">
      <c r="A946" s="9" t="s">
        <v>1757</v>
      </c>
      <c r="B946" s="10">
        <v>45857</v>
      </c>
      <c r="C946" s="9" t="s">
        <v>41</v>
      </c>
      <c r="D946" s="9" t="s">
        <v>51</v>
      </c>
      <c r="E946" s="11" t="s">
        <v>43</v>
      </c>
      <c r="F946" s="11" t="s">
        <v>47</v>
      </c>
      <c r="G946" s="3">
        <v>330</v>
      </c>
      <c r="H946" s="3">
        <v>195</v>
      </c>
      <c r="I946" s="12">
        <v>3</v>
      </c>
      <c r="J946" s="9" t="s">
        <v>1758</v>
      </c>
      <c r="K946" s="9" t="s">
        <v>33</v>
      </c>
      <c r="L946" s="13">
        <v>1</v>
      </c>
      <c r="M946" s="9" t="s">
        <v>34</v>
      </c>
    </row>
    <row r="947" spans="1:13" ht="20.25" customHeight="1" x14ac:dyDescent="0.25">
      <c r="A947" s="9" t="s">
        <v>1759</v>
      </c>
      <c r="B947" s="10">
        <v>45858</v>
      </c>
      <c r="C947" s="9" t="s">
        <v>71</v>
      </c>
      <c r="D947" s="9" t="s">
        <v>29</v>
      </c>
      <c r="E947" s="11" t="s">
        <v>30</v>
      </c>
      <c r="F947" s="11" t="s">
        <v>63</v>
      </c>
      <c r="G947" s="3">
        <v>2400</v>
      </c>
      <c r="H947" s="3">
        <v>1700</v>
      </c>
      <c r="I947" s="12">
        <v>2</v>
      </c>
      <c r="J947" s="9" t="s">
        <v>661</v>
      </c>
      <c r="K947" s="9" t="s">
        <v>49</v>
      </c>
      <c r="L947" s="13">
        <v>0</v>
      </c>
      <c r="M947" s="9" t="s">
        <v>34</v>
      </c>
    </row>
    <row r="948" spans="1:13" ht="20.25" customHeight="1" x14ac:dyDescent="0.25">
      <c r="A948" s="9" t="s">
        <v>1760</v>
      </c>
      <c r="B948" s="10">
        <v>45858</v>
      </c>
      <c r="C948" s="9" t="s">
        <v>28</v>
      </c>
      <c r="D948" s="9" t="s">
        <v>29</v>
      </c>
      <c r="E948" s="11" t="s">
        <v>58</v>
      </c>
      <c r="F948" s="11" t="s">
        <v>59</v>
      </c>
      <c r="G948" s="3">
        <v>150</v>
      </c>
      <c r="H948" s="3">
        <v>90</v>
      </c>
      <c r="I948" s="12">
        <v>1</v>
      </c>
      <c r="J948" s="9" t="s">
        <v>1761</v>
      </c>
      <c r="K948" s="9" t="s">
        <v>33</v>
      </c>
      <c r="L948" s="13">
        <v>1</v>
      </c>
      <c r="M948" s="9" t="s">
        <v>34</v>
      </c>
    </row>
    <row r="949" spans="1:13" ht="20.25" customHeight="1" x14ac:dyDescent="0.25">
      <c r="A949" s="9" t="s">
        <v>1762</v>
      </c>
      <c r="B949" s="10">
        <v>45859</v>
      </c>
      <c r="C949" s="9" t="s">
        <v>41</v>
      </c>
      <c r="D949" s="9" t="s">
        <v>29</v>
      </c>
      <c r="E949" s="11" t="s">
        <v>58</v>
      </c>
      <c r="F949" s="11" t="s">
        <v>59</v>
      </c>
      <c r="G949" s="3">
        <v>150</v>
      </c>
      <c r="H949" s="3">
        <v>90</v>
      </c>
      <c r="I949" s="12">
        <v>1</v>
      </c>
      <c r="J949" s="9" t="s">
        <v>770</v>
      </c>
      <c r="K949" s="9" t="s">
        <v>33</v>
      </c>
      <c r="L949" s="13">
        <v>1</v>
      </c>
      <c r="M949" s="9" t="s">
        <v>34</v>
      </c>
    </row>
    <row r="950" spans="1:13" ht="20.25" customHeight="1" x14ac:dyDescent="0.25">
      <c r="A950" s="9" t="s">
        <v>1763</v>
      </c>
      <c r="B950" s="10">
        <v>45859</v>
      </c>
      <c r="C950" s="9" t="s">
        <v>71</v>
      </c>
      <c r="D950" s="9" t="s">
        <v>42</v>
      </c>
      <c r="E950" s="11" t="s">
        <v>37</v>
      </c>
      <c r="F950" s="11" t="s">
        <v>55</v>
      </c>
      <c r="G950" s="3">
        <v>90</v>
      </c>
      <c r="H950" s="3">
        <v>55</v>
      </c>
      <c r="I950" s="12">
        <v>1</v>
      </c>
      <c r="J950" s="9" t="s">
        <v>1764</v>
      </c>
      <c r="K950" s="9" t="s">
        <v>49</v>
      </c>
      <c r="L950" s="13">
        <v>0</v>
      </c>
      <c r="M950" s="9" t="s">
        <v>34</v>
      </c>
    </row>
    <row r="951" spans="1:13" ht="20.25" customHeight="1" x14ac:dyDescent="0.25">
      <c r="A951" s="9" t="s">
        <v>1765</v>
      </c>
      <c r="B951" s="10">
        <v>45859</v>
      </c>
      <c r="C951" s="9" t="s">
        <v>41</v>
      </c>
      <c r="D951" s="9" t="s">
        <v>29</v>
      </c>
      <c r="E951" s="11" t="s">
        <v>30</v>
      </c>
      <c r="F951" s="11" t="s">
        <v>31</v>
      </c>
      <c r="G951" s="3">
        <v>2600</v>
      </c>
      <c r="H951" s="3">
        <v>1800</v>
      </c>
      <c r="I951" s="12">
        <v>4</v>
      </c>
      <c r="J951" s="9" t="s">
        <v>1345</v>
      </c>
      <c r="K951" s="9" t="s">
        <v>49</v>
      </c>
      <c r="L951" s="13">
        <v>0</v>
      </c>
      <c r="M951" s="9" t="s">
        <v>34</v>
      </c>
    </row>
    <row r="952" spans="1:13" ht="20.25" customHeight="1" x14ac:dyDescent="0.25">
      <c r="A952" s="9" t="s">
        <v>1766</v>
      </c>
      <c r="B952" s="10">
        <v>45860</v>
      </c>
      <c r="C952" s="9" t="s">
        <v>41</v>
      </c>
      <c r="D952" s="9" t="s">
        <v>51</v>
      </c>
      <c r="E952" s="11" t="s">
        <v>30</v>
      </c>
      <c r="F952" s="11" t="s">
        <v>63</v>
      </c>
      <c r="G952" s="3">
        <v>1200</v>
      </c>
      <c r="H952" s="3">
        <v>850</v>
      </c>
      <c r="I952" s="12">
        <v>1</v>
      </c>
      <c r="J952" s="9" t="s">
        <v>1767</v>
      </c>
      <c r="K952" s="9" t="s">
        <v>33</v>
      </c>
      <c r="L952" s="13">
        <v>1</v>
      </c>
      <c r="M952" s="9" t="s">
        <v>34</v>
      </c>
    </row>
    <row r="953" spans="1:13" ht="20.25" customHeight="1" x14ac:dyDescent="0.25">
      <c r="A953" s="9" t="s">
        <v>1768</v>
      </c>
      <c r="B953" s="10">
        <v>45860</v>
      </c>
      <c r="C953" s="9" t="s">
        <v>54</v>
      </c>
      <c r="D953" s="9" t="s">
        <v>29</v>
      </c>
      <c r="E953" s="11" t="s">
        <v>30</v>
      </c>
      <c r="F953" s="11" t="s">
        <v>80</v>
      </c>
      <c r="G953" s="3">
        <v>1700</v>
      </c>
      <c r="H953" s="3">
        <v>1200</v>
      </c>
      <c r="I953" s="12">
        <v>2</v>
      </c>
      <c r="J953" s="9" t="s">
        <v>1769</v>
      </c>
      <c r="K953" s="9" t="s">
        <v>49</v>
      </c>
      <c r="L953" s="13">
        <v>0</v>
      </c>
      <c r="M953" s="9" t="s">
        <v>34</v>
      </c>
    </row>
    <row r="954" spans="1:13" ht="20.25" customHeight="1" x14ac:dyDescent="0.25">
      <c r="A954" s="9" t="s">
        <v>1770</v>
      </c>
      <c r="B954" s="10">
        <v>45861</v>
      </c>
      <c r="C954" s="9" t="s">
        <v>71</v>
      </c>
      <c r="D954" s="9" t="s">
        <v>29</v>
      </c>
      <c r="E954" s="11" t="s">
        <v>37</v>
      </c>
      <c r="F954" s="11" t="s">
        <v>38</v>
      </c>
      <c r="G954" s="3">
        <v>120</v>
      </c>
      <c r="H954" s="3">
        <v>70</v>
      </c>
      <c r="I954" s="12">
        <v>1</v>
      </c>
      <c r="J954" s="9" t="s">
        <v>1771</v>
      </c>
      <c r="K954" s="9" t="s">
        <v>33</v>
      </c>
      <c r="L954" s="13">
        <v>1</v>
      </c>
      <c r="M954" s="9" t="s">
        <v>34</v>
      </c>
    </row>
    <row r="955" spans="1:13" ht="20.25" customHeight="1" x14ac:dyDescent="0.25">
      <c r="A955" s="9" t="s">
        <v>1772</v>
      </c>
      <c r="B955" s="10">
        <v>45861</v>
      </c>
      <c r="C955" s="9" t="s">
        <v>28</v>
      </c>
      <c r="D955" s="9" t="s">
        <v>29</v>
      </c>
      <c r="E955" s="11" t="s">
        <v>30</v>
      </c>
      <c r="F955" s="11" t="s">
        <v>31</v>
      </c>
      <c r="G955" s="3">
        <v>650</v>
      </c>
      <c r="H955" s="3">
        <v>450</v>
      </c>
      <c r="I955" s="12">
        <v>1</v>
      </c>
      <c r="J955" s="9" t="s">
        <v>1773</v>
      </c>
      <c r="K955" s="9" t="s">
        <v>49</v>
      </c>
      <c r="L955" s="13">
        <v>0</v>
      </c>
      <c r="M955" s="9" t="s">
        <v>34</v>
      </c>
    </row>
    <row r="956" spans="1:13" ht="20.25" customHeight="1" x14ac:dyDescent="0.25">
      <c r="A956" s="9" t="s">
        <v>1774</v>
      </c>
      <c r="B956" s="10">
        <v>45861</v>
      </c>
      <c r="C956" s="9" t="s">
        <v>41</v>
      </c>
      <c r="D956" s="9" t="s">
        <v>51</v>
      </c>
      <c r="E956" s="11" t="s">
        <v>37</v>
      </c>
      <c r="F956" s="11" t="s">
        <v>38</v>
      </c>
      <c r="G956" s="3">
        <v>120</v>
      </c>
      <c r="H956" s="3">
        <v>70</v>
      </c>
      <c r="I956" s="12">
        <v>1</v>
      </c>
      <c r="J956" s="9" t="s">
        <v>1775</v>
      </c>
      <c r="K956" s="9" t="s">
        <v>33</v>
      </c>
      <c r="L956" s="13">
        <v>1</v>
      </c>
      <c r="M956" s="9" t="s">
        <v>34</v>
      </c>
    </row>
    <row r="957" spans="1:13" ht="20.25" customHeight="1" x14ac:dyDescent="0.25">
      <c r="A957" s="9" t="s">
        <v>1776</v>
      </c>
      <c r="B957" s="10">
        <v>45861</v>
      </c>
      <c r="C957" s="9" t="s">
        <v>71</v>
      </c>
      <c r="D957" s="9" t="s">
        <v>29</v>
      </c>
      <c r="E957" s="11" t="s">
        <v>30</v>
      </c>
      <c r="F957" s="11" t="s">
        <v>63</v>
      </c>
      <c r="G957" s="3">
        <v>1200</v>
      </c>
      <c r="H957" s="3">
        <v>850</v>
      </c>
      <c r="I957" s="12">
        <v>1</v>
      </c>
      <c r="J957" s="9" t="s">
        <v>1777</v>
      </c>
      <c r="K957" s="9" t="s">
        <v>49</v>
      </c>
      <c r="L957" s="13">
        <v>0</v>
      </c>
      <c r="M957" s="9" t="s">
        <v>34</v>
      </c>
    </row>
    <row r="958" spans="1:13" ht="20.25" customHeight="1" x14ac:dyDescent="0.25">
      <c r="A958" s="9" t="s">
        <v>1778</v>
      </c>
      <c r="B958" s="10">
        <v>45861</v>
      </c>
      <c r="C958" s="9" t="s">
        <v>41</v>
      </c>
      <c r="D958" s="9" t="s">
        <v>29</v>
      </c>
      <c r="E958" s="11" t="s">
        <v>43</v>
      </c>
      <c r="F958" s="11" t="s">
        <v>90</v>
      </c>
      <c r="G958" s="3">
        <v>300</v>
      </c>
      <c r="H958" s="3">
        <v>180</v>
      </c>
      <c r="I958" s="12">
        <v>2</v>
      </c>
      <c r="J958" s="9" t="s">
        <v>1779</v>
      </c>
      <c r="K958" s="9" t="s">
        <v>33</v>
      </c>
      <c r="L958" s="13">
        <v>1</v>
      </c>
      <c r="M958" s="9" t="s">
        <v>34</v>
      </c>
    </row>
    <row r="959" spans="1:13" ht="20.25" customHeight="1" x14ac:dyDescent="0.25">
      <c r="A959" s="9" t="s">
        <v>1780</v>
      </c>
      <c r="B959" s="10">
        <v>45862</v>
      </c>
      <c r="C959" s="9" t="s">
        <v>28</v>
      </c>
      <c r="D959" s="9" t="s">
        <v>29</v>
      </c>
      <c r="E959" s="11" t="s">
        <v>43</v>
      </c>
      <c r="F959" s="11" t="s">
        <v>47</v>
      </c>
      <c r="G959" s="3">
        <v>110</v>
      </c>
      <c r="H959" s="3">
        <v>65</v>
      </c>
      <c r="I959" s="12">
        <v>1</v>
      </c>
      <c r="J959" s="9" t="s">
        <v>577</v>
      </c>
      <c r="K959" s="9" t="s">
        <v>49</v>
      </c>
      <c r="L959" s="13">
        <v>0</v>
      </c>
      <c r="M959" s="9" t="s">
        <v>34</v>
      </c>
    </row>
    <row r="960" spans="1:13" ht="20.25" customHeight="1" x14ac:dyDescent="0.25">
      <c r="A960" s="9" t="s">
        <v>1781</v>
      </c>
      <c r="B960" s="10">
        <v>45862</v>
      </c>
      <c r="C960" s="9" t="s">
        <v>28</v>
      </c>
      <c r="D960" s="9" t="s">
        <v>29</v>
      </c>
      <c r="E960" s="11" t="s">
        <v>58</v>
      </c>
      <c r="F960" s="11" t="s">
        <v>87</v>
      </c>
      <c r="G960" s="3">
        <v>360</v>
      </c>
      <c r="H960" s="3">
        <v>220</v>
      </c>
      <c r="I960" s="12">
        <v>2</v>
      </c>
      <c r="J960" s="9" t="s">
        <v>1782</v>
      </c>
      <c r="K960" s="9" t="s">
        <v>49</v>
      </c>
      <c r="L960" s="13">
        <v>0</v>
      </c>
      <c r="M960" s="9" t="s">
        <v>34</v>
      </c>
    </row>
    <row r="961" spans="1:13" ht="20.25" customHeight="1" x14ac:dyDescent="0.25">
      <c r="A961" s="9" t="s">
        <v>1783</v>
      </c>
      <c r="B961" s="10">
        <v>45862</v>
      </c>
      <c r="C961" s="9" t="s">
        <v>54</v>
      </c>
      <c r="D961" s="9" t="s">
        <v>42</v>
      </c>
      <c r="E961" s="11" t="s">
        <v>58</v>
      </c>
      <c r="F961" s="11" t="s">
        <v>87</v>
      </c>
      <c r="G961" s="3">
        <v>180</v>
      </c>
      <c r="H961" s="3">
        <v>110</v>
      </c>
      <c r="I961" s="12">
        <v>1</v>
      </c>
      <c r="J961" s="9" t="s">
        <v>1784</v>
      </c>
      <c r="K961" s="9" t="s">
        <v>33</v>
      </c>
      <c r="L961" s="13">
        <v>1</v>
      </c>
      <c r="M961" s="9" t="s">
        <v>34</v>
      </c>
    </row>
    <row r="962" spans="1:13" ht="20.25" customHeight="1" x14ac:dyDescent="0.25">
      <c r="A962" s="9" t="s">
        <v>1785</v>
      </c>
      <c r="B962" s="10">
        <v>45863</v>
      </c>
      <c r="C962" s="9" t="s">
        <v>41</v>
      </c>
      <c r="D962" s="9" t="s">
        <v>42</v>
      </c>
      <c r="E962" s="11" t="s">
        <v>30</v>
      </c>
      <c r="F962" s="11" t="s">
        <v>31</v>
      </c>
      <c r="G962" s="3">
        <v>2600</v>
      </c>
      <c r="H962" s="3">
        <v>1800</v>
      </c>
      <c r="I962" s="12">
        <v>4</v>
      </c>
      <c r="J962" s="9" t="s">
        <v>992</v>
      </c>
      <c r="K962" s="9" t="s">
        <v>49</v>
      </c>
      <c r="L962" s="13">
        <v>0</v>
      </c>
      <c r="M962" s="9" t="s">
        <v>34</v>
      </c>
    </row>
    <row r="963" spans="1:13" ht="20.25" customHeight="1" x14ac:dyDescent="0.25">
      <c r="A963" s="9" t="s">
        <v>1786</v>
      </c>
      <c r="B963" s="10">
        <v>45863</v>
      </c>
      <c r="C963" s="9" t="s">
        <v>62</v>
      </c>
      <c r="D963" s="9" t="s">
        <v>29</v>
      </c>
      <c r="E963" s="11" t="s">
        <v>30</v>
      </c>
      <c r="F963" s="11" t="s">
        <v>31</v>
      </c>
      <c r="G963" s="3">
        <v>650</v>
      </c>
      <c r="H963" s="3">
        <v>450</v>
      </c>
      <c r="I963" s="12">
        <v>1</v>
      </c>
      <c r="J963" s="9" t="s">
        <v>1787</v>
      </c>
      <c r="K963" s="9" t="s">
        <v>49</v>
      </c>
      <c r="L963" s="13">
        <v>0</v>
      </c>
      <c r="M963" s="9" t="s">
        <v>34</v>
      </c>
    </row>
    <row r="964" spans="1:13" ht="20.25" customHeight="1" x14ac:dyDescent="0.25">
      <c r="A964" s="9" t="s">
        <v>1788</v>
      </c>
      <c r="B964" s="10">
        <v>45863</v>
      </c>
      <c r="C964" s="9" t="s">
        <v>41</v>
      </c>
      <c r="D964" s="9" t="s">
        <v>51</v>
      </c>
      <c r="E964" s="11" t="s">
        <v>30</v>
      </c>
      <c r="F964" s="11" t="s">
        <v>63</v>
      </c>
      <c r="G964" s="3">
        <v>3600</v>
      </c>
      <c r="H964" s="3">
        <v>2550</v>
      </c>
      <c r="I964" s="12">
        <v>3</v>
      </c>
      <c r="J964" s="9" t="s">
        <v>1789</v>
      </c>
      <c r="K964" s="9" t="s">
        <v>49</v>
      </c>
      <c r="L964" s="13">
        <v>0</v>
      </c>
      <c r="M964" s="9" t="s">
        <v>34</v>
      </c>
    </row>
    <row r="965" spans="1:13" ht="20.25" customHeight="1" x14ac:dyDescent="0.25">
      <c r="A965" s="9" t="s">
        <v>1790</v>
      </c>
      <c r="B965" s="10">
        <v>45863</v>
      </c>
      <c r="C965" s="9" t="s">
        <v>71</v>
      </c>
      <c r="D965" s="9" t="s">
        <v>42</v>
      </c>
      <c r="E965" s="11" t="s">
        <v>37</v>
      </c>
      <c r="F965" s="11" t="s">
        <v>72</v>
      </c>
      <c r="G965" s="3">
        <v>440</v>
      </c>
      <c r="H965" s="3">
        <v>260</v>
      </c>
      <c r="I965" s="12">
        <v>2</v>
      </c>
      <c r="J965" s="9" t="s">
        <v>1791</v>
      </c>
      <c r="K965" s="9" t="s">
        <v>33</v>
      </c>
      <c r="L965" s="13">
        <v>1</v>
      </c>
      <c r="M965" s="9" t="s">
        <v>34</v>
      </c>
    </row>
    <row r="966" spans="1:13" ht="20.25" customHeight="1" x14ac:dyDescent="0.25">
      <c r="A966" s="9" t="s">
        <v>1792</v>
      </c>
      <c r="B966" s="10">
        <v>45864</v>
      </c>
      <c r="C966" s="9" t="s">
        <v>41</v>
      </c>
      <c r="D966" s="9" t="s">
        <v>29</v>
      </c>
      <c r="E966" s="11" t="s">
        <v>58</v>
      </c>
      <c r="F966" s="11" t="s">
        <v>68</v>
      </c>
      <c r="G966" s="3">
        <v>1400</v>
      </c>
      <c r="H966" s="3">
        <v>880</v>
      </c>
      <c r="I966" s="12">
        <v>4</v>
      </c>
      <c r="J966" s="9" t="s">
        <v>1521</v>
      </c>
      <c r="K966" s="9" t="s">
        <v>49</v>
      </c>
      <c r="L966" s="13">
        <v>0</v>
      </c>
      <c r="M966" s="9" t="s">
        <v>34</v>
      </c>
    </row>
    <row r="967" spans="1:13" ht="20.25" customHeight="1" x14ac:dyDescent="0.25">
      <c r="A967" s="9" t="s">
        <v>1793</v>
      </c>
      <c r="B967" s="10">
        <v>45864</v>
      </c>
      <c r="C967" s="9" t="s">
        <v>54</v>
      </c>
      <c r="D967" s="9" t="s">
        <v>42</v>
      </c>
      <c r="E967" s="11" t="s">
        <v>43</v>
      </c>
      <c r="F967" s="11" t="s">
        <v>44</v>
      </c>
      <c r="G967" s="3">
        <v>45</v>
      </c>
      <c r="H967" s="3">
        <v>20</v>
      </c>
      <c r="I967" s="12">
        <v>1</v>
      </c>
      <c r="J967" s="9" t="s">
        <v>1794</v>
      </c>
      <c r="K967" s="9" t="s">
        <v>49</v>
      </c>
      <c r="L967" s="13">
        <v>0</v>
      </c>
      <c r="M967" s="9" t="s">
        <v>34</v>
      </c>
    </row>
    <row r="968" spans="1:13" ht="20.25" customHeight="1" x14ac:dyDescent="0.25">
      <c r="A968" s="9" t="s">
        <v>1795</v>
      </c>
      <c r="B968" s="10">
        <v>45864</v>
      </c>
      <c r="C968" s="9" t="s">
        <v>71</v>
      </c>
      <c r="D968" s="9" t="s">
        <v>42</v>
      </c>
      <c r="E968" s="11" t="s">
        <v>58</v>
      </c>
      <c r="F968" s="11" t="s">
        <v>68</v>
      </c>
      <c r="G968" s="3">
        <v>700</v>
      </c>
      <c r="H968" s="3">
        <v>440</v>
      </c>
      <c r="I968" s="12">
        <v>2</v>
      </c>
      <c r="J968" s="9" t="s">
        <v>1796</v>
      </c>
      <c r="K968" s="9" t="s">
        <v>49</v>
      </c>
      <c r="L968" s="13">
        <v>0</v>
      </c>
      <c r="M968" s="9" t="s">
        <v>34</v>
      </c>
    </row>
    <row r="969" spans="1:13" ht="20.25" customHeight="1" x14ac:dyDescent="0.25">
      <c r="A969" s="9" t="s">
        <v>1797</v>
      </c>
      <c r="B969" s="10">
        <v>45865</v>
      </c>
      <c r="C969" s="9" t="s">
        <v>71</v>
      </c>
      <c r="D969" s="9" t="s">
        <v>29</v>
      </c>
      <c r="E969" s="11" t="s">
        <v>37</v>
      </c>
      <c r="F969" s="11" t="s">
        <v>38</v>
      </c>
      <c r="G969" s="3">
        <v>120</v>
      </c>
      <c r="H969" s="3">
        <v>70</v>
      </c>
      <c r="I969" s="12">
        <v>1</v>
      </c>
      <c r="J969" s="9" t="s">
        <v>455</v>
      </c>
      <c r="K969" s="9" t="s">
        <v>49</v>
      </c>
      <c r="L969" s="13">
        <v>0</v>
      </c>
      <c r="M969" s="9" t="s">
        <v>34</v>
      </c>
    </row>
    <row r="970" spans="1:13" ht="20.25" customHeight="1" x14ac:dyDescent="0.25">
      <c r="A970" s="9" t="s">
        <v>1798</v>
      </c>
      <c r="B970" s="10">
        <v>45865</v>
      </c>
      <c r="C970" s="9" t="s">
        <v>28</v>
      </c>
      <c r="D970" s="9" t="s">
        <v>29</v>
      </c>
      <c r="E970" s="11" t="s">
        <v>58</v>
      </c>
      <c r="F970" s="11" t="s">
        <v>87</v>
      </c>
      <c r="G970" s="3">
        <v>180</v>
      </c>
      <c r="H970" s="3">
        <v>110</v>
      </c>
      <c r="I970" s="12">
        <v>1</v>
      </c>
      <c r="J970" s="9" t="s">
        <v>1799</v>
      </c>
      <c r="K970" s="9" t="s">
        <v>49</v>
      </c>
      <c r="L970" s="13">
        <v>0</v>
      </c>
      <c r="M970" s="9" t="s">
        <v>34</v>
      </c>
    </row>
    <row r="971" spans="1:13" ht="20.25" customHeight="1" x14ac:dyDescent="0.25">
      <c r="A971" s="9" t="s">
        <v>1800</v>
      </c>
      <c r="B971" s="10">
        <v>45866</v>
      </c>
      <c r="C971" s="9" t="s">
        <v>36</v>
      </c>
      <c r="D971" s="9" t="s">
        <v>42</v>
      </c>
      <c r="E971" s="11" t="s">
        <v>58</v>
      </c>
      <c r="F971" s="11" t="s">
        <v>68</v>
      </c>
      <c r="G971" s="3">
        <v>350</v>
      </c>
      <c r="H971" s="3">
        <v>220</v>
      </c>
      <c r="I971" s="12">
        <v>1</v>
      </c>
      <c r="J971" s="9" t="s">
        <v>1801</v>
      </c>
      <c r="K971" s="9" t="s">
        <v>33</v>
      </c>
      <c r="L971" s="13">
        <v>1</v>
      </c>
      <c r="M971" s="9" t="s">
        <v>34</v>
      </c>
    </row>
    <row r="972" spans="1:13" ht="20.25" customHeight="1" x14ac:dyDescent="0.25">
      <c r="A972" s="9" t="s">
        <v>1802</v>
      </c>
      <c r="B972" s="10">
        <v>45866</v>
      </c>
      <c r="C972" s="9" t="s">
        <v>41</v>
      </c>
      <c r="D972" s="9" t="s">
        <v>51</v>
      </c>
      <c r="E972" s="11" t="s">
        <v>30</v>
      </c>
      <c r="F972" s="11" t="s">
        <v>31</v>
      </c>
      <c r="G972" s="3">
        <v>650</v>
      </c>
      <c r="H972" s="3">
        <v>450</v>
      </c>
      <c r="I972" s="12">
        <v>1</v>
      </c>
      <c r="J972" s="9" t="s">
        <v>869</v>
      </c>
      <c r="K972" s="9" t="s">
        <v>33</v>
      </c>
      <c r="L972" s="13">
        <v>1</v>
      </c>
      <c r="M972" s="9" t="s">
        <v>34</v>
      </c>
    </row>
    <row r="973" spans="1:13" ht="20.25" customHeight="1" x14ac:dyDescent="0.25">
      <c r="A973" s="9" t="s">
        <v>1803</v>
      </c>
      <c r="B973" s="10">
        <v>45866</v>
      </c>
      <c r="C973" s="9" t="s">
        <v>28</v>
      </c>
      <c r="D973" s="9" t="s">
        <v>29</v>
      </c>
      <c r="E973" s="11" t="s">
        <v>58</v>
      </c>
      <c r="F973" s="11" t="s">
        <v>68</v>
      </c>
      <c r="G973" s="3">
        <v>1750</v>
      </c>
      <c r="H973" s="3">
        <v>1100</v>
      </c>
      <c r="I973" s="12">
        <v>5</v>
      </c>
      <c r="J973" s="9" t="s">
        <v>1804</v>
      </c>
      <c r="K973" s="9" t="s">
        <v>49</v>
      </c>
      <c r="L973" s="13">
        <v>0</v>
      </c>
      <c r="M973" s="9" t="s">
        <v>34</v>
      </c>
    </row>
    <row r="974" spans="1:13" ht="20.25" customHeight="1" x14ac:dyDescent="0.25">
      <c r="A974" s="9" t="s">
        <v>1805</v>
      </c>
      <c r="B974" s="10">
        <v>45866</v>
      </c>
      <c r="C974" s="9" t="s">
        <v>28</v>
      </c>
      <c r="D974" s="9" t="s">
        <v>29</v>
      </c>
      <c r="E974" s="11" t="s">
        <v>58</v>
      </c>
      <c r="F974" s="11" t="s">
        <v>87</v>
      </c>
      <c r="G974" s="3">
        <v>180</v>
      </c>
      <c r="H974" s="3">
        <v>110</v>
      </c>
      <c r="I974" s="12">
        <v>1</v>
      </c>
      <c r="J974" s="9" t="s">
        <v>508</v>
      </c>
      <c r="K974" s="9" t="s">
        <v>49</v>
      </c>
      <c r="L974" s="13">
        <v>0</v>
      </c>
      <c r="M974" s="9" t="s">
        <v>34</v>
      </c>
    </row>
    <row r="975" spans="1:13" ht="20.25" customHeight="1" x14ac:dyDescent="0.25">
      <c r="A975" s="9" t="s">
        <v>1806</v>
      </c>
      <c r="B975" s="10">
        <v>45868</v>
      </c>
      <c r="C975" s="9" t="s">
        <v>36</v>
      </c>
      <c r="D975" s="9" t="s">
        <v>29</v>
      </c>
      <c r="E975" s="11" t="s">
        <v>37</v>
      </c>
      <c r="F975" s="11" t="s">
        <v>72</v>
      </c>
      <c r="G975" s="3">
        <v>220</v>
      </c>
      <c r="H975" s="3">
        <v>130</v>
      </c>
      <c r="I975" s="12">
        <v>1</v>
      </c>
      <c r="J975" s="9" t="s">
        <v>1807</v>
      </c>
      <c r="K975" s="9" t="s">
        <v>33</v>
      </c>
      <c r="L975" s="13">
        <v>1</v>
      </c>
      <c r="M975" s="9" t="s">
        <v>34</v>
      </c>
    </row>
    <row r="976" spans="1:13" ht="20.25" customHeight="1" x14ac:dyDescent="0.25">
      <c r="A976" s="9" t="s">
        <v>1808</v>
      </c>
      <c r="B976" s="10">
        <v>45868</v>
      </c>
      <c r="C976" s="9" t="s">
        <v>28</v>
      </c>
      <c r="D976" s="9" t="s">
        <v>51</v>
      </c>
      <c r="E976" s="11" t="s">
        <v>43</v>
      </c>
      <c r="F976" s="11" t="s">
        <v>44</v>
      </c>
      <c r="G976" s="3">
        <v>90</v>
      </c>
      <c r="H976" s="3">
        <v>40</v>
      </c>
      <c r="I976" s="12">
        <v>2</v>
      </c>
      <c r="J976" s="9" t="s">
        <v>1420</v>
      </c>
      <c r="K976" s="9" t="s">
        <v>33</v>
      </c>
      <c r="L976" s="13">
        <v>1</v>
      </c>
      <c r="M976" s="9" t="s">
        <v>34</v>
      </c>
    </row>
    <row r="977" spans="1:13" ht="20.25" customHeight="1" x14ac:dyDescent="0.25">
      <c r="A977" s="9" t="s">
        <v>1809</v>
      </c>
      <c r="B977" s="10">
        <v>45868</v>
      </c>
      <c r="C977" s="9" t="s">
        <v>28</v>
      </c>
      <c r="D977" s="9" t="s">
        <v>51</v>
      </c>
      <c r="E977" s="11" t="s">
        <v>58</v>
      </c>
      <c r="F977" s="11" t="s">
        <v>68</v>
      </c>
      <c r="G977" s="3">
        <v>350</v>
      </c>
      <c r="H977" s="3">
        <v>220</v>
      </c>
      <c r="I977" s="12">
        <v>1</v>
      </c>
      <c r="J977" s="9" t="s">
        <v>1810</v>
      </c>
      <c r="K977" s="9" t="s">
        <v>49</v>
      </c>
      <c r="L977" s="13">
        <v>0</v>
      </c>
      <c r="M977" s="9" t="s">
        <v>34</v>
      </c>
    </row>
    <row r="978" spans="1:13" ht="20.25" customHeight="1" x14ac:dyDescent="0.25">
      <c r="A978" s="9" t="s">
        <v>1811</v>
      </c>
      <c r="B978" s="10">
        <v>45869</v>
      </c>
      <c r="C978" s="9" t="s">
        <v>36</v>
      </c>
      <c r="D978" s="9" t="s">
        <v>42</v>
      </c>
      <c r="E978" s="11" t="s">
        <v>30</v>
      </c>
      <c r="F978" s="11" t="s">
        <v>31</v>
      </c>
      <c r="G978" s="3">
        <v>1300</v>
      </c>
      <c r="H978" s="3">
        <v>900</v>
      </c>
      <c r="I978" s="12">
        <v>2</v>
      </c>
      <c r="J978" s="9" t="s">
        <v>1812</v>
      </c>
      <c r="K978" s="9" t="s">
        <v>33</v>
      </c>
      <c r="L978" s="13">
        <v>1</v>
      </c>
      <c r="M978" s="9" t="s">
        <v>34</v>
      </c>
    </row>
    <row r="979" spans="1:13" ht="20.25" customHeight="1" x14ac:dyDescent="0.25">
      <c r="A979" s="9" t="s">
        <v>1813</v>
      </c>
      <c r="B979" s="10">
        <v>45869</v>
      </c>
      <c r="C979" s="9" t="s">
        <v>62</v>
      </c>
      <c r="D979" s="9" t="s">
        <v>29</v>
      </c>
      <c r="E979" s="11" t="s">
        <v>58</v>
      </c>
      <c r="F979" s="11" t="s">
        <v>87</v>
      </c>
      <c r="G979" s="3">
        <v>180</v>
      </c>
      <c r="H979" s="3">
        <v>110</v>
      </c>
      <c r="I979" s="12">
        <v>1</v>
      </c>
      <c r="J979" s="9" t="s">
        <v>1814</v>
      </c>
      <c r="K979" s="9" t="s">
        <v>49</v>
      </c>
      <c r="L979" s="13">
        <v>0</v>
      </c>
      <c r="M979" s="9" t="s">
        <v>34</v>
      </c>
    </row>
    <row r="980" spans="1:13" ht="20.25" customHeight="1" x14ac:dyDescent="0.25">
      <c r="A980" s="9" t="s">
        <v>1815</v>
      </c>
      <c r="B980" s="10">
        <v>45869</v>
      </c>
      <c r="C980" s="9" t="s">
        <v>71</v>
      </c>
      <c r="D980" s="9" t="s">
        <v>51</v>
      </c>
      <c r="E980" s="11" t="s">
        <v>58</v>
      </c>
      <c r="F980" s="11" t="s">
        <v>87</v>
      </c>
      <c r="G980" s="3">
        <v>180</v>
      </c>
      <c r="H980" s="3">
        <v>110</v>
      </c>
      <c r="I980" s="12">
        <v>1</v>
      </c>
      <c r="J980" s="9" t="s">
        <v>1171</v>
      </c>
      <c r="K980" s="9" t="s">
        <v>49</v>
      </c>
      <c r="L980" s="13">
        <v>0</v>
      </c>
      <c r="M980" s="9" t="s">
        <v>34</v>
      </c>
    </row>
    <row r="981" spans="1:13" ht="20.25" customHeight="1" x14ac:dyDescent="0.25">
      <c r="A981" s="9" t="s">
        <v>1816</v>
      </c>
      <c r="B981" s="10">
        <v>45869</v>
      </c>
      <c r="C981" s="9" t="s">
        <v>28</v>
      </c>
      <c r="D981" s="9" t="s">
        <v>51</v>
      </c>
      <c r="E981" s="11" t="s">
        <v>30</v>
      </c>
      <c r="F981" s="11" t="s">
        <v>80</v>
      </c>
      <c r="G981" s="3">
        <v>850</v>
      </c>
      <c r="H981" s="3">
        <v>600</v>
      </c>
      <c r="I981" s="12">
        <v>1</v>
      </c>
      <c r="J981" s="9" t="s">
        <v>1341</v>
      </c>
      <c r="K981" s="9" t="s">
        <v>33</v>
      </c>
      <c r="L981" s="13">
        <v>1</v>
      </c>
      <c r="M981" s="9" t="s">
        <v>34</v>
      </c>
    </row>
    <row r="982" spans="1:13" ht="20.25" customHeight="1" x14ac:dyDescent="0.25">
      <c r="A982" s="9" t="s">
        <v>1817</v>
      </c>
      <c r="B982" s="10">
        <v>45870</v>
      </c>
      <c r="C982" s="9" t="s">
        <v>28</v>
      </c>
      <c r="D982" s="9" t="s">
        <v>29</v>
      </c>
      <c r="E982" s="11" t="s">
        <v>43</v>
      </c>
      <c r="F982" s="11" t="s">
        <v>47</v>
      </c>
      <c r="G982" s="3">
        <v>317.8</v>
      </c>
      <c r="H982" s="3">
        <v>187.79</v>
      </c>
      <c r="I982" s="12">
        <v>3</v>
      </c>
      <c r="J982" s="9" t="s">
        <v>1818</v>
      </c>
      <c r="K982" s="9" t="s">
        <v>49</v>
      </c>
      <c r="L982" s="13">
        <v>0</v>
      </c>
      <c r="M982" s="9" t="s">
        <v>34</v>
      </c>
    </row>
    <row r="983" spans="1:13" ht="20.25" customHeight="1" x14ac:dyDescent="0.25">
      <c r="A983" s="9" t="s">
        <v>1819</v>
      </c>
      <c r="B983" s="10">
        <v>45870</v>
      </c>
      <c r="C983" s="9" t="s">
        <v>41</v>
      </c>
      <c r="D983" s="9" t="s">
        <v>29</v>
      </c>
      <c r="E983" s="11" t="s">
        <v>43</v>
      </c>
      <c r="F983" s="11" t="s">
        <v>44</v>
      </c>
      <c r="G983" s="3">
        <v>86.67</v>
      </c>
      <c r="H983" s="3">
        <v>38.520000000000003</v>
      </c>
      <c r="I983" s="12">
        <v>2</v>
      </c>
      <c r="J983" s="9" t="s">
        <v>1820</v>
      </c>
      <c r="K983" s="9" t="s">
        <v>49</v>
      </c>
      <c r="L983" s="13">
        <v>0</v>
      </c>
      <c r="M983" s="9" t="s">
        <v>34</v>
      </c>
    </row>
    <row r="984" spans="1:13" ht="20.25" customHeight="1" x14ac:dyDescent="0.25">
      <c r="A984" s="9" t="s">
        <v>1821</v>
      </c>
      <c r="B984" s="10">
        <v>45870</v>
      </c>
      <c r="C984" s="9" t="s">
        <v>36</v>
      </c>
      <c r="D984" s="9" t="s">
        <v>42</v>
      </c>
      <c r="E984" s="11" t="s">
        <v>43</v>
      </c>
      <c r="F984" s="11" t="s">
        <v>44</v>
      </c>
      <c r="G984" s="3">
        <v>173.35</v>
      </c>
      <c r="H984" s="3">
        <v>77.040000000000006</v>
      </c>
      <c r="I984" s="12">
        <v>4</v>
      </c>
      <c r="J984" s="9" t="s">
        <v>1822</v>
      </c>
      <c r="K984" s="9" t="s">
        <v>49</v>
      </c>
      <c r="L984" s="13">
        <v>0</v>
      </c>
      <c r="M984" s="9" t="s">
        <v>34</v>
      </c>
    </row>
    <row r="985" spans="1:13" ht="20.25" customHeight="1" x14ac:dyDescent="0.25">
      <c r="A985" s="9" t="s">
        <v>1823</v>
      </c>
      <c r="B985" s="10">
        <v>45871</v>
      </c>
      <c r="C985" s="9" t="s">
        <v>54</v>
      </c>
      <c r="D985" s="9" t="s">
        <v>42</v>
      </c>
      <c r="E985" s="11" t="s">
        <v>30</v>
      </c>
      <c r="F985" s="11" t="s">
        <v>80</v>
      </c>
      <c r="G985" s="3">
        <v>818.59</v>
      </c>
      <c r="H985" s="3">
        <v>577.83000000000004</v>
      </c>
      <c r="I985" s="12">
        <v>1</v>
      </c>
      <c r="J985" s="9" t="s">
        <v>816</v>
      </c>
      <c r="K985" s="9" t="s">
        <v>33</v>
      </c>
      <c r="L985" s="13">
        <v>1</v>
      </c>
      <c r="M985" s="9" t="s">
        <v>34</v>
      </c>
    </row>
    <row r="986" spans="1:13" ht="20.25" customHeight="1" x14ac:dyDescent="0.25">
      <c r="A986" s="9" t="s">
        <v>1824</v>
      </c>
      <c r="B986" s="10">
        <v>45872</v>
      </c>
      <c r="C986" s="9" t="s">
        <v>41</v>
      </c>
      <c r="D986" s="9" t="s">
        <v>29</v>
      </c>
      <c r="E986" s="11" t="s">
        <v>43</v>
      </c>
      <c r="F986" s="11" t="s">
        <v>44</v>
      </c>
      <c r="G986" s="3">
        <v>43.34</v>
      </c>
      <c r="H986" s="3">
        <v>19.260000000000002</v>
      </c>
      <c r="I986" s="12">
        <v>1</v>
      </c>
      <c r="J986" s="9" t="s">
        <v>1825</v>
      </c>
      <c r="K986" s="9" t="s">
        <v>33</v>
      </c>
      <c r="L986" s="13">
        <v>1</v>
      </c>
      <c r="M986" s="9" t="s">
        <v>34</v>
      </c>
    </row>
    <row r="987" spans="1:13" ht="20.25" customHeight="1" x14ac:dyDescent="0.25">
      <c r="A987" s="9" t="s">
        <v>1826</v>
      </c>
      <c r="B987" s="10">
        <v>45872</v>
      </c>
      <c r="C987" s="9" t="s">
        <v>41</v>
      </c>
      <c r="D987" s="9" t="s">
        <v>51</v>
      </c>
      <c r="E987" s="11" t="s">
        <v>37</v>
      </c>
      <c r="F987" s="11" t="s">
        <v>38</v>
      </c>
      <c r="G987" s="3">
        <v>115.57</v>
      </c>
      <c r="H987" s="3">
        <v>67.41</v>
      </c>
      <c r="I987" s="12">
        <v>1</v>
      </c>
      <c r="J987" s="9" t="s">
        <v>1827</v>
      </c>
      <c r="K987" s="9" t="s">
        <v>49</v>
      </c>
      <c r="L987" s="13">
        <v>0</v>
      </c>
      <c r="M987" s="9" t="s">
        <v>34</v>
      </c>
    </row>
    <row r="988" spans="1:13" ht="20.25" customHeight="1" x14ac:dyDescent="0.25">
      <c r="A988" s="9" t="s">
        <v>1828</v>
      </c>
      <c r="B988" s="10">
        <v>45872</v>
      </c>
      <c r="C988" s="9" t="s">
        <v>28</v>
      </c>
      <c r="D988" s="9" t="s">
        <v>29</v>
      </c>
      <c r="E988" s="11" t="s">
        <v>58</v>
      </c>
      <c r="F988" s="11" t="s">
        <v>87</v>
      </c>
      <c r="G988" s="3">
        <v>173.35</v>
      </c>
      <c r="H988" s="3">
        <v>105.93</v>
      </c>
      <c r="I988" s="12">
        <v>1</v>
      </c>
      <c r="J988" s="9" t="s">
        <v>1829</v>
      </c>
      <c r="K988" s="9" t="s">
        <v>49</v>
      </c>
      <c r="L988" s="13">
        <v>0</v>
      </c>
      <c r="M988" s="9" t="s">
        <v>34</v>
      </c>
    </row>
    <row r="989" spans="1:13" ht="20.25" customHeight="1" x14ac:dyDescent="0.25">
      <c r="A989" s="9" t="s">
        <v>1830</v>
      </c>
      <c r="B989" s="10">
        <v>45873</v>
      </c>
      <c r="C989" s="9" t="s">
        <v>41</v>
      </c>
      <c r="D989" s="9" t="s">
        <v>51</v>
      </c>
      <c r="E989" s="11" t="s">
        <v>58</v>
      </c>
      <c r="F989" s="11" t="s">
        <v>87</v>
      </c>
      <c r="G989" s="3">
        <v>173.35</v>
      </c>
      <c r="H989" s="3">
        <v>105.93</v>
      </c>
      <c r="I989" s="12">
        <v>1</v>
      </c>
      <c r="J989" s="9" t="s">
        <v>994</v>
      </c>
      <c r="K989" s="9" t="s">
        <v>33</v>
      </c>
      <c r="L989" s="13">
        <v>1</v>
      </c>
      <c r="M989" s="9" t="s">
        <v>34</v>
      </c>
    </row>
    <row r="990" spans="1:13" ht="20.25" customHeight="1" x14ac:dyDescent="0.25">
      <c r="A990" s="9" t="s">
        <v>1831</v>
      </c>
      <c r="B990" s="10">
        <v>45874</v>
      </c>
      <c r="C990" s="9" t="s">
        <v>28</v>
      </c>
      <c r="D990" s="9" t="s">
        <v>51</v>
      </c>
      <c r="E990" s="11" t="s">
        <v>43</v>
      </c>
      <c r="F990" s="11" t="s">
        <v>47</v>
      </c>
      <c r="G990" s="3">
        <v>211.87</v>
      </c>
      <c r="H990" s="3">
        <v>125.2</v>
      </c>
      <c r="I990" s="12">
        <v>2</v>
      </c>
      <c r="J990" s="9" t="s">
        <v>1832</v>
      </c>
      <c r="K990" s="9" t="s">
        <v>33</v>
      </c>
      <c r="L990" s="13">
        <v>1</v>
      </c>
      <c r="M990" s="9" t="s">
        <v>34</v>
      </c>
    </row>
    <row r="991" spans="1:13" ht="20.25" customHeight="1" x14ac:dyDescent="0.25">
      <c r="A991" s="9" t="s">
        <v>1833</v>
      </c>
      <c r="B991" s="10">
        <v>45874</v>
      </c>
      <c r="C991" s="9" t="s">
        <v>62</v>
      </c>
      <c r="D991" s="9" t="s">
        <v>51</v>
      </c>
      <c r="E991" s="11" t="s">
        <v>58</v>
      </c>
      <c r="F991" s="11" t="s">
        <v>59</v>
      </c>
      <c r="G991" s="3">
        <v>144.46</v>
      </c>
      <c r="H991" s="3">
        <v>86.67</v>
      </c>
      <c r="I991" s="12">
        <v>1</v>
      </c>
      <c r="J991" s="9" t="s">
        <v>1534</v>
      </c>
      <c r="K991" s="9" t="s">
        <v>49</v>
      </c>
      <c r="L991" s="13">
        <v>0</v>
      </c>
      <c r="M991" s="9" t="s">
        <v>34</v>
      </c>
    </row>
    <row r="992" spans="1:13" ht="20.25" customHeight="1" x14ac:dyDescent="0.25">
      <c r="A992" s="9" t="s">
        <v>1834</v>
      </c>
      <c r="B992" s="10">
        <v>45874</v>
      </c>
      <c r="C992" s="9" t="s">
        <v>71</v>
      </c>
      <c r="D992" s="9" t="s">
        <v>42</v>
      </c>
      <c r="E992" s="11" t="s">
        <v>58</v>
      </c>
      <c r="F992" s="11" t="s">
        <v>87</v>
      </c>
      <c r="G992" s="3">
        <v>173.35</v>
      </c>
      <c r="H992" s="3">
        <v>105.93</v>
      </c>
      <c r="I992" s="12">
        <v>1</v>
      </c>
      <c r="J992" s="9" t="s">
        <v>1069</v>
      </c>
      <c r="K992" s="9" t="s">
        <v>49</v>
      </c>
      <c r="L992" s="13">
        <v>0</v>
      </c>
      <c r="M992" s="9" t="s">
        <v>34</v>
      </c>
    </row>
    <row r="993" spans="1:13" ht="20.25" customHeight="1" x14ac:dyDescent="0.25">
      <c r="A993" s="9" t="s">
        <v>1835</v>
      </c>
      <c r="B993" s="10">
        <v>45876</v>
      </c>
      <c r="C993" s="9" t="s">
        <v>36</v>
      </c>
      <c r="D993" s="9" t="s">
        <v>51</v>
      </c>
      <c r="E993" s="11" t="s">
        <v>58</v>
      </c>
      <c r="F993" s="11" t="s">
        <v>87</v>
      </c>
      <c r="G993" s="3">
        <v>520.04</v>
      </c>
      <c r="H993" s="3">
        <v>317.8</v>
      </c>
      <c r="I993" s="12">
        <v>3</v>
      </c>
      <c r="J993" s="9" t="s">
        <v>1836</v>
      </c>
      <c r="K993" s="9" t="s">
        <v>49</v>
      </c>
      <c r="L993" s="13">
        <v>0</v>
      </c>
      <c r="M993" s="9" t="s">
        <v>34</v>
      </c>
    </row>
    <row r="994" spans="1:13" ht="20.25" customHeight="1" x14ac:dyDescent="0.25">
      <c r="A994" s="9" t="s">
        <v>1837</v>
      </c>
      <c r="B994" s="10">
        <v>45876</v>
      </c>
      <c r="C994" s="9" t="s">
        <v>28</v>
      </c>
      <c r="D994" s="9" t="s">
        <v>29</v>
      </c>
      <c r="E994" s="11" t="s">
        <v>37</v>
      </c>
      <c r="F994" s="11" t="s">
        <v>38</v>
      </c>
      <c r="G994" s="3">
        <v>231.13</v>
      </c>
      <c r="H994" s="3">
        <v>134.83000000000001</v>
      </c>
      <c r="I994" s="12">
        <v>2</v>
      </c>
      <c r="J994" s="9" t="s">
        <v>1838</v>
      </c>
      <c r="K994" s="9" t="s">
        <v>33</v>
      </c>
      <c r="L994" s="13">
        <v>1</v>
      </c>
      <c r="M994" s="9" t="s">
        <v>34</v>
      </c>
    </row>
    <row r="995" spans="1:13" ht="20.25" customHeight="1" x14ac:dyDescent="0.25">
      <c r="A995" s="9" t="s">
        <v>1839</v>
      </c>
      <c r="B995" s="10">
        <v>45876</v>
      </c>
      <c r="C995" s="9" t="s">
        <v>28</v>
      </c>
      <c r="D995" s="9" t="s">
        <v>51</v>
      </c>
      <c r="E995" s="11" t="s">
        <v>30</v>
      </c>
      <c r="F995" s="11" t="s">
        <v>63</v>
      </c>
      <c r="G995" s="3">
        <v>1155.6500000000001</v>
      </c>
      <c r="H995" s="3">
        <v>818.59</v>
      </c>
      <c r="I995" s="12">
        <v>1</v>
      </c>
      <c r="J995" s="9" t="s">
        <v>1840</v>
      </c>
      <c r="K995" s="9" t="s">
        <v>33</v>
      </c>
      <c r="L995" s="13">
        <v>1</v>
      </c>
      <c r="M995" s="9" t="s">
        <v>34</v>
      </c>
    </row>
    <row r="996" spans="1:13" ht="20.25" customHeight="1" x14ac:dyDescent="0.25">
      <c r="A996" s="9" t="s">
        <v>1841</v>
      </c>
      <c r="B996" s="10">
        <v>45877</v>
      </c>
      <c r="C996" s="9" t="s">
        <v>41</v>
      </c>
      <c r="D996" s="9" t="s">
        <v>29</v>
      </c>
      <c r="E996" s="11" t="s">
        <v>43</v>
      </c>
      <c r="F996" s="11" t="s">
        <v>47</v>
      </c>
      <c r="G996" s="3">
        <v>105.93</v>
      </c>
      <c r="H996" s="3">
        <v>62.6</v>
      </c>
      <c r="I996" s="12">
        <v>1</v>
      </c>
      <c r="J996" s="9" t="s">
        <v>1842</v>
      </c>
      <c r="K996" s="9" t="s">
        <v>49</v>
      </c>
      <c r="L996" s="13">
        <v>0</v>
      </c>
      <c r="M996" s="9" t="s">
        <v>34</v>
      </c>
    </row>
    <row r="997" spans="1:13" ht="20.25" customHeight="1" x14ac:dyDescent="0.25">
      <c r="A997" s="9" t="s">
        <v>1843</v>
      </c>
      <c r="B997" s="10">
        <v>45877</v>
      </c>
      <c r="C997" s="9" t="s">
        <v>28</v>
      </c>
      <c r="D997" s="9" t="s">
        <v>29</v>
      </c>
      <c r="E997" s="11" t="s">
        <v>37</v>
      </c>
      <c r="F997" s="11" t="s">
        <v>72</v>
      </c>
      <c r="G997" s="3">
        <v>211.87</v>
      </c>
      <c r="H997" s="3">
        <v>125.2</v>
      </c>
      <c r="I997" s="12">
        <v>1</v>
      </c>
      <c r="J997" s="9" t="s">
        <v>1844</v>
      </c>
      <c r="K997" s="9" t="s">
        <v>49</v>
      </c>
      <c r="L997" s="13">
        <v>0</v>
      </c>
      <c r="M997" s="9" t="s">
        <v>34</v>
      </c>
    </row>
    <row r="998" spans="1:13" ht="20.25" customHeight="1" x14ac:dyDescent="0.25">
      <c r="A998" s="9" t="s">
        <v>1845</v>
      </c>
      <c r="B998" s="10">
        <v>45877</v>
      </c>
      <c r="C998" s="9" t="s">
        <v>71</v>
      </c>
      <c r="D998" s="9" t="s">
        <v>29</v>
      </c>
      <c r="E998" s="11" t="s">
        <v>37</v>
      </c>
      <c r="F998" s="11" t="s">
        <v>72</v>
      </c>
      <c r="G998" s="3">
        <v>211.87</v>
      </c>
      <c r="H998" s="3">
        <v>125.2</v>
      </c>
      <c r="I998" s="12">
        <v>1</v>
      </c>
      <c r="J998" s="9" t="s">
        <v>231</v>
      </c>
      <c r="K998" s="9" t="s">
        <v>33</v>
      </c>
      <c r="L998" s="13">
        <v>1</v>
      </c>
      <c r="M998" s="9" t="s">
        <v>34</v>
      </c>
    </row>
    <row r="999" spans="1:13" ht="20.25" customHeight="1" x14ac:dyDescent="0.25">
      <c r="A999" s="9" t="s">
        <v>1846</v>
      </c>
      <c r="B999" s="10">
        <v>45877</v>
      </c>
      <c r="C999" s="9" t="s">
        <v>28</v>
      </c>
      <c r="D999" s="9" t="s">
        <v>29</v>
      </c>
      <c r="E999" s="11" t="s">
        <v>30</v>
      </c>
      <c r="F999" s="11" t="s">
        <v>31</v>
      </c>
      <c r="G999" s="3">
        <v>1251.95</v>
      </c>
      <c r="H999" s="3">
        <v>866.74</v>
      </c>
      <c r="I999" s="12">
        <v>2</v>
      </c>
      <c r="J999" s="9" t="s">
        <v>1847</v>
      </c>
      <c r="K999" s="9" t="s">
        <v>33</v>
      </c>
      <c r="L999" s="13">
        <v>1</v>
      </c>
      <c r="M999" s="9" t="s">
        <v>34</v>
      </c>
    </row>
    <row r="1000" spans="1:13" ht="20.25" customHeight="1" x14ac:dyDescent="0.25">
      <c r="A1000" s="9" t="s">
        <v>1848</v>
      </c>
      <c r="B1000" s="10">
        <v>45878</v>
      </c>
      <c r="C1000" s="9" t="s">
        <v>41</v>
      </c>
      <c r="D1000" s="9" t="s">
        <v>51</v>
      </c>
      <c r="E1000" s="11" t="s">
        <v>37</v>
      </c>
      <c r="F1000" s="11" t="s">
        <v>38</v>
      </c>
      <c r="G1000" s="3">
        <v>115.57</v>
      </c>
      <c r="H1000" s="3">
        <v>67.41</v>
      </c>
      <c r="I1000" s="12">
        <v>1</v>
      </c>
      <c r="J1000" s="9" t="s">
        <v>1849</v>
      </c>
      <c r="K1000" s="9" t="s">
        <v>49</v>
      </c>
      <c r="L1000" s="13">
        <v>0</v>
      </c>
      <c r="M1000" s="9" t="s">
        <v>34</v>
      </c>
    </row>
    <row r="1001" spans="1:13" ht="20.25" customHeight="1" x14ac:dyDescent="0.25">
      <c r="A1001" s="9" t="s">
        <v>1850</v>
      </c>
      <c r="B1001" s="10">
        <v>45879</v>
      </c>
      <c r="C1001" s="9" t="s">
        <v>54</v>
      </c>
      <c r="D1001" s="9" t="s">
        <v>29</v>
      </c>
      <c r="E1001" s="11" t="s">
        <v>30</v>
      </c>
      <c r="F1001" s="11" t="s">
        <v>63</v>
      </c>
      <c r="G1001" s="3">
        <v>3466.95</v>
      </c>
      <c r="H1001" s="3">
        <v>2455.7600000000002</v>
      </c>
      <c r="I1001" s="12">
        <v>3</v>
      </c>
      <c r="J1001" s="9" t="s">
        <v>1851</v>
      </c>
      <c r="K1001" s="9" t="s">
        <v>33</v>
      </c>
      <c r="L1001" s="13">
        <v>1</v>
      </c>
      <c r="M1001" s="9" t="s">
        <v>34</v>
      </c>
    </row>
    <row r="1002" spans="1:13" ht="20.25" customHeight="1" x14ac:dyDescent="0.25">
      <c r="A1002" s="9" t="s">
        <v>1852</v>
      </c>
      <c r="B1002" s="10">
        <v>45880</v>
      </c>
      <c r="C1002" s="9" t="s">
        <v>41</v>
      </c>
      <c r="D1002" s="9" t="s">
        <v>51</v>
      </c>
      <c r="E1002" s="11" t="s">
        <v>30</v>
      </c>
      <c r="F1002" s="11" t="s">
        <v>31</v>
      </c>
      <c r="G1002" s="3">
        <v>1251.95</v>
      </c>
      <c r="H1002" s="3">
        <v>866.74</v>
      </c>
      <c r="I1002" s="12">
        <v>2</v>
      </c>
      <c r="J1002" s="9" t="s">
        <v>829</v>
      </c>
      <c r="K1002" s="9" t="s">
        <v>49</v>
      </c>
      <c r="L1002" s="13">
        <v>0</v>
      </c>
      <c r="M1002" s="9" t="s">
        <v>34</v>
      </c>
    </row>
    <row r="1003" spans="1:13" ht="20.25" customHeight="1" x14ac:dyDescent="0.25">
      <c r="A1003" s="9" t="s">
        <v>1853</v>
      </c>
      <c r="B1003" s="10">
        <v>45880</v>
      </c>
      <c r="C1003" s="9" t="s">
        <v>41</v>
      </c>
      <c r="D1003" s="9" t="s">
        <v>51</v>
      </c>
      <c r="E1003" s="11" t="s">
        <v>58</v>
      </c>
      <c r="F1003" s="11" t="s">
        <v>87</v>
      </c>
      <c r="G1003" s="3">
        <v>346.7</v>
      </c>
      <c r="H1003" s="3">
        <v>211.87</v>
      </c>
      <c r="I1003" s="12">
        <v>2</v>
      </c>
      <c r="J1003" s="9" t="s">
        <v>1854</v>
      </c>
      <c r="K1003" s="9" t="s">
        <v>49</v>
      </c>
      <c r="L1003" s="13">
        <v>0</v>
      </c>
      <c r="M1003" s="9" t="s">
        <v>34</v>
      </c>
    </row>
    <row r="1004" spans="1:13" ht="20.25" customHeight="1" x14ac:dyDescent="0.25">
      <c r="A1004" s="9" t="s">
        <v>1855</v>
      </c>
      <c r="B1004" s="10">
        <v>45880</v>
      </c>
      <c r="C1004" s="9" t="s">
        <v>28</v>
      </c>
      <c r="D1004" s="9" t="s">
        <v>29</v>
      </c>
      <c r="E1004" s="11" t="s">
        <v>58</v>
      </c>
      <c r="F1004" s="11" t="s">
        <v>59</v>
      </c>
      <c r="G1004" s="3">
        <v>144.46</v>
      </c>
      <c r="H1004" s="3">
        <v>86.67</v>
      </c>
      <c r="I1004" s="12">
        <v>1</v>
      </c>
      <c r="J1004" s="9" t="s">
        <v>1856</v>
      </c>
      <c r="K1004" s="9" t="s">
        <v>49</v>
      </c>
      <c r="L1004" s="13">
        <v>0</v>
      </c>
      <c r="M1004" s="9" t="s">
        <v>34</v>
      </c>
    </row>
    <row r="1005" spans="1:13" ht="20.25" customHeight="1" x14ac:dyDescent="0.25">
      <c r="A1005" s="9" t="s">
        <v>1857</v>
      </c>
      <c r="B1005" s="10">
        <v>45881</v>
      </c>
      <c r="C1005" s="9" t="s">
        <v>28</v>
      </c>
      <c r="D1005" s="9" t="s">
        <v>42</v>
      </c>
      <c r="E1005" s="11" t="s">
        <v>37</v>
      </c>
      <c r="F1005" s="11" t="s">
        <v>55</v>
      </c>
      <c r="G1005" s="3">
        <v>86.67</v>
      </c>
      <c r="H1005" s="3">
        <v>52.97</v>
      </c>
      <c r="I1005" s="12">
        <v>1</v>
      </c>
      <c r="J1005" s="9" t="s">
        <v>1858</v>
      </c>
      <c r="K1005" s="9" t="s">
        <v>49</v>
      </c>
      <c r="L1005" s="13">
        <v>0</v>
      </c>
      <c r="M1005" s="9" t="s">
        <v>34</v>
      </c>
    </row>
    <row r="1006" spans="1:13" ht="20.25" customHeight="1" x14ac:dyDescent="0.25">
      <c r="A1006" s="9" t="s">
        <v>1859</v>
      </c>
      <c r="B1006" s="10">
        <v>45881</v>
      </c>
      <c r="C1006" s="9" t="s">
        <v>41</v>
      </c>
      <c r="D1006" s="9" t="s">
        <v>29</v>
      </c>
      <c r="E1006" s="11" t="s">
        <v>30</v>
      </c>
      <c r="F1006" s="11" t="s">
        <v>63</v>
      </c>
      <c r="G1006" s="3">
        <v>2311.3000000000002</v>
      </c>
      <c r="H1006" s="3">
        <v>1637.17</v>
      </c>
      <c r="I1006" s="12">
        <v>2</v>
      </c>
      <c r="J1006" s="9" t="s">
        <v>1598</v>
      </c>
      <c r="K1006" s="9" t="s">
        <v>49</v>
      </c>
      <c r="L1006" s="13">
        <v>0</v>
      </c>
      <c r="M1006" s="9" t="s">
        <v>34</v>
      </c>
    </row>
    <row r="1007" spans="1:13" ht="20.25" customHeight="1" x14ac:dyDescent="0.25">
      <c r="A1007" s="9" t="s">
        <v>1860</v>
      </c>
      <c r="B1007" s="10">
        <v>45881</v>
      </c>
      <c r="C1007" s="9" t="s">
        <v>36</v>
      </c>
      <c r="D1007" s="9" t="s">
        <v>29</v>
      </c>
      <c r="E1007" s="11" t="s">
        <v>58</v>
      </c>
      <c r="F1007" s="11" t="s">
        <v>59</v>
      </c>
      <c r="G1007" s="3">
        <v>144.46</v>
      </c>
      <c r="H1007" s="3">
        <v>86.67</v>
      </c>
      <c r="I1007" s="12">
        <v>1</v>
      </c>
      <c r="J1007" s="9" t="s">
        <v>1861</v>
      </c>
      <c r="K1007" s="9" t="s">
        <v>49</v>
      </c>
      <c r="L1007" s="13">
        <v>0</v>
      </c>
      <c r="M1007" s="9" t="s">
        <v>34</v>
      </c>
    </row>
    <row r="1008" spans="1:13" ht="20.25" customHeight="1" x14ac:dyDescent="0.25">
      <c r="A1008" s="9" t="s">
        <v>1862</v>
      </c>
      <c r="B1008" s="10">
        <v>45881</v>
      </c>
      <c r="C1008" s="9" t="s">
        <v>36</v>
      </c>
      <c r="D1008" s="9" t="s">
        <v>51</v>
      </c>
      <c r="E1008" s="11" t="s">
        <v>30</v>
      </c>
      <c r="F1008" s="11" t="s">
        <v>80</v>
      </c>
      <c r="G1008" s="3">
        <v>818.59</v>
      </c>
      <c r="H1008" s="3">
        <v>577.83000000000004</v>
      </c>
      <c r="I1008" s="12">
        <v>1</v>
      </c>
      <c r="J1008" s="9" t="s">
        <v>1863</v>
      </c>
      <c r="K1008" s="9" t="s">
        <v>49</v>
      </c>
      <c r="L1008" s="13">
        <v>0</v>
      </c>
      <c r="M1008" s="9" t="s">
        <v>34</v>
      </c>
    </row>
    <row r="1009" spans="1:13" ht="20.25" customHeight="1" x14ac:dyDescent="0.25">
      <c r="A1009" s="9" t="s">
        <v>1864</v>
      </c>
      <c r="B1009" s="10">
        <v>45881</v>
      </c>
      <c r="C1009" s="9" t="s">
        <v>28</v>
      </c>
      <c r="D1009" s="9" t="s">
        <v>29</v>
      </c>
      <c r="E1009" s="11" t="s">
        <v>43</v>
      </c>
      <c r="F1009" s="11" t="s">
        <v>47</v>
      </c>
      <c r="G1009" s="3">
        <v>105.93</v>
      </c>
      <c r="H1009" s="3">
        <v>62.6</v>
      </c>
      <c r="I1009" s="12">
        <v>1</v>
      </c>
      <c r="J1009" s="9" t="s">
        <v>1865</v>
      </c>
      <c r="K1009" s="9" t="s">
        <v>49</v>
      </c>
      <c r="L1009" s="13">
        <v>0</v>
      </c>
      <c r="M1009" s="9" t="s">
        <v>34</v>
      </c>
    </row>
    <row r="1010" spans="1:13" ht="20.25" customHeight="1" x14ac:dyDescent="0.25">
      <c r="A1010" s="9" t="s">
        <v>1866</v>
      </c>
      <c r="B1010" s="10">
        <v>45881</v>
      </c>
      <c r="C1010" s="9" t="s">
        <v>28</v>
      </c>
      <c r="D1010" s="9" t="s">
        <v>29</v>
      </c>
      <c r="E1010" s="11" t="s">
        <v>37</v>
      </c>
      <c r="F1010" s="11" t="s">
        <v>55</v>
      </c>
      <c r="G1010" s="3">
        <v>86.67</v>
      </c>
      <c r="H1010" s="3">
        <v>52.97</v>
      </c>
      <c r="I1010" s="12">
        <v>1</v>
      </c>
      <c r="J1010" s="9" t="s">
        <v>1867</v>
      </c>
      <c r="K1010" s="9" t="s">
        <v>33</v>
      </c>
      <c r="L1010" s="13">
        <v>1</v>
      </c>
      <c r="M1010" s="9" t="s">
        <v>34</v>
      </c>
    </row>
    <row r="1011" spans="1:13" ht="20.25" customHeight="1" x14ac:dyDescent="0.25">
      <c r="A1011" s="9" t="s">
        <v>1868</v>
      </c>
      <c r="B1011" s="10">
        <v>45882</v>
      </c>
      <c r="C1011" s="9" t="s">
        <v>28</v>
      </c>
      <c r="D1011" s="9" t="s">
        <v>51</v>
      </c>
      <c r="E1011" s="11" t="s">
        <v>37</v>
      </c>
      <c r="F1011" s="11" t="s">
        <v>38</v>
      </c>
      <c r="G1011" s="3">
        <v>231.13</v>
      </c>
      <c r="H1011" s="3">
        <v>134.83000000000001</v>
      </c>
      <c r="I1011" s="12">
        <v>2</v>
      </c>
      <c r="J1011" s="9" t="s">
        <v>1869</v>
      </c>
      <c r="K1011" s="9" t="s">
        <v>33</v>
      </c>
      <c r="L1011" s="13">
        <v>1</v>
      </c>
      <c r="M1011" s="9" t="s">
        <v>34</v>
      </c>
    </row>
    <row r="1012" spans="1:13" ht="20.25" customHeight="1" x14ac:dyDescent="0.25">
      <c r="A1012" s="9" t="s">
        <v>1870</v>
      </c>
      <c r="B1012" s="10">
        <v>45882</v>
      </c>
      <c r="C1012" s="9" t="s">
        <v>54</v>
      </c>
      <c r="D1012" s="9" t="s">
        <v>51</v>
      </c>
      <c r="E1012" s="11" t="s">
        <v>58</v>
      </c>
      <c r="F1012" s="11" t="s">
        <v>87</v>
      </c>
      <c r="G1012" s="3">
        <v>173.35</v>
      </c>
      <c r="H1012" s="3">
        <v>105.93</v>
      </c>
      <c r="I1012" s="12">
        <v>1</v>
      </c>
      <c r="J1012" s="9" t="s">
        <v>569</v>
      </c>
      <c r="K1012" s="9" t="s">
        <v>49</v>
      </c>
      <c r="L1012" s="13">
        <v>0</v>
      </c>
      <c r="M1012" s="9" t="s">
        <v>34</v>
      </c>
    </row>
    <row r="1013" spans="1:13" ht="20.25" customHeight="1" x14ac:dyDescent="0.25">
      <c r="A1013" s="9" t="s">
        <v>1871</v>
      </c>
      <c r="B1013" s="10">
        <v>45882</v>
      </c>
      <c r="C1013" s="9" t="s">
        <v>28</v>
      </c>
      <c r="D1013" s="9" t="s">
        <v>29</v>
      </c>
      <c r="E1013" s="11" t="s">
        <v>30</v>
      </c>
      <c r="F1013" s="11" t="s">
        <v>31</v>
      </c>
      <c r="G1013" s="3">
        <v>625.98</v>
      </c>
      <c r="H1013" s="3">
        <v>433.37</v>
      </c>
      <c r="I1013" s="12">
        <v>1</v>
      </c>
      <c r="J1013" s="9" t="s">
        <v>1872</v>
      </c>
      <c r="K1013" s="9" t="s">
        <v>49</v>
      </c>
      <c r="L1013" s="13">
        <v>0</v>
      </c>
      <c r="M1013" s="9" t="s">
        <v>34</v>
      </c>
    </row>
    <row r="1014" spans="1:13" ht="20.25" customHeight="1" x14ac:dyDescent="0.25">
      <c r="A1014" s="9" t="s">
        <v>1873</v>
      </c>
      <c r="B1014" s="10">
        <v>45883</v>
      </c>
      <c r="C1014" s="9" t="s">
        <v>71</v>
      </c>
      <c r="D1014" s="9" t="s">
        <v>42</v>
      </c>
      <c r="E1014" s="11" t="s">
        <v>43</v>
      </c>
      <c r="F1014" s="11" t="s">
        <v>90</v>
      </c>
      <c r="G1014" s="3">
        <v>144.46</v>
      </c>
      <c r="H1014" s="3">
        <v>86.67</v>
      </c>
      <c r="I1014" s="12">
        <v>1</v>
      </c>
      <c r="J1014" s="9" t="s">
        <v>1874</v>
      </c>
      <c r="K1014" s="9" t="s">
        <v>49</v>
      </c>
      <c r="L1014" s="13">
        <v>0</v>
      </c>
      <c r="M1014" s="9" t="s">
        <v>34</v>
      </c>
    </row>
    <row r="1015" spans="1:13" ht="20.25" customHeight="1" x14ac:dyDescent="0.25">
      <c r="A1015" s="9" t="s">
        <v>1875</v>
      </c>
      <c r="B1015" s="10">
        <v>45883</v>
      </c>
      <c r="C1015" s="9" t="s">
        <v>28</v>
      </c>
      <c r="D1015" s="9" t="s">
        <v>51</v>
      </c>
      <c r="E1015" s="11" t="s">
        <v>30</v>
      </c>
      <c r="F1015" s="11" t="s">
        <v>63</v>
      </c>
      <c r="G1015" s="3">
        <v>1155.6500000000001</v>
      </c>
      <c r="H1015" s="3">
        <v>818.59</v>
      </c>
      <c r="I1015" s="12">
        <v>1</v>
      </c>
      <c r="J1015" s="9" t="s">
        <v>1876</v>
      </c>
      <c r="K1015" s="9" t="s">
        <v>49</v>
      </c>
      <c r="L1015" s="13">
        <v>0</v>
      </c>
      <c r="M1015" s="9" t="s">
        <v>34</v>
      </c>
    </row>
    <row r="1016" spans="1:13" ht="20.25" customHeight="1" x14ac:dyDescent="0.25">
      <c r="A1016" s="9" t="s">
        <v>1877</v>
      </c>
      <c r="B1016" s="10">
        <v>45883</v>
      </c>
      <c r="C1016" s="9" t="s">
        <v>41</v>
      </c>
      <c r="D1016" s="9" t="s">
        <v>42</v>
      </c>
      <c r="E1016" s="11" t="s">
        <v>58</v>
      </c>
      <c r="F1016" s="11" t="s">
        <v>59</v>
      </c>
      <c r="G1016" s="3">
        <v>433.37</v>
      </c>
      <c r="H1016" s="3">
        <v>260.02</v>
      </c>
      <c r="I1016" s="12">
        <v>3</v>
      </c>
      <c r="J1016" s="9" t="s">
        <v>1878</v>
      </c>
      <c r="K1016" s="9" t="s">
        <v>49</v>
      </c>
      <c r="L1016" s="13">
        <v>0</v>
      </c>
      <c r="M1016" s="9" t="s">
        <v>34</v>
      </c>
    </row>
    <row r="1017" spans="1:13" ht="20.25" customHeight="1" x14ac:dyDescent="0.25">
      <c r="A1017" s="9" t="s">
        <v>1879</v>
      </c>
      <c r="B1017" s="10">
        <v>45884</v>
      </c>
      <c r="C1017" s="9" t="s">
        <v>36</v>
      </c>
      <c r="D1017" s="9" t="s">
        <v>29</v>
      </c>
      <c r="E1017" s="11" t="s">
        <v>37</v>
      </c>
      <c r="F1017" s="11" t="s">
        <v>72</v>
      </c>
      <c r="G1017" s="3">
        <v>635.61</v>
      </c>
      <c r="H1017" s="3">
        <v>375.59</v>
      </c>
      <c r="I1017" s="12">
        <v>3</v>
      </c>
      <c r="J1017" s="9" t="s">
        <v>1620</v>
      </c>
      <c r="K1017" s="9" t="s">
        <v>33</v>
      </c>
      <c r="L1017" s="13">
        <v>1</v>
      </c>
      <c r="M1017" s="9" t="s">
        <v>34</v>
      </c>
    </row>
    <row r="1018" spans="1:13" ht="20.25" customHeight="1" x14ac:dyDescent="0.25">
      <c r="A1018" s="9" t="s">
        <v>1880</v>
      </c>
      <c r="B1018" s="10">
        <v>45884</v>
      </c>
      <c r="C1018" s="9" t="s">
        <v>54</v>
      </c>
      <c r="D1018" s="9" t="s">
        <v>51</v>
      </c>
      <c r="E1018" s="11" t="s">
        <v>30</v>
      </c>
      <c r="F1018" s="11" t="s">
        <v>63</v>
      </c>
      <c r="G1018" s="3">
        <v>1155.6500000000001</v>
      </c>
      <c r="H1018" s="3">
        <v>818.59</v>
      </c>
      <c r="I1018" s="12">
        <v>1</v>
      </c>
      <c r="J1018" s="9" t="s">
        <v>962</v>
      </c>
      <c r="K1018" s="9" t="s">
        <v>33</v>
      </c>
      <c r="L1018" s="13">
        <v>1</v>
      </c>
      <c r="M1018" s="9" t="s">
        <v>34</v>
      </c>
    </row>
    <row r="1019" spans="1:13" ht="20.25" customHeight="1" x14ac:dyDescent="0.25">
      <c r="A1019" s="9" t="s">
        <v>1881</v>
      </c>
      <c r="B1019" s="10">
        <v>45884</v>
      </c>
      <c r="C1019" s="9" t="s">
        <v>54</v>
      </c>
      <c r="D1019" s="9" t="s">
        <v>42</v>
      </c>
      <c r="E1019" s="11" t="s">
        <v>43</v>
      </c>
      <c r="F1019" s="11" t="s">
        <v>44</v>
      </c>
      <c r="G1019" s="3">
        <v>43.34</v>
      </c>
      <c r="H1019" s="3">
        <v>19.260000000000002</v>
      </c>
      <c r="I1019" s="12">
        <v>1</v>
      </c>
      <c r="J1019" s="9" t="s">
        <v>1249</v>
      </c>
      <c r="K1019" s="9" t="s">
        <v>33</v>
      </c>
      <c r="L1019" s="13">
        <v>1</v>
      </c>
      <c r="M1019" s="9" t="s">
        <v>34</v>
      </c>
    </row>
    <row r="1020" spans="1:13" ht="20.25" customHeight="1" x14ac:dyDescent="0.25">
      <c r="A1020" s="9" t="s">
        <v>1882</v>
      </c>
      <c r="B1020" s="10">
        <v>45884</v>
      </c>
      <c r="C1020" s="9" t="s">
        <v>36</v>
      </c>
      <c r="D1020" s="9" t="s">
        <v>51</v>
      </c>
      <c r="E1020" s="11" t="s">
        <v>58</v>
      </c>
      <c r="F1020" s="11" t="s">
        <v>68</v>
      </c>
      <c r="G1020" s="3">
        <v>337.06</v>
      </c>
      <c r="H1020" s="3">
        <v>211.87</v>
      </c>
      <c r="I1020" s="12">
        <v>1</v>
      </c>
      <c r="J1020" s="9" t="s">
        <v>1883</v>
      </c>
      <c r="K1020" s="9" t="s">
        <v>49</v>
      </c>
      <c r="L1020" s="13">
        <v>0</v>
      </c>
      <c r="M1020" s="9" t="s">
        <v>34</v>
      </c>
    </row>
    <row r="1021" spans="1:13" ht="20.25" customHeight="1" x14ac:dyDescent="0.25">
      <c r="A1021" s="9" t="s">
        <v>1884</v>
      </c>
      <c r="B1021" s="10">
        <v>45884</v>
      </c>
      <c r="C1021" s="9" t="s">
        <v>62</v>
      </c>
      <c r="D1021" s="9" t="s">
        <v>51</v>
      </c>
      <c r="E1021" s="11" t="s">
        <v>30</v>
      </c>
      <c r="F1021" s="11" t="s">
        <v>63</v>
      </c>
      <c r="G1021" s="3">
        <v>2311.3000000000002</v>
      </c>
      <c r="H1021" s="3">
        <v>1637.17</v>
      </c>
      <c r="I1021" s="12">
        <v>2</v>
      </c>
      <c r="J1021" s="9" t="s">
        <v>1885</v>
      </c>
      <c r="K1021" s="9" t="s">
        <v>33</v>
      </c>
      <c r="L1021" s="13">
        <v>1</v>
      </c>
      <c r="M1021" s="9" t="s">
        <v>34</v>
      </c>
    </row>
    <row r="1022" spans="1:13" ht="20.25" customHeight="1" x14ac:dyDescent="0.25">
      <c r="A1022" s="9" t="s">
        <v>1886</v>
      </c>
      <c r="B1022" s="10">
        <v>45885</v>
      </c>
      <c r="C1022" s="9" t="s">
        <v>62</v>
      </c>
      <c r="D1022" s="9" t="s">
        <v>29</v>
      </c>
      <c r="E1022" s="11" t="s">
        <v>30</v>
      </c>
      <c r="F1022" s="11" t="s">
        <v>80</v>
      </c>
      <c r="G1022" s="3">
        <v>818.59</v>
      </c>
      <c r="H1022" s="3">
        <v>577.83000000000004</v>
      </c>
      <c r="I1022" s="12">
        <v>1</v>
      </c>
      <c r="J1022" s="9" t="s">
        <v>791</v>
      </c>
      <c r="K1022" s="9" t="s">
        <v>49</v>
      </c>
      <c r="L1022" s="13">
        <v>0</v>
      </c>
      <c r="M1022" s="9" t="s">
        <v>34</v>
      </c>
    </row>
    <row r="1023" spans="1:13" ht="20.25" customHeight="1" x14ac:dyDescent="0.25">
      <c r="A1023" s="9" t="s">
        <v>1887</v>
      </c>
      <c r="B1023" s="10">
        <v>45886</v>
      </c>
      <c r="C1023" s="9" t="s">
        <v>54</v>
      </c>
      <c r="D1023" s="9" t="s">
        <v>29</v>
      </c>
      <c r="E1023" s="11" t="s">
        <v>30</v>
      </c>
      <c r="F1023" s="11" t="s">
        <v>80</v>
      </c>
      <c r="G1023" s="3">
        <v>1637.17</v>
      </c>
      <c r="H1023" s="3">
        <v>1155.6500000000001</v>
      </c>
      <c r="I1023" s="12">
        <v>2</v>
      </c>
      <c r="J1023" s="9" t="s">
        <v>308</v>
      </c>
      <c r="K1023" s="9" t="s">
        <v>33</v>
      </c>
      <c r="L1023" s="13">
        <v>1</v>
      </c>
      <c r="M1023" s="9" t="s">
        <v>34</v>
      </c>
    </row>
    <row r="1024" spans="1:13" ht="20.25" customHeight="1" x14ac:dyDescent="0.25">
      <c r="A1024" s="9" t="s">
        <v>1888</v>
      </c>
      <c r="B1024" s="10">
        <v>45886</v>
      </c>
      <c r="C1024" s="9" t="s">
        <v>54</v>
      </c>
      <c r="D1024" s="9" t="s">
        <v>29</v>
      </c>
      <c r="E1024" s="11" t="s">
        <v>43</v>
      </c>
      <c r="F1024" s="11" t="s">
        <v>47</v>
      </c>
      <c r="G1024" s="3">
        <v>105.93</v>
      </c>
      <c r="H1024" s="3">
        <v>62.6</v>
      </c>
      <c r="I1024" s="12">
        <v>1</v>
      </c>
      <c r="J1024" s="9" t="s">
        <v>1889</v>
      </c>
      <c r="K1024" s="9" t="s">
        <v>33</v>
      </c>
      <c r="L1024" s="13">
        <v>1</v>
      </c>
      <c r="M1024" s="9" t="s">
        <v>34</v>
      </c>
    </row>
    <row r="1025" spans="1:13" ht="20.25" customHeight="1" x14ac:dyDescent="0.25">
      <c r="A1025" s="9" t="s">
        <v>1890</v>
      </c>
      <c r="B1025" s="10">
        <v>45887</v>
      </c>
      <c r="C1025" s="9" t="s">
        <v>28</v>
      </c>
      <c r="D1025" s="9" t="s">
        <v>29</v>
      </c>
      <c r="E1025" s="11" t="s">
        <v>37</v>
      </c>
      <c r="F1025" s="11" t="s">
        <v>38</v>
      </c>
      <c r="G1025" s="3">
        <v>231.13</v>
      </c>
      <c r="H1025" s="3">
        <v>134.83000000000001</v>
      </c>
      <c r="I1025" s="12">
        <v>2</v>
      </c>
      <c r="J1025" s="9" t="s">
        <v>294</v>
      </c>
      <c r="K1025" s="9" t="s">
        <v>49</v>
      </c>
      <c r="L1025" s="13">
        <v>0</v>
      </c>
      <c r="M1025" s="9" t="s">
        <v>34</v>
      </c>
    </row>
    <row r="1026" spans="1:13" ht="20.25" customHeight="1" x14ac:dyDescent="0.25">
      <c r="A1026" s="9" t="s">
        <v>1891</v>
      </c>
      <c r="B1026" s="10">
        <v>45887</v>
      </c>
      <c r="C1026" s="9" t="s">
        <v>71</v>
      </c>
      <c r="D1026" s="9" t="s">
        <v>42</v>
      </c>
      <c r="E1026" s="11" t="s">
        <v>30</v>
      </c>
      <c r="F1026" s="11" t="s">
        <v>63</v>
      </c>
      <c r="G1026" s="3">
        <v>1155.6500000000001</v>
      </c>
      <c r="H1026" s="3">
        <v>818.59</v>
      </c>
      <c r="I1026" s="12">
        <v>1</v>
      </c>
      <c r="J1026" s="9" t="s">
        <v>1892</v>
      </c>
      <c r="K1026" s="9" t="s">
        <v>49</v>
      </c>
      <c r="L1026" s="13">
        <v>0</v>
      </c>
      <c r="M1026" s="9" t="s">
        <v>34</v>
      </c>
    </row>
    <row r="1027" spans="1:13" ht="20.25" customHeight="1" x14ac:dyDescent="0.25">
      <c r="A1027" s="9" t="s">
        <v>1893</v>
      </c>
      <c r="B1027" s="10">
        <v>45887</v>
      </c>
      <c r="C1027" s="9" t="s">
        <v>28</v>
      </c>
      <c r="D1027" s="9" t="s">
        <v>29</v>
      </c>
      <c r="E1027" s="11" t="s">
        <v>30</v>
      </c>
      <c r="F1027" s="11" t="s">
        <v>63</v>
      </c>
      <c r="G1027" s="3">
        <v>2311.3000000000002</v>
      </c>
      <c r="H1027" s="3">
        <v>1637.17</v>
      </c>
      <c r="I1027" s="12">
        <v>2</v>
      </c>
      <c r="J1027" s="9" t="s">
        <v>1894</v>
      </c>
      <c r="K1027" s="9" t="s">
        <v>49</v>
      </c>
      <c r="L1027" s="13">
        <v>0</v>
      </c>
      <c r="M1027" s="9" t="s">
        <v>34</v>
      </c>
    </row>
    <row r="1028" spans="1:13" ht="20.25" customHeight="1" x14ac:dyDescent="0.25">
      <c r="A1028" s="9" t="s">
        <v>1895</v>
      </c>
      <c r="B1028" s="10">
        <v>45887</v>
      </c>
      <c r="C1028" s="9" t="s">
        <v>28</v>
      </c>
      <c r="D1028" s="9" t="s">
        <v>42</v>
      </c>
      <c r="E1028" s="11" t="s">
        <v>37</v>
      </c>
      <c r="F1028" s="11" t="s">
        <v>38</v>
      </c>
      <c r="G1028" s="3">
        <v>115.57</v>
      </c>
      <c r="H1028" s="3">
        <v>67.41</v>
      </c>
      <c r="I1028" s="12">
        <v>1</v>
      </c>
      <c r="J1028" s="9" t="s">
        <v>1847</v>
      </c>
      <c r="K1028" s="9" t="s">
        <v>49</v>
      </c>
      <c r="L1028" s="13">
        <v>0</v>
      </c>
      <c r="M1028" s="9" t="s">
        <v>34</v>
      </c>
    </row>
    <row r="1029" spans="1:13" ht="20.25" customHeight="1" x14ac:dyDescent="0.25">
      <c r="A1029" s="9" t="s">
        <v>1896</v>
      </c>
      <c r="B1029" s="10">
        <v>45888</v>
      </c>
      <c r="C1029" s="9" t="s">
        <v>62</v>
      </c>
      <c r="D1029" s="9" t="s">
        <v>42</v>
      </c>
      <c r="E1029" s="11" t="s">
        <v>37</v>
      </c>
      <c r="F1029" s="11" t="s">
        <v>55</v>
      </c>
      <c r="G1029" s="3">
        <v>173.35</v>
      </c>
      <c r="H1029" s="3">
        <v>105.93</v>
      </c>
      <c r="I1029" s="12">
        <v>2</v>
      </c>
      <c r="J1029" s="9" t="s">
        <v>1897</v>
      </c>
      <c r="K1029" s="9" t="s">
        <v>33</v>
      </c>
      <c r="L1029" s="13">
        <v>1</v>
      </c>
      <c r="M1029" s="9" t="s">
        <v>34</v>
      </c>
    </row>
    <row r="1030" spans="1:13" ht="20.25" customHeight="1" x14ac:dyDescent="0.25">
      <c r="A1030" s="9" t="s">
        <v>1898</v>
      </c>
      <c r="B1030" s="10">
        <v>45888</v>
      </c>
      <c r="C1030" s="9" t="s">
        <v>36</v>
      </c>
      <c r="D1030" s="9" t="s">
        <v>29</v>
      </c>
      <c r="E1030" s="11" t="s">
        <v>58</v>
      </c>
      <c r="F1030" s="11" t="s">
        <v>59</v>
      </c>
      <c r="G1030" s="3">
        <v>144.46</v>
      </c>
      <c r="H1030" s="3">
        <v>86.67</v>
      </c>
      <c r="I1030" s="12">
        <v>1</v>
      </c>
      <c r="J1030" s="9" t="s">
        <v>1899</v>
      </c>
      <c r="K1030" s="9" t="s">
        <v>49</v>
      </c>
      <c r="L1030" s="13">
        <v>0</v>
      </c>
      <c r="M1030" s="9" t="s">
        <v>34</v>
      </c>
    </row>
    <row r="1031" spans="1:13" ht="20.25" customHeight="1" x14ac:dyDescent="0.25">
      <c r="A1031" s="9" t="s">
        <v>1900</v>
      </c>
      <c r="B1031" s="10">
        <v>45888</v>
      </c>
      <c r="C1031" s="9" t="s">
        <v>41</v>
      </c>
      <c r="D1031" s="9" t="s">
        <v>29</v>
      </c>
      <c r="E1031" s="11" t="s">
        <v>58</v>
      </c>
      <c r="F1031" s="11" t="s">
        <v>59</v>
      </c>
      <c r="G1031" s="3">
        <v>144.46</v>
      </c>
      <c r="H1031" s="3">
        <v>86.67</v>
      </c>
      <c r="I1031" s="12">
        <v>1</v>
      </c>
      <c r="J1031" s="9" t="s">
        <v>1901</v>
      </c>
      <c r="K1031" s="9" t="s">
        <v>33</v>
      </c>
      <c r="L1031" s="13">
        <v>1</v>
      </c>
      <c r="M1031" s="9" t="s">
        <v>34</v>
      </c>
    </row>
    <row r="1032" spans="1:13" ht="20.25" customHeight="1" x14ac:dyDescent="0.25">
      <c r="A1032" s="9" t="s">
        <v>1902</v>
      </c>
      <c r="B1032" s="10">
        <v>45889</v>
      </c>
      <c r="C1032" s="9" t="s">
        <v>54</v>
      </c>
      <c r="D1032" s="9" t="s">
        <v>42</v>
      </c>
      <c r="E1032" s="11" t="s">
        <v>30</v>
      </c>
      <c r="F1032" s="11" t="s">
        <v>80</v>
      </c>
      <c r="G1032" s="3">
        <v>1637.17</v>
      </c>
      <c r="H1032" s="3">
        <v>1155.6500000000001</v>
      </c>
      <c r="I1032" s="12">
        <v>2</v>
      </c>
      <c r="J1032" s="9" t="s">
        <v>761</v>
      </c>
      <c r="K1032" s="9" t="s">
        <v>49</v>
      </c>
      <c r="L1032" s="13">
        <v>0</v>
      </c>
      <c r="M1032" s="9" t="s">
        <v>34</v>
      </c>
    </row>
    <row r="1033" spans="1:13" ht="20.25" customHeight="1" x14ac:dyDescent="0.25">
      <c r="A1033" s="9" t="s">
        <v>1903</v>
      </c>
      <c r="B1033" s="10">
        <v>45889</v>
      </c>
      <c r="C1033" s="9" t="s">
        <v>54</v>
      </c>
      <c r="D1033" s="9" t="s">
        <v>42</v>
      </c>
      <c r="E1033" s="11" t="s">
        <v>37</v>
      </c>
      <c r="F1033" s="11" t="s">
        <v>72</v>
      </c>
      <c r="G1033" s="3">
        <v>211.87</v>
      </c>
      <c r="H1033" s="3">
        <v>125.2</v>
      </c>
      <c r="I1033" s="12">
        <v>1</v>
      </c>
      <c r="J1033" s="9" t="s">
        <v>1904</v>
      </c>
      <c r="K1033" s="9" t="s">
        <v>49</v>
      </c>
      <c r="L1033" s="13">
        <v>0</v>
      </c>
      <c r="M1033" s="9" t="s">
        <v>34</v>
      </c>
    </row>
    <row r="1034" spans="1:13" ht="20.25" customHeight="1" x14ac:dyDescent="0.25">
      <c r="A1034" s="9" t="s">
        <v>1905</v>
      </c>
      <c r="B1034" s="10">
        <v>45889</v>
      </c>
      <c r="C1034" s="9" t="s">
        <v>62</v>
      </c>
      <c r="D1034" s="9" t="s">
        <v>29</v>
      </c>
      <c r="E1034" s="11" t="s">
        <v>43</v>
      </c>
      <c r="F1034" s="11" t="s">
        <v>90</v>
      </c>
      <c r="G1034" s="3">
        <v>288.91000000000003</v>
      </c>
      <c r="H1034" s="3">
        <v>173.35</v>
      </c>
      <c r="I1034" s="12">
        <v>2</v>
      </c>
      <c r="J1034" s="9" t="s">
        <v>401</v>
      </c>
      <c r="K1034" s="9" t="s">
        <v>49</v>
      </c>
      <c r="L1034" s="13">
        <v>0</v>
      </c>
      <c r="M1034" s="9" t="s">
        <v>34</v>
      </c>
    </row>
    <row r="1035" spans="1:13" ht="20.25" customHeight="1" x14ac:dyDescent="0.25">
      <c r="A1035" s="9" t="s">
        <v>1906</v>
      </c>
      <c r="B1035" s="10">
        <v>45890</v>
      </c>
      <c r="C1035" s="9" t="s">
        <v>28</v>
      </c>
      <c r="D1035" s="9" t="s">
        <v>29</v>
      </c>
      <c r="E1035" s="11" t="s">
        <v>30</v>
      </c>
      <c r="F1035" s="11" t="s">
        <v>63</v>
      </c>
      <c r="G1035" s="3">
        <v>2311.3000000000002</v>
      </c>
      <c r="H1035" s="3">
        <v>1637.17</v>
      </c>
      <c r="I1035" s="12">
        <v>2</v>
      </c>
      <c r="J1035" s="9" t="s">
        <v>1668</v>
      </c>
      <c r="K1035" s="9" t="s">
        <v>49</v>
      </c>
      <c r="L1035" s="13">
        <v>0</v>
      </c>
      <c r="M1035" s="9" t="s">
        <v>34</v>
      </c>
    </row>
    <row r="1036" spans="1:13" ht="20.25" customHeight="1" x14ac:dyDescent="0.25">
      <c r="A1036" s="9" t="s">
        <v>1907</v>
      </c>
      <c r="B1036" s="10">
        <v>45890</v>
      </c>
      <c r="C1036" s="9" t="s">
        <v>28</v>
      </c>
      <c r="D1036" s="9" t="s">
        <v>51</v>
      </c>
      <c r="E1036" s="11" t="s">
        <v>37</v>
      </c>
      <c r="F1036" s="11" t="s">
        <v>38</v>
      </c>
      <c r="G1036" s="3">
        <v>115.57</v>
      </c>
      <c r="H1036" s="3">
        <v>67.41</v>
      </c>
      <c r="I1036" s="12">
        <v>1</v>
      </c>
      <c r="J1036" s="9" t="s">
        <v>1908</v>
      </c>
      <c r="K1036" s="9" t="s">
        <v>49</v>
      </c>
      <c r="L1036" s="13">
        <v>0</v>
      </c>
      <c r="M1036" s="9" t="s">
        <v>34</v>
      </c>
    </row>
    <row r="1037" spans="1:13" ht="20.25" customHeight="1" x14ac:dyDescent="0.25">
      <c r="A1037" s="9" t="s">
        <v>1909</v>
      </c>
      <c r="B1037" s="10">
        <v>45890</v>
      </c>
      <c r="C1037" s="9" t="s">
        <v>36</v>
      </c>
      <c r="D1037" s="9" t="s">
        <v>51</v>
      </c>
      <c r="E1037" s="11" t="s">
        <v>58</v>
      </c>
      <c r="F1037" s="11" t="s">
        <v>68</v>
      </c>
      <c r="G1037" s="3">
        <v>337.06</v>
      </c>
      <c r="H1037" s="3">
        <v>211.87</v>
      </c>
      <c r="I1037" s="12">
        <v>1</v>
      </c>
      <c r="J1037" s="9" t="s">
        <v>1910</v>
      </c>
      <c r="K1037" s="9" t="s">
        <v>33</v>
      </c>
      <c r="L1037" s="13">
        <v>1</v>
      </c>
      <c r="M1037" s="9" t="s">
        <v>34</v>
      </c>
    </row>
    <row r="1038" spans="1:13" ht="20.25" customHeight="1" x14ac:dyDescent="0.25">
      <c r="A1038" s="9" t="s">
        <v>1911</v>
      </c>
      <c r="B1038" s="10">
        <v>45890</v>
      </c>
      <c r="C1038" s="9" t="s">
        <v>28</v>
      </c>
      <c r="D1038" s="9" t="s">
        <v>29</v>
      </c>
      <c r="E1038" s="11" t="s">
        <v>58</v>
      </c>
      <c r="F1038" s="11" t="s">
        <v>87</v>
      </c>
      <c r="G1038" s="3">
        <v>173.35</v>
      </c>
      <c r="H1038" s="3">
        <v>105.93</v>
      </c>
      <c r="I1038" s="12">
        <v>1</v>
      </c>
      <c r="J1038" s="9" t="s">
        <v>1899</v>
      </c>
      <c r="K1038" s="9" t="s">
        <v>33</v>
      </c>
      <c r="L1038" s="13">
        <v>1</v>
      </c>
      <c r="M1038" s="9" t="s">
        <v>34</v>
      </c>
    </row>
    <row r="1039" spans="1:13" ht="20.25" customHeight="1" x14ac:dyDescent="0.25">
      <c r="A1039" s="9" t="s">
        <v>1912</v>
      </c>
      <c r="B1039" s="10">
        <v>45890</v>
      </c>
      <c r="C1039" s="9" t="s">
        <v>28</v>
      </c>
      <c r="D1039" s="9" t="s">
        <v>51</v>
      </c>
      <c r="E1039" s="11" t="s">
        <v>30</v>
      </c>
      <c r="F1039" s="11" t="s">
        <v>63</v>
      </c>
      <c r="G1039" s="3">
        <v>1155.6500000000001</v>
      </c>
      <c r="H1039" s="3">
        <v>818.59</v>
      </c>
      <c r="I1039" s="12">
        <v>1</v>
      </c>
      <c r="J1039" s="9" t="s">
        <v>1913</v>
      </c>
      <c r="K1039" s="9" t="s">
        <v>49</v>
      </c>
      <c r="L1039" s="13">
        <v>0</v>
      </c>
      <c r="M1039" s="9" t="s">
        <v>34</v>
      </c>
    </row>
    <row r="1040" spans="1:13" ht="20.25" customHeight="1" x14ac:dyDescent="0.25">
      <c r="A1040" s="9" t="s">
        <v>1914</v>
      </c>
      <c r="B1040" s="10">
        <v>45891</v>
      </c>
      <c r="C1040" s="9" t="s">
        <v>36</v>
      </c>
      <c r="D1040" s="9" t="s">
        <v>29</v>
      </c>
      <c r="E1040" s="11" t="s">
        <v>43</v>
      </c>
      <c r="F1040" s="11" t="s">
        <v>90</v>
      </c>
      <c r="G1040" s="3">
        <v>144.46</v>
      </c>
      <c r="H1040" s="3">
        <v>86.67</v>
      </c>
      <c r="I1040" s="12">
        <v>1</v>
      </c>
      <c r="J1040" s="9" t="s">
        <v>1915</v>
      </c>
      <c r="K1040" s="9" t="s">
        <v>49</v>
      </c>
      <c r="L1040" s="13">
        <v>0</v>
      </c>
      <c r="M1040" s="9" t="s">
        <v>34</v>
      </c>
    </row>
    <row r="1041" spans="1:13" ht="20.25" customHeight="1" x14ac:dyDescent="0.25">
      <c r="A1041" s="9" t="s">
        <v>1916</v>
      </c>
      <c r="B1041" s="10">
        <v>45891</v>
      </c>
      <c r="C1041" s="9" t="s">
        <v>41</v>
      </c>
      <c r="D1041" s="9" t="s">
        <v>29</v>
      </c>
      <c r="E1041" s="11" t="s">
        <v>58</v>
      </c>
      <c r="F1041" s="11" t="s">
        <v>59</v>
      </c>
      <c r="G1041" s="3">
        <v>288.91000000000003</v>
      </c>
      <c r="H1041" s="3">
        <v>173.35</v>
      </c>
      <c r="I1041" s="12">
        <v>2</v>
      </c>
      <c r="J1041" s="9" t="s">
        <v>1917</v>
      </c>
      <c r="K1041" s="9" t="s">
        <v>49</v>
      </c>
      <c r="L1041" s="13">
        <v>0</v>
      </c>
      <c r="M1041" s="9" t="s">
        <v>34</v>
      </c>
    </row>
    <row r="1042" spans="1:13" ht="20.25" customHeight="1" x14ac:dyDescent="0.25">
      <c r="A1042" s="9" t="s">
        <v>1918</v>
      </c>
      <c r="B1042" s="10">
        <v>45891</v>
      </c>
      <c r="C1042" s="9" t="s">
        <v>71</v>
      </c>
      <c r="D1042" s="9" t="s">
        <v>29</v>
      </c>
      <c r="E1042" s="11" t="s">
        <v>58</v>
      </c>
      <c r="F1042" s="11" t="s">
        <v>87</v>
      </c>
      <c r="G1042" s="3">
        <v>173.35</v>
      </c>
      <c r="H1042" s="3">
        <v>105.93</v>
      </c>
      <c r="I1042" s="12">
        <v>1</v>
      </c>
      <c r="J1042" s="9" t="s">
        <v>1329</v>
      </c>
      <c r="K1042" s="9" t="s">
        <v>33</v>
      </c>
      <c r="L1042" s="13">
        <v>1</v>
      </c>
      <c r="M1042" s="9" t="s">
        <v>34</v>
      </c>
    </row>
    <row r="1043" spans="1:13" ht="20.25" customHeight="1" x14ac:dyDescent="0.25">
      <c r="A1043" s="9" t="s">
        <v>1919</v>
      </c>
      <c r="B1043" s="10">
        <v>45891</v>
      </c>
      <c r="C1043" s="9" t="s">
        <v>36</v>
      </c>
      <c r="D1043" s="9" t="s">
        <v>29</v>
      </c>
      <c r="E1043" s="11" t="s">
        <v>58</v>
      </c>
      <c r="F1043" s="11" t="s">
        <v>68</v>
      </c>
      <c r="G1043" s="3">
        <v>337.06</v>
      </c>
      <c r="H1043" s="3">
        <v>211.87</v>
      </c>
      <c r="I1043" s="12">
        <v>1</v>
      </c>
      <c r="J1043" s="9" t="s">
        <v>32</v>
      </c>
      <c r="K1043" s="9" t="s">
        <v>49</v>
      </c>
      <c r="L1043" s="13">
        <v>0</v>
      </c>
      <c r="M1043" s="9" t="s">
        <v>34</v>
      </c>
    </row>
    <row r="1044" spans="1:13" ht="20.25" customHeight="1" x14ac:dyDescent="0.25">
      <c r="A1044" s="9" t="s">
        <v>1920</v>
      </c>
      <c r="B1044" s="10">
        <v>45891</v>
      </c>
      <c r="C1044" s="9" t="s">
        <v>41</v>
      </c>
      <c r="D1044" s="9" t="s">
        <v>29</v>
      </c>
      <c r="E1044" s="11" t="s">
        <v>30</v>
      </c>
      <c r="F1044" s="11" t="s">
        <v>80</v>
      </c>
      <c r="G1044" s="3">
        <v>818.59</v>
      </c>
      <c r="H1044" s="3">
        <v>577.83000000000004</v>
      </c>
      <c r="I1044" s="12">
        <v>1</v>
      </c>
      <c r="J1044" s="9" t="s">
        <v>1585</v>
      </c>
      <c r="K1044" s="9" t="s">
        <v>49</v>
      </c>
      <c r="L1044" s="13">
        <v>0</v>
      </c>
      <c r="M1044" s="9" t="s">
        <v>34</v>
      </c>
    </row>
    <row r="1045" spans="1:13" ht="20.25" customHeight="1" x14ac:dyDescent="0.25">
      <c r="A1045" s="9" t="s">
        <v>1921</v>
      </c>
      <c r="B1045" s="10">
        <v>45891</v>
      </c>
      <c r="C1045" s="9" t="s">
        <v>28</v>
      </c>
      <c r="D1045" s="9" t="s">
        <v>29</v>
      </c>
      <c r="E1045" s="11" t="s">
        <v>30</v>
      </c>
      <c r="F1045" s="11" t="s">
        <v>80</v>
      </c>
      <c r="G1045" s="3">
        <v>818.59</v>
      </c>
      <c r="H1045" s="3">
        <v>577.83000000000004</v>
      </c>
      <c r="I1045" s="12">
        <v>1</v>
      </c>
      <c r="J1045" s="9" t="s">
        <v>459</v>
      </c>
      <c r="K1045" s="9" t="s">
        <v>33</v>
      </c>
      <c r="L1045" s="13">
        <v>1</v>
      </c>
      <c r="M1045" s="9" t="s">
        <v>34</v>
      </c>
    </row>
    <row r="1046" spans="1:13" ht="20.25" customHeight="1" x14ac:dyDescent="0.25">
      <c r="A1046" s="9" t="s">
        <v>1922</v>
      </c>
      <c r="B1046" s="10">
        <v>45892</v>
      </c>
      <c r="C1046" s="9" t="s">
        <v>28</v>
      </c>
      <c r="D1046" s="9" t="s">
        <v>29</v>
      </c>
      <c r="E1046" s="11" t="s">
        <v>37</v>
      </c>
      <c r="F1046" s="11" t="s">
        <v>72</v>
      </c>
      <c r="G1046" s="3">
        <v>211.87</v>
      </c>
      <c r="H1046" s="3">
        <v>125.2</v>
      </c>
      <c r="I1046" s="12">
        <v>1</v>
      </c>
      <c r="J1046" s="9" t="s">
        <v>652</v>
      </c>
      <c r="K1046" s="9" t="s">
        <v>49</v>
      </c>
      <c r="L1046" s="13">
        <v>0</v>
      </c>
      <c r="M1046" s="9" t="s">
        <v>34</v>
      </c>
    </row>
    <row r="1047" spans="1:13" ht="20.25" customHeight="1" x14ac:dyDescent="0.25">
      <c r="A1047" s="9" t="s">
        <v>1923</v>
      </c>
      <c r="B1047" s="10">
        <v>45892</v>
      </c>
      <c r="C1047" s="9" t="s">
        <v>41</v>
      </c>
      <c r="D1047" s="9" t="s">
        <v>29</v>
      </c>
      <c r="E1047" s="11" t="s">
        <v>30</v>
      </c>
      <c r="F1047" s="11" t="s">
        <v>31</v>
      </c>
      <c r="G1047" s="3">
        <v>1251.95</v>
      </c>
      <c r="H1047" s="3">
        <v>866.74</v>
      </c>
      <c r="I1047" s="12">
        <v>2</v>
      </c>
      <c r="J1047" s="9" t="s">
        <v>465</v>
      </c>
      <c r="K1047" s="9" t="s">
        <v>49</v>
      </c>
      <c r="L1047" s="13">
        <v>0</v>
      </c>
      <c r="M1047" s="9" t="s">
        <v>34</v>
      </c>
    </row>
    <row r="1048" spans="1:13" ht="20.25" customHeight="1" x14ac:dyDescent="0.25">
      <c r="A1048" s="9" t="s">
        <v>1924</v>
      </c>
      <c r="B1048" s="10">
        <v>45892</v>
      </c>
      <c r="C1048" s="9" t="s">
        <v>71</v>
      </c>
      <c r="D1048" s="9" t="s">
        <v>29</v>
      </c>
      <c r="E1048" s="11" t="s">
        <v>37</v>
      </c>
      <c r="F1048" s="11" t="s">
        <v>72</v>
      </c>
      <c r="G1048" s="3">
        <v>423.74</v>
      </c>
      <c r="H1048" s="3">
        <v>250.39</v>
      </c>
      <c r="I1048" s="12">
        <v>2</v>
      </c>
      <c r="J1048" s="9" t="s">
        <v>1925</v>
      </c>
      <c r="K1048" s="9" t="s">
        <v>49</v>
      </c>
      <c r="L1048" s="13">
        <v>0</v>
      </c>
      <c r="M1048" s="9" t="s">
        <v>34</v>
      </c>
    </row>
    <row r="1049" spans="1:13" ht="20.25" customHeight="1" x14ac:dyDescent="0.25">
      <c r="A1049" s="9" t="s">
        <v>1926</v>
      </c>
      <c r="B1049" s="10">
        <v>45892</v>
      </c>
      <c r="C1049" s="9" t="s">
        <v>41</v>
      </c>
      <c r="D1049" s="9" t="s">
        <v>42</v>
      </c>
      <c r="E1049" s="11" t="s">
        <v>58</v>
      </c>
      <c r="F1049" s="11" t="s">
        <v>59</v>
      </c>
      <c r="G1049" s="3">
        <v>144.46</v>
      </c>
      <c r="H1049" s="3">
        <v>86.67</v>
      </c>
      <c r="I1049" s="12">
        <v>1</v>
      </c>
      <c r="J1049" s="9" t="s">
        <v>1927</v>
      </c>
      <c r="K1049" s="9" t="s">
        <v>49</v>
      </c>
      <c r="L1049" s="13">
        <v>0</v>
      </c>
      <c r="M1049" s="9" t="s">
        <v>34</v>
      </c>
    </row>
    <row r="1050" spans="1:13" ht="20.25" customHeight="1" x14ac:dyDescent="0.25">
      <c r="A1050" s="9" t="s">
        <v>1928</v>
      </c>
      <c r="B1050" s="10">
        <v>45893</v>
      </c>
      <c r="C1050" s="9" t="s">
        <v>28</v>
      </c>
      <c r="D1050" s="9" t="s">
        <v>29</v>
      </c>
      <c r="E1050" s="11" t="s">
        <v>58</v>
      </c>
      <c r="F1050" s="11" t="s">
        <v>68</v>
      </c>
      <c r="G1050" s="3">
        <v>1348.26</v>
      </c>
      <c r="H1050" s="3">
        <v>847.48</v>
      </c>
      <c r="I1050" s="12">
        <v>4</v>
      </c>
      <c r="J1050" s="9" t="s">
        <v>119</v>
      </c>
      <c r="K1050" s="9" t="s">
        <v>49</v>
      </c>
      <c r="L1050" s="13">
        <v>0</v>
      </c>
      <c r="M1050" s="9" t="s">
        <v>34</v>
      </c>
    </row>
    <row r="1051" spans="1:13" ht="20.25" customHeight="1" x14ac:dyDescent="0.25">
      <c r="A1051" s="9" t="s">
        <v>1929</v>
      </c>
      <c r="B1051" s="10">
        <v>45893</v>
      </c>
      <c r="C1051" s="9" t="s">
        <v>54</v>
      </c>
      <c r="D1051" s="9" t="s">
        <v>29</v>
      </c>
      <c r="E1051" s="11" t="s">
        <v>58</v>
      </c>
      <c r="F1051" s="11" t="s">
        <v>87</v>
      </c>
      <c r="G1051" s="3">
        <v>173.35</v>
      </c>
      <c r="H1051" s="3">
        <v>105.93</v>
      </c>
      <c r="I1051" s="12">
        <v>1</v>
      </c>
      <c r="J1051" s="9" t="s">
        <v>1003</v>
      </c>
      <c r="K1051" s="9" t="s">
        <v>49</v>
      </c>
      <c r="L1051" s="13">
        <v>0</v>
      </c>
      <c r="M1051" s="9" t="s">
        <v>34</v>
      </c>
    </row>
    <row r="1052" spans="1:13" ht="20.25" customHeight="1" x14ac:dyDescent="0.25">
      <c r="A1052" s="9" t="s">
        <v>1930</v>
      </c>
      <c r="B1052" s="10">
        <v>45893</v>
      </c>
      <c r="C1052" s="9" t="s">
        <v>71</v>
      </c>
      <c r="D1052" s="9" t="s">
        <v>51</v>
      </c>
      <c r="E1052" s="11" t="s">
        <v>58</v>
      </c>
      <c r="F1052" s="11" t="s">
        <v>68</v>
      </c>
      <c r="G1052" s="3">
        <v>1011.19</v>
      </c>
      <c r="H1052" s="3">
        <v>635.61</v>
      </c>
      <c r="I1052" s="12">
        <v>3</v>
      </c>
      <c r="J1052" s="9" t="s">
        <v>1931</v>
      </c>
      <c r="K1052" s="9" t="s">
        <v>49</v>
      </c>
      <c r="L1052" s="13">
        <v>0</v>
      </c>
      <c r="M1052" s="9" t="s">
        <v>34</v>
      </c>
    </row>
    <row r="1053" spans="1:13" ht="20.25" customHeight="1" x14ac:dyDescent="0.25">
      <c r="A1053" s="9" t="s">
        <v>1932</v>
      </c>
      <c r="B1053" s="10">
        <v>45894</v>
      </c>
      <c r="C1053" s="9" t="s">
        <v>71</v>
      </c>
      <c r="D1053" s="9" t="s">
        <v>42</v>
      </c>
      <c r="E1053" s="11" t="s">
        <v>30</v>
      </c>
      <c r="F1053" s="11" t="s">
        <v>31</v>
      </c>
      <c r="G1053" s="3">
        <v>1251.95</v>
      </c>
      <c r="H1053" s="3">
        <v>866.74</v>
      </c>
      <c r="I1053" s="12">
        <v>2</v>
      </c>
      <c r="J1053" s="9" t="s">
        <v>506</v>
      </c>
      <c r="K1053" s="9" t="s">
        <v>49</v>
      </c>
      <c r="L1053" s="13">
        <v>0</v>
      </c>
      <c r="M1053" s="9" t="s">
        <v>34</v>
      </c>
    </row>
    <row r="1054" spans="1:13" ht="20.25" customHeight="1" x14ac:dyDescent="0.25">
      <c r="A1054" s="9" t="s">
        <v>1933</v>
      </c>
      <c r="B1054" s="10">
        <v>45894</v>
      </c>
      <c r="C1054" s="9" t="s">
        <v>71</v>
      </c>
      <c r="D1054" s="9" t="s">
        <v>29</v>
      </c>
      <c r="E1054" s="11" t="s">
        <v>58</v>
      </c>
      <c r="F1054" s="11" t="s">
        <v>87</v>
      </c>
      <c r="G1054" s="3">
        <v>346.7</v>
      </c>
      <c r="H1054" s="3">
        <v>211.87</v>
      </c>
      <c r="I1054" s="12">
        <v>2</v>
      </c>
      <c r="J1054" s="9" t="s">
        <v>602</v>
      </c>
      <c r="K1054" s="9" t="s">
        <v>49</v>
      </c>
      <c r="L1054" s="13">
        <v>0</v>
      </c>
      <c r="M1054" s="9" t="s">
        <v>34</v>
      </c>
    </row>
    <row r="1055" spans="1:13" ht="20.25" customHeight="1" x14ac:dyDescent="0.25">
      <c r="A1055" s="9" t="s">
        <v>1934</v>
      </c>
      <c r="B1055" s="10">
        <v>45894</v>
      </c>
      <c r="C1055" s="9" t="s">
        <v>54</v>
      </c>
      <c r="D1055" s="9" t="s">
        <v>51</v>
      </c>
      <c r="E1055" s="11" t="s">
        <v>37</v>
      </c>
      <c r="F1055" s="11" t="s">
        <v>55</v>
      </c>
      <c r="G1055" s="3">
        <v>86.67</v>
      </c>
      <c r="H1055" s="3">
        <v>52.97</v>
      </c>
      <c r="I1055" s="12">
        <v>1</v>
      </c>
      <c r="J1055" s="9" t="s">
        <v>169</v>
      </c>
      <c r="K1055" s="9" t="s">
        <v>49</v>
      </c>
      <c r="L1055" s="13">
        <v>0</v>
      </c>
      <c r="M1055" s="9" t="s">
        <v>34</v>
      </c>
    </row>
    <row r="1056" spans="1:13" ht="20.25" customHeight="1" x14ac:dyDescent="0.25">
      <c r="A1056" s="9" t="s">
        <v>1935</v>
      </c>
      <c r="B1056" s="10">
        <v>45895</v>
      </c>
      <c r="C1056" s="9" t="s">
        <v>71</v>
      </c>
      <c r="D1056" s="9" t="s">
        <v>51</v>
      </c>
      <c r="E1056" s="11" t="s">
        <v>37</v>
      </c>
      <c r="F1056" s="11" t="s">
        <v>72</v>
      </c>
      <c r="G1056" s="3">
        <v>211.87</v>
      </c>
      <c r="H1056" s="3">
        <v>125.2</v>
      </c>
      <c r="I1056" s="12">
        <v>1</v>
      </c>
      <c r="J1056" s="9" t="s">
        <v>1936</v>
      </c>
      <c r="K1056" s="9" t="s">
        <v>49</v>
      </c>
      <c r="L1056" s="13">
        <v>0</v>
      </c>
      <c r="M1056" s="9" t="s">
        <v>34</v>
      </c>
    </row>
    <row r="1057" spans="1:13" ht="20.25" customHeight="1" x14ac:dyDescent="0.25">
      <c r="A1057" s="9" t="s">
        <v>1937</v>
      </c>
      <c r="B1057" s="10">
        <v>45895</v>
      </c>
      <c r="C1057" s="9" t="s">
        <v>71</v>
      </c>
      <c r="D1057" s="9" t="s">
        <v>51</v>
      </c>
      <c r="E1057" s="11" t="s">
        <v>30</v>
      </c>
      <c r="F1057" s="11" t="s">
        <v>80</v>
      </c>
      <c r="G1057" s="3">
        <v>-818.59</v>
      </c>
      <c r="H1057" s="3">
        <v>-577.83000000000004</v>
      </c>
      <c r="I1057" s="12">
        <v>-1</v>
      </c>
      <c r="J1057" s="9" t="s">
        <v>1938</v>
      </c>
      <c r="K1057" s="9" t="s">
        <v>49</v>
      </c>
      <c r="L1057" s="13">
        <v>0</v>
      </c>
      <c r="M1057" s="9" t="s">
        <v>76</v>
      </c>
    </row>
    <row r="1058" spans="1:13" ht="20.25" customHeight="1" x14ac:dyDescent="0.25">
      <c r="A1058" s="9" t="s">
        <v>1939</v>
      </c>
      <c r="B1058" s="10">
        <v>45895</v>
      </c>
      <c r="C1058" s="9" t="s">
        <v>62</v>
      </c>
      <c r="D1058" s="9" t="s">
        <v>29</v>
      </c>
      <c r="E1058" s="11" t="s">
        <v>58</v>
      </c>
      <c r="F1058" s="11" t="s">
        <v>68</v>
      </c>
      <c r="G1058" s="3">
        <v>674.13</v>
      </c>
      <c r="H1058" s="3">
        <v>423.74</v>
      </c>
      <c r="I1058" s="12">
        <v>2</v>
      </c>
      <c r="J1058" s="9" t="s">
        <v>1940</v>
      </c>
      <c r="K1058" s="9" t="s">
        <v>33</v>
      </c>
      <c r="L1058" s="13">
        <v>1</v>
      </c>
      <c r="M1058" s="9" t="s">
        <v>34</v>
      </c>
    </row>
    <row r="1059" spans="1:13" ht="20.25" customHeight="1" x14ac:dyDescent="0.25">
      <c r="A1059" s="9" t="s">
        <v>1941</v>
      </c>
      <c r="B1059" s="10">
        <v>45896</v>
      </c>
      <c r="C1059" s="9" t="s">
        <v>41</v>
      </c>
      <c r="D1059" s="9" t="s">
        <v>51</v>
      </c>
      <c r="E1059" s="11" t="s">
        <v>30</v>
      </c>
      <c r="F1059" s="11" t="s">
        <v>63</v>
      </c>
      <c r="G1059" s="3">
        <v>1155.6500000000001</v>
      </c>
      <c r="H1059" s="3">
        <v>818.59</v>
      </c>
      <c r="I1059" s="12">
        <v>1</v>
      </c>
      <c r="J1059" s="9" t="s">
        <v>1913</v>
      </c>
      <c r="K1059" s="9" t="s">
        <v>49</v>
      </c>
      <c r="L1059" s="13">
        <v>0</v>
      </c>
      <c r="M1059" s="9" t="s">
        <v>34</v>
      </c>
    </row>
    <row r="1060" spans="1:13" ht="20.25" customHeight="1" x14ac:dyDescent="0.25">
      <c r="A1060" s="9" t="s">
        <v>1942</v>
      </c>
      <c r="B1060" s="10">
        <v>45897</v>
      </c>
      <c r="C1060" s="9" t="s">
        <v>36</v>
      </c>
      <c r="D1060" s="9" t="s">
        <v>29</v>
      </c>
      <c r="E1060" s="11" t="s">
        <v>30</v>
      </c>
      <c r="F1060" s="11" t="s">
        <v>63</v>
      </c>
      <c r="G1060" s="3">
        <v>2311.3000000000002</v>
      </c>
      <c r="H1060" s="3">
        <v>1637.17</v>
      </c>
      <c r="I1060" s="12">
        <v>2</v>
      </c>
      <c r="J1060" s="9" t="s">
        <v>1201</v>
      </c>
      <c r="K1060" s="9" t="s">
        <v>33</v>
      </c>
      <c r="L1060" s="13">
        <v>1</v>
      </c>
      <c r="M1060" s="9" t="s">
        <v>34</v>
      </c>
    </row>
    <row r="1061" spans="1:13" ht="20.25" customHeight="1" x14ac:dyDescent="0.25">
      <c r="A1061" s="9" t="s">
        <v>1943</v>
      </c>
      <c r="B1061" s="10">
        <v>45897</v>
      </c>
      <c r="C1061" s="9" t="s">
        <v>41</v>
      </c>
      <c r="D1061" s="9" t="s">
        <v>51</v>
      </c>
      <c r="E1061" s="11" t="s">
        <v>30</v>
      </c>
      <c r="F1061" s="11" t="s">
        <v>31</v>
      </c>
      <c r="G1061" s="3">
        <v>625.98</v>
      </c>
      <c r="H1061" s="3">
        <v>433.37</v>
      </c>
      <c r="I1061" s="12">
        <v>1</v>
      </c>
      <c r="J1061" s="9" t="s">
        <v>1944</v>
      </c>
      <c r="K1061" s="9" t="s">
        <v>49</v>
      </c>
      <c r="L1061" s="13">
        <v>0</v>
      </c>
      <c r="M1061" s="9" t="s">
        <v>34</v>
      </c>
    </row>
    <row r="1062" spans="1:13" ht="20.25" customHeight="1" x14ac:dyDescent="0.25">
      <c r="A1062" s="9" t="s">
        <v>1945</v>
      </c>
      <c r="B1062" s="10">
        <v>45898</v>
      </c>
      <c r="C1062" s="9" t="s">
        <v>36</v>
      </c>
      <c r="D1062" s="9" t="s">
        <v>51</v>
      </c>
      <c r="E1062" s="11" t="s">
        <v>43</v>
      </c>
      <c r="F1062" s="11" t="s">
        <v>44</v>
      </c>
      <c r="G1062" s="3">
        <v>86.67</v>
      </c>
      <c r="H1062" s="3">
        <v>38.520000000000003</v>
      </c>
      <c r="I1062" s="12">
        <v>2</v>
      </c>
      <c r="J1062" s="9" t="s">
        <v>1445</v>
      </c>
      <c r="K1062" s="9" t="s">
        <v>49</v>
      </c>
      <c r="L1062" s="13">
        <v>0</v>
      </c>
      <c r="M1062" s="9" t="s">
        <v>34</v>
      </c>
    </row>
    <row r="1063" spans="1:13" ht="20.25" customHeight="1" x14ac:dyDescent="0.25">
      <c r="A1063" s="9" t="s">
        <v>1946</v>
      </c>
      <c r="B1063" s="10">
        <v>45898</v>
      </c>
      <c r="C1063" s="9" t="s">
        <v>28</v>
      </c>
      <c r="D1063" s="9" t="s">
        <v>29</v>
      </c>
      <c r="E1063" s="11" t="s">
        <v>30</v>
      </c>
      <c r="F1063" s="11" t="s">
        <v>31</v>
      </c>
      <c r="G1063" s="3">
        <v>-625.98</v>
      </c>
      <c r="H1063" s="3">
        <v>-433.37</v>
      </c>
      <c r="I1063" s="12">
        <v>-1</v>
      </c>
      <c r="J1063" s="9" t="s">
        <v>1947</v>
      </c>
      <c r="K1063" s="9" t="s">
        <v>49</v>
      </c>
      <c r="L1063" s="13">
        <v>0</v>
      </c>
      <c r="M1063" s="9" t="s">
        <v>76</v>
      </c>
    </row>
    <row r="1064" spans="1:13" ht="20.25" customHeight="1" x14ac:dyDescent="0.25">
      <c r="A1064" s="9" t="s">
        <v>1948</v>
      </c>
      <c r="B1064" s="10">
        <v>45898</v>
      </c>
      <c r="C1064" s="9" t="s">
        <v>71</v>
      </c>
      <c r="D1064" s="9" t="s">
        <v>42</v>
      </c>
      <c r="E1064" s="11" t="s">
        <v>30</v>
      </c>
      <c r="F1064" s="11" t="s">
        <v>63</v>
      </c>
      <c r="G1064" s="3">
        <v>1155.6500000000001</v>
      </c>
      <c r="H1064" s="3">
        <v>818.59</v>
      </c>
      <c r="I1064" s="12">
        <v>1</v>
      </c>
      <c r="J1064" s="9" t="s">
        <v>680</v>
      </c>
      <c r="K1064" s="9" t="s">
        <v>33</v>
      </c>
      <c r="L1064" s="13">
        <v>1</v>
      </c>
      <c r="M1064" s="9" t="s">
        <v>34</v>
      </c>
    </row>
    <row r="1065" spans="1:13" ht="20.25" customHeight="1" x14ac:dyDescent="0.25">
      <c r="A1065" s="9" t="s">
        <v>1949</v>
      </c>
      <c r="B1065" s="10">
        <v>45898</v>
      </c>
      <c r="C1065" s="9" t="s">
        <v>62</v>
      </c>
      <c r="D1065" s="9" t="s">
        <v>29</v>
      </c>
      <c r="E1065" s="11" t="s">
        <v>30</v>
      </c>
      <c r="F1065" s="11" t="s">
        <v>63</v>
      </c>
      <c r="G1065" s="3">
        <v>-1155.6500000000001</v>
      </c>
      <c r="H1065" s="3">
        <v>-818.59</v>
      </c>
      <c r="I1065" s="12">
        <v>-1</v>
      </c>
      <c r="J1065" s="9" t="s">
        <v>1083</v>
      </c>
      <c r="K1065" s="9" t="s">
        <v>33</v>
      </c>
      <c r="L1065" s="13">
        <v>1</v>
      </c>
      <c r="M1065" s="9" t="s">
        <v>76</v>
      </c>
    </row>
    <row r="1066" spans="1:13" ht="20.25" customHeight="1" x14ac:dyDescent="0.25">
      <c r="A1066" s="9" t="s">
        <v>1950</v>
      </c>
      <c r="B1066" s="10">
        <v>45899</v>
      </c>
      <c r="C1066" s="9" t="s">
        <v>62</v>
      </c>
      <c r="D1066" s="9" t="s">
        <v>42</v>
      </c>
      <c r="E1066" s="11" t="s">
        <v>30</v>
      </c>
      <c r="F1066" s="11" t="s">
        <v>63</v>
      </c>
      <c r="G1066" s="3">
        <v>1155.6500000000001</v>
      </c>
      <c r="H1066" s="3">
        <v>818.59</v>
      </c>
      <c r="I1066" s="12">
        <v>1</v>
      </c>
      <c r="J1066" s="9" t="s">
        <v>1951</v>
      </c>
      <c r="K1066" s="9" t="s">
        <v>49</v>
      </c>
      <c r="L1066" s="13">
        <v>0</v>
      </c>
      <c r="M1066" s="9" t="s">
        <v>34</v>
      </c>
    </row>
    <row r="1067" spans="1:13" ht="20.25" customHeight="1" x14ac:dyDescent="0.25">
      <c r="A1067" s="9" t="s">
        <v>1952</v>
      </c>
      <c r="B1067" s="10">
        <v>45899</v>
      </c>
      <c r="C1067" s="9" t="s">
        <v>36</v>
      </c>
      <c r="D1067" s="9" t="s">
        <v>29</v>
      </c>
      <c r="E1067" s="11" t="s">
        <v>37</v>
      </c>
      <c r="F1067" s="11" t="s">
        <v>38</v>
      </c>
      <c r="G1067" s="3">
        <v>115.57</v>
      </c>
      <c r="H1067" s="3">
        <v>67.41</v>
      </c>
      <c r="I1067" s="12">
        <v>1</v>
      </c>
      <c r="J1067" s="9" t="s">
        <v>1389</v>
      </c>
      <c r="K1067" s="9" t="s">
        <v>33</v>
      </c>
      <c r="L1067" s="13">
        <v>1</v>
      </c>
      <c r="M1067" s="9" t="s">
        <v>34</v>
      </c>
    </row>
    <row r="1068" spans="1:13" ht="20.25" customHeight="1" x14ac:dyDescent="0.25">
      <c r="A1068" s="9" t="s">
        <v>1953</v>
      </c>
      <c r="B1068" s="10">
        <v>45899</v>
      </c>
      <c r="C1068" s="9" t="s">
        <v>71</v>
      </c>
      <c r="D1068" s="9" t="s">
        <v>29</v>
      </c>
      <c r="E1068" s="11" t="s">
        <v>30</v>
      </c>
      <c r="F1068" s="11" t="s">
        <v>63</v>
      </c>
      <c r="G1068" s="3">
        <v>2311.3000000000002</v>
      </c>
      <c r="H1068" s="3">
        <v>1637.17</v>
      </c>
      <c r="I1068" s="12">
        <v>2</v>
      </c>
      <c r="J1068" s="9" t="s">
        <v>1885</v>
      </c>
      <c r="K1068" s="9" t="s">
        <v>49</v>
      </c>
      <c r="L1068" s="13">
        <v>0</v>
      </c>
      <c r="M1068" s="9" t="s">
        <v>34</v>
      </c>
    </row>
    <row r="1069" spans="1:13" ht="20.25" customHeight="1" x14ac:dyDescent="0.25">
      <c r="A1069" s="9" t="s">
        <v>1954</v>
      </c>
      <c r="B1069" s="10">
        <v>45899</v>
      </c>
      <c r="C1069" s="9" t="s">
        <v>28</v>
      </c>
      <c r="D1069" s="9" t="s">
        <v>29</v>
      </c>
      <c r="E1069" s="11" t="s">
        <v>30</v>
      </c>
      <c r="F1069" s="11" t="s">
        <v>31</v>
      </c>
      <c r="G1069" s="3">
        <v>625.98</v>
      </c>
      <c r="H1069" s="3">
        <v>433.37</v>
      </c>
      <c r="I1069" s="12">
        <v>1</v>
      </c>
      <c r="J1069" s="9" t="s">
        <v>1955</v>
      </c>
      <c r="K1069" s="9" t="s">
        <v>49</v>
      </c>
      <c r="L1069" s="13">
        <v>0</v>
      </c>
      <c r="M1069" s="9" t="s">
        <v>34</v>
      </c>
    </row>
    <row r="1070" spans="1:13" ht="20.25" customHeight="1" x14ac:dyDescent="0.25">
      <c r="A1070" s="9" t="s">
        <v>1956</v>
      </c>
      <c r="B1070" s="10">
        <v>45899</v>
      </c>
      <c r="C1070" s="9" t="s">
        <v>62</v>
      </c>
      <c r="D1070" s="9" t="s">
        <v>42</v>
      </c>
      <c r="E1070" s="11" t="s">
        <v>37</v>
      </c>
      <c r="F1070" s="11" t="s">
        <v>38</v>
      </c>
      <c r="G1070" s="3">
        <v>115.57</v>
      </c>
      <c r="H1070" s="3">
        <v>67.41</v>
      </c>
      <c r="I1070" s="12">
        <v>1</v>
      </c>
      <c r="J1070" s="9" t="s">
        <v>1957</v>
      </c>
      <c r="K1070" s="9" t="s">
        <v>49</v>
      </c>
      <c r="L1070" s="13">
        <v>0</v>
      </c>
      <c r="M1070" s="9" t="s">
        <v>34</v>
      </c>
    </row>
    <row r="1071" spans="1:13" ht="20.25" customHeight="1" x14ac:dyDescent="0.25">
      <c r="A1071" s="9" t="s">
        <v>1958</v>
      </c>
      <c r="B1071" s="10">
        <v>45900</v>
      </c>
      <c r="C1071" s="9" t="s">
        <v>62</v>
      </c>
      <c r="D1071" s="9" t="s">
        <v>29</v>
      </c>
      <c r="E1071" s="11" t="s">
        <v>58</v>
      </c>
      <c r="F1071" s="11" t="s">
        <v>68</v>
      </c>
      <c r="G1071" s="3">
        <v>674.13</v>
      </c>
      <c r="H1071" s="3">
        <v>423.74</v>
      </c>
      <c r="I1071" s="12">
        <v>2</v>
      </c>
      <c r="J1071" s="9" t="s">
        <v>602</v>
      </c>
      <c r="K1071" s="9" t="s">
        <v>49</v>
      </c>
      <c r="L1071" s="13">
        <v>0</v>
      </c>
      <c r="M1071" s="9" t="s">
        <v>34</v>
      </c>
    </row>
    <row r="1072" spans="1:13" ht="20.25" customHeight="1" x14ac:dyDescent="0.25">
      <c r="A1072" s="9" t="s">
        <v>1959</v>
      </c>
      <c r="B1072" s="10">
        <v>45900</v>
      </c>
      <c r="C1072" s="9" t="s">
        <v>71</v>
      </c>
      <c r="D1072" s="9" t="s">
        <v>29</v>
      </c>
      <c r="E1072" s="11" t="s">
        <v>37</v>
      </c>
      <c r="F1072" s="11" t="s">
        <v>72</v>
      </c>
      <c r="G1072" s="3">
        <v>211.87</v>
      </c>
      <c r="H1072" s="3">
        <v>125.2</v>
      </c>
      <c r="I1072" s="12">
        <v>1</v>
      </c>
      <c r="J1072" s="9" t="s">
        <v>1960</v>
      </c>
      <c r="K1072" s="9" t="s">
        <v>33</v>
      </c>
      <c r="L1072" s="13">
        <v>1</v>
      </c>
      <c r="M1072" s="9" t="s">
        <v>34</v>
      </c>
    </row>
    <row r="1073" spans="1:13" ht="20.25" customHeight="1" x14ac:dyDescent="0.25">
      <c r="A1073" s="9" t="s">
        <v>1961</v>
      </c>
      <c r="B1073" s="10">
        <v>45902</v>
      </c>
      <c r="C1073" s="9" t="s">
        <v>54</v>
      </c>
      <c r="D1073" s="9" t="s">
        <v>29</v>
      </c>
      <c r="E1073" s="11" t="s">
        <v>37</v>
      </c>
      <c r="F1073" s="11" t="s">
        <v>72</v>
      </c>
      <c r="G1073" s="3">
        <v>635.61</v>
      </c>
      <c r="H1073" s="3">
        <v>375.59</v>
      </c>
      <c r="I1073" s="12">
        <v>3</v>
      </c>
      <c r="J1073" s="9" t="s">
        <v>1962</v>
      </c>
      <c r="K1073" s="9" t="s">
        <v>49</v>
      </c>
      <c r="L1073" s="13">
        <v>0</v>
      </c>
      <c r="M1073" s="9" t="s">
        <v>34</v>
      </c>
    </row>
    <row r="1074" spans="1:13" ht="20.25" customHeight="1" x14ac:dyDescent="0.25">
      <c r="A1074" s="9" t="s">
        <v>1963</v>
      </c>
      <c r="B1074" s="10">
        <v>45902</v>
      </c>
      <c r="C1074" s="9" t="s">
        <v>41</v>
      </c>
      <c r="D1074" s="9" t="s">
        <v>51</v>
      </c>
      <c r="E1074" s="11" t="s">
        <v>30</v>
      </c>
      <c r="F1074" s="11" t="s">
        <v>31</v>
      </c>
      <c r="G1074" s="3">
        <v>3129.89</v>
      </c>
      <c r="H1074" s="3">
        <v>2166.84</v>
      </c>
      <c r="I1074" s="12">
        <v>5</v>
      </c>
      <c r="J1074" s="9" t="s">
        <v>1964</v>
      </c>
      <c r="K1074" s="9" t="s">
        <v>49</v>
      </c>
      <c r="L1074" s="13">
        <v>0</v>
      </c>
      <c r="M1074" s="9" t="s">
        <v>34</v>
      </c>
    </row>
    <row r="1075" spans="1:13" ht="20.25" customHeight="1" x14ac:dyDescent="0.25">
      <c r="A1075" s="9" t="s">
        <v>1965</v>
      </c>
      <c r="B1075" s="10">
        <v>45902</v>
      </c>
      <c r="C1075" s="9" t="s">
        <v>71</v>
      </c>
      <c r="D1075" s="9" t="s">
        <v>51</v>
      </c>
      <c r="E1075" s="11" t="s">
        <v>37</v>
      </c>
      <c r="F1075" s="11" t="s">
        <v>72</v>
      </c>
      <c r="G1075" s="3">
        <v>211.87</v>
      </c>
      <c r="H1075" s="3">
        <v>125.2</v>
      </c>
      <c r="I1075" s="12">
        <v>1</v>
      </c>
      <c r="J1075" s="9" t="s">
        <v>1966</v>
      </c>
      <c r="K1075" s="9" t="s">
        <v>33</v>
      </c>
      <c r="L1075" s="13">
        <v>1</v>
      </c>
      <c r="M1075" s="9" t="s">
        <v>34</v>
      </c>
    </row>
    <row r="1076" spans="1:13" ht="20.25" customHeight="1" x14ac:dyDescent="0.25">
      <c r="A1076" s="9" t="s">
        <v>1967</v>
      </c>
      <c r="B1076" s="10">
        <v>45902</v>
      </c>
      <c r="C1076" s="9" t="s">
        <v>28</v>
      </c>
      <c r="D1076" s="9" t="s">
        <v>29</v>
      </c>
      <c r="E1076" s="11" t="s">
        <v>30</v>
      </c>
      <c r="F1076" s="11" t="s">
        <v>80</v>
      </c>
      <c r="G1076" s="3">
        <v>818.59</v>
      </c>
      <c r="H1076" s="3">
        <v>577.83000000000004</v>
      </c>
      <c r="I1076" s="12">
        <v>1</v>
      </c>
      <c r="J1076" s="9" t="s">
        <v>1489</v>
      </c>
      <c r="K1076" s="9" t="s">
        <v>49</v>
      </c>
      <c r="L1076" s="13">
        <v>0</v>
      </c>
      <c r="M1076" s="9" t="s">
        <v>34</v>
      </c>
    </row>
    <row r="1077" spans="1:13" ht="20.25" customHeight="1" x14ac:dyDescent="0.25">
      <c r="A1077" s="9" t="s">
        <v>1968</v>
      </c>
      <c r="B1077" s="10">
        <v>45903</v>
      </c>
      <c r="C1077" s="9" t="s">
        <v>36</v>
      </c>
      <c r="D1077" s="9" t="s">
        <v>29</v>
      </c>
      <c r="E1077" s="11" t="s">
        <v>58</v>
      </c>
      <c r="F1077" s="11" t="s">
        <v>68</v>
      </c>
      <c r="G1077" s="3">
        <v>337.06</v>
      </c>
      <c r="H1077" s="3">
        <v>211.87</v>
      </c>
      <c r="I1077" s="12">
        <v>1</v>
      </c>
      <c r="J1077" s="9" t="s">
        <v>463</v>
      </c>
      <c r="K1077" s="9" t="s">
        <v>49</v>
      </c>
      <c r="L1077" s="13">
        <v>0</v>
      </c>
      <c r="M1077" s="9" t="s">
        <v>34</v>
      </c>
    </row>
    <row r="1078" spans="1:13" ht="20.25" customHeight="1" x14ac:dyDescent="0.25">
      <c r="A1078" s="9" t="s">
        <v>1969</v>
      </c>
      <c r="B1078" s="10">
        <v>45903</v>
      </c>
      <c r="C1078" s="9" t="s">
        <v>41</v>
      </c>
      <c r="D1078" s="9" t="s">
        <v>29</v>
      </c>
      <c r="E1078" s="11" t="s">
        <v>58</v>
      </c>
      <c r="F1078" s="11" t="s">
        <v>59</v>
      </c>
      <c r="G1078" s="3">
        <v>288.91000000000003</v>
      </c>
      <c r="H1078" s="3">
        <v>173.35</v>
      </c>
      <c r="I1078" s="12">
        <v>2</v>
      </c>
      <c r="J1078" s="9" t="s">
        <v>1970</v>
      </c>
      <c r="K1078" s="9" t="s">
        <v>49</v>
      </c>
      <c r="L1078" s="13">
        <v>0</v>
      </c>
      <c r="M1078" s="9" t="s">
        <v>34</v>
      </c>
    </row>
    <row r="1079" spans="1:13" ht="20.25" customHeight="1" x14ac:dyDescent="0.25">
      <c r="A1079" s="9" t="s">
        <v>1971</v>
      </c>
      <c r="B1079" s="10">
        <v>45903</v>
      </c>
      <c r="C1079" s="9" t="s">
        <v>41</v>
      </c>
      <c r="D1079" s="9" t="s">
        <v>29</v>
      </c>
      <c r="E1079" s="11" t="s">
        <v>30</v>
      </c>
      <c r="F1079" s="11" t="s">
        <v>31</v>
      </c>
      <c r="G1079" s="3">
        <v>625.98</v>
      </c>
      <c r="H1079" s="3">
        <v>433.37</v>
      </c>
      <c r="I1079" s="12">
        <v>1</v>
      </c>
      <c r="J1079" s="9" t="s">
        <v>1526</v>
      </c>
      <c r="K1079" s="9" t="s">
        <v>33</v>
      </c>
      <c r="L1079" s="13">
        <v>1</v>
      </c>
      <c r="M1079" s="9" t="s">
        <v>34</v>
      </c>
    </row>
    <row r="1080" spans="1:13" ht="20.25" customHeight="1" x14ac:dyDescent="0.25">
      <c r="A1080" s="9" t="s">
        <v>1972</v>
      </c>
      <c r="B1080" s="10">
        <v>45904</v>
      </c>
      <c r="C1080" s="9" t="s">
        <v>36</v>
      </c>
      <c r="D1080" s="9" t="s">
        <v>29</v>
      </c>
      <c r="E1080" s="11" t="s">
        <v>37</v>
      </c>
      <c r="F1080" s="11" t="s">
        <v>72</v>
      </c>
      <c r="G1080" s="3">
        <v>423.74</v>
      </c>
      <c r="H1080" s="3">
        <v>250.39</v>
      </c>
      <c r="I1080" s="12">
        <v>2</v>
      </c>
      <c r="J1080" s="9" t="s">
        <v>1973</v>
      </c>
      <c r="K1080" s="9" t="s">
        <v>33</v>
      </c>
      <c r="L1080" s="13">
        <v>1</v>
      </c>
      <c r="M1080" s="9" t="s">
        <v>34</v>
      </c>
    </row>
    <row r="1081" spans="1:13" ht="20.25" customHeight="1" x14ac:dyDescent="0.25">
      <c r="A1081" s="9" t="s">
        <v>1974</v>
      </c>
      <c r="B1081" s="10">
        <v>45904</v>
      </c>
      <c r="C1081" s="9" t="s">
        <v>62</v>
      </c>
      <c r="D1081" s="9" t="s">
        <v>51</v>
      </c>
      <c r="E1081" s="11" t="s">
        <v>43</v>
      </c>
      <c r="F1081" s="11" t="s">
        <v>47</v>
      </c>
      <c r="G1081" s="3">
        <v>211.87</v>
      </c>
      <c r="H1081" s="3">
        <v>125.2</v>
      </c>
      <c r="I1081" s="12">
        <v>2</v>
      </c>
      <c r="J1081" s="9" t="s">
        <v>1975</v>
      </c>
      <c r="K1081" s="9" t="s">
        <v>49</v>
      </c>
      <c r="L1081" s="13">
        <v>0</v>
      </c>
      <c r="M1081" s="9" t="s">
        <v>34</v>
      </c>
    </row>
    <row r="1082" spans="1:13" ht="20.25" customHeight="1" x14ac:dyDescent="0.25">
      <c r="A1082" s="9" t="s">
        <v>1976</v>
      </c>
      <c r="B1082" s="10">
        <v>45904</v>
      </c>
      <c r="C1082" s="9" t="s">
        <v>28</v>
      </c>
      <c r="D1082" s="9" t="s">
        <v>29</v>
      </c>
      <c r="E1082" s="11" t="s">
        <v>43</v>
      </c>
      <c r="F1082" s="11" t="s">
        <v>47</v>
      </c>
      <c r="G1082" s="3">
        <v>105.93</v>
      </c>
      <c r="H1082" s="3">
        <v>62.6</v>
      </c>
      <c r="I1082" s="12">
        <v>1</v>
      </c>
      <c r="J1082" s="9" t="s">
        <v>1977</v>
      </c>
      <c r="K1082" s="9" t="s">
        <v>49</v>
      </c>
      <c r="L1082" s="13">
        <v>0</v>
      </c>
      <c r="M1082" s="9" t="s">
        <v>34</v>
      </c>
    </row>
    <row r="1083" spans="1:13" ht="20.25" customHeight="1" x14ac:dyDescent="0.25">
      <c r="A1083" s="9" t="s">
        <v>1978</v>
      </c>
      <c r="B1083" s="10">
        <v>45904</v>
      </c>
      <c r="C1083" s="9" t="s">
        <v>71</v>
      </c>
      <c r="D1083" s="9" t="s">
        <v>29</v>
      </c>
      <c r="E1083" s="11" t="s">
        <v>37</v>
      </c>
      <c r="F1083" s="11" t="s">
        <v>55</v>
      </c>
      <c r="G1083" s="3">
        <v>173.35</v>
      </c>
      <c r="H1083" s="3">
        <v>105.93</v>
      </c>
      <c r="I1083" s="12">
        <v>2</v>
      </c>
      <c r="J1083" s="9" t="s">
        <v>854</v>
      </c>
      <c r="K1083" s="9" t="s">
        <v>33</v>
      </c>
      <c r="L1083" s="13">
        <v>1</v>
      </c>
      <c r="M1083" s="9" t="s">
        <v>34</v>
      </c>
    </row>
    <row r="1084" spans="1:13" ht="20.25" customHeight="1" x14ac:dyDescent="0.25">
      <c r="A1084" s="9" t="s">
        <v>1979</v>
      </c>
      <c r="B1084" s="10">
        <v>45904</v>
      </c>
      <c r="C1084" s="9" t="s">
        <v>41</v>
      </c>
      <c r="D1084" s="9" t="s">
        <v>29</v>
      </c>
      <c r="E1084" s="11" t="s">
        <v>58</v>
      </c>
      <c r="F1084" s="11" t="s">
        <v>68</v>
      </c>
      <c r="G1084" s="3">
        <v>674.13</v>
      </c>
      <c r="H1084" s="3">
        <v>423.74</v>
      </c>
      <c r="I1084" s="12">
        <v>2</v>
      </c>
      <c r="J1084" s="9" t="s">
        <v>1980</v>
      </c>
      <c r="K1084" s="9" t="s">
        <v>33</v>
      </c>
      <c r="L1084" s="13">
        <v>1</v>
      </c>
      <c r="M1084" s="9" t="s">
        <v>34</v>
      </c>
    </row>
    <row r="1085" spans="1:13" ht="20.25" customHeight="1" x14ac:dyDescent="0.25">
      <c r="A1085" s="9" t="s">
        <v>1981</v>
      </c>
      <c r="B1085" s="10">
        <v>45904</v>
      </c>
      <c r="C1085" s="9" t="s">
        <v>41</v>
      </c>
      <c r="D1085" s="9" t="s">
        <v>42</v>
      </c>
      <c r="E1085" s="11" t="s">
        <v>30</v>
      </c>
      <c r="F1085" s="11" t="s">
        <v>63</v>
      </c>
      <c r="G1085" s="3">
        <v>1155.6500000000001</v>
      </c>
      <c r="H1085" s="3">
        <v>818.59</v>
      </c>
      <c r="I1085" s="12">
        <v>1</v>
      </c>
      <c r="J1085" s="9" t="s">
        <v>636</v>
      </c>
      <c r="K1085" s="9" t="s">
        <v>33</v>
      </c>
      <c r="L1085" s="13">
        <v>1</v>
      </c>
      <c r="M1085" s="9" t="s">
        <v>34</v>
      </c>
    </row>
    <row r="1086" spans="1:13" ht="20.25" customHeight="1" x14ac:dyDescent="0.25">
      <c r="A1086" s="9" t="s">
        <v>1982</v>
      </c>
      <c r="B1086" s="10">
        <v>45905</v>
      </c>
      <c r="C1086" s="9" t="s">
        <v>71</v>
      </c>
      <c r="D1086" s="9" t="s">
        <v>42</v>
      </c>
      <c r="E1086" s="11" t="s">
        <v>30</v>
      </c>
      <c r="F1086" s="11" t="s">
        <v>31</v>
      </c>
      <c r="G1086" s="3">
        <v>1877.93</v>
      </c>
      <c r="H1086" s="3">
        <v>1300.1099999999999</v>
      </c>
      <c r="I1086" s="12">
        <v>3</v>
      </c>
      <c r="J1086" s="9" t="s">
        <v>1276</v>
      </c>
      <c r="K1086" s="9" t="s">
        <v>49</v>
      </c>
      <c r="L1086" s="13">
        <v>0</v>
      </c>
      <c r="M1086" s="9" t="s">
        <v>34</v>
      </c>
    </row>
    <row r="1087" spans="1:13" ht="20.25" customHeight="1" x14ac:dyDescent="0.25">
      <c r="A1087" s="9" t="s">
        <v>1983</v>
      </c>
      <c r="B1087" s="10">
        <v>45905</v>
      </c>
      <c r="C1087" s="9" t="s">
        <v>28</v>
      </c>
      <c r="D1087" s="9" t="s">
        <v>42</v>
      </c>
      <c r="E1087" s="11" t="s">
        <v>58</v>
      </c>
      <c r="F1087" s="11" t="s">
        <v>59</v>
      </c>
      <c r="G1087" s="3">
        <v>-288.91000000000003</v>
      </c>
      <c r="H1087" s="3">
        <v>-173.35</v>
      </c>
      <c r="I1087" s="12">
        <v>-2</v>
      </c>
      <c r="J1087" s="9" t="s">
        <v>1984</v>
      </c>
      <c r="K1087" s="9" t="s">
        <v>49</v>
      </c>
      <c r="L1087" s="13">
        <v>0</v>
      </c>
      <c r="M1087" s="9" t="s">
        <v>76</v>
      </c>
    </row>
    <row r="1088" spans="1:13" ht="20.25" customHeight="1" x14ac:dyDescent="0.25">
      <c r="A1088" s="9" t="s">
        <v>1985</v>
      </c>
      <c r="B1088" s="10">
        <v>45905</v>
      </c>
      <c r="C1088" s="9" t="s">
        <v>28</v>
      </c>
      <c r="D1088" s="9" t="s">
        <v>29</v>
      </c>
      <c r="E1088" s="11" t="s">
        <v>58</v>
      </c>
      <c r="F1088" s="11" t="s">
        <v>59</v>
      </c>
      <c r="G1088" s="3">
        <v>144.46</v>
      </c>
      <c r="H1088" s="3">
        <v>86.67</v>
      </c>
      <c r="I1088" s="12">
        <v>1</v>
      </c>
      <c r="J1088" s="9" t="s">
        <v>1986</v>
      </c>
      <c r="K1088" s="9" t="s">
        <v>33</v>
      </c>
      <c r="L1088" s="13">
        <v>1</v>
      </c>
      <c r="M1088" s="9" t="s">
        <v>34</v>
      </c>
    </row>
    <row r="1089" spans="1:13" ht="20.25" customHeight="1" x14ac:dyDescent="0.25">
      <c r="A1089" s="9" t="s">
        <v>1987</v>
      </c>
      <c r="B1089" s="10">
        <v>45906</v>
      </c>
      <c r="C1089" s="9" t="s">
        <v>71</v>
      </c>
      <c r="D1089" s="9" t="s">
        <v>29</v>
      </c>
      <c r="E1089" s="11" t="s">
        <v>43</v>
      </c>
      <c r="F1089" s="11" t="s">
        <v>47</v>
      </c>
      <c r="G1089" s="3">
        <v>105.93</v>
      </c>
      <c r="H1089" s="3">
        <v>62.6</v>
      </c>
      <c r="I1089" s="12">
        <v>1</v>
      </c>
      <c r="J1089" s="9" t="s">
        <v>724</v>
      </c>
      <c r="K1089" s="9" t="s">
        <v>49</v>
      </c>
      <c r="L1089" s="13">
        <v>0</v>
      </c>
      <c r="M1089" s="9" t="s">
        <v>34</v>
      </c>
    </row>
    <row r="1090" spans="1:13" ht="20.25" customHeight="1" x14ac:dyDescent="0.25">
      <c r="A1090" s="9" t="s">
        <v>1988</v>
      </c>
      <c r="B1090" s="10">
        <v>45906</v>
      </c>
      <c r="C1090" s="9" t="s">
        <v>71</v>
      </c>
      <c r="D1090" s="9" t="s">
        <v>29</v>
      </c>
      <c r="E1090" s="11" t="s">
        <v>58</v>
      </c>
      <c r="F1090" s="11" t="s">
        <v>59</v>
      </c>
      <c r="G1090" s="3">
        <v>144.46</v>
      </c>
      <c r="H1090" s="3">
        <v>86.67</v>
      </c>
      <c r="I1090" s="12">
        <v>1</v>
      </c>
      <c r="J1090" s="9" t="s">
        <v>1989</v>
      </c>
      <c r="K1090" s="9" t="s">
        <v>49</v>
      </c>
      <c r="L1090" s="13">
        <v>0</v>
      </c>
      <c r="M1090" s="9" t="s">
        <v>34</v>
      </c>
    </row>
    <row r="1091" spans="1:13" ht="20.25" customHeight="1" x14ac:dyDescent="0.25">
      <c r="A1091" s="9" t="s">
        <v>1990</v>
      </c>
      <c r="B1091" s="10">
        <v>45906</v>
      </c>
      <c r="C1091" s="9" t="s">
        <v>28</v>
      </c>
      <c r="D1091" s="9" t="s">
        <v>29</v>
      </c>
      <c r="E1091" s="11" t="s">
        <v>58</v>
      </c>
      <c r="F1091" s="11" t="s">
        <v>87</v>
      </c>
      <c r="G1091" s="3">
        <v>173.35</v>
      </c>
      <c r="H1091" s="3">
        <v>105.93</v>
      </c>
      <c r="I1091" s="12">
        <v>1</v>
      </c>
      <c r="J1091" s="9" t="s">
        <v>1991</v>
      </c>
      <c r="K1091" s="9" t="s">
        <v>33</v>
      </c>
      <c r="L1091" s="13">
        <v>1</v>
      </c>
      <c r="M1091" s="9" t="s">
        <v>34</v>
      </c>
    </row>
    <row r="1092" spans="1:13" ht="20.25" customHeight="1" x14ac:dyDescent="0.25">
      <c r="A1092" s="9" t="s">
        <v>1992</v>
      </c>
      <c r="B1092" s="10">
        <v>45907</v>
      </c>
      <c r="C1092" s="9" t="s">
        <v>41</v>
      </c>
      <c r="D1092" s="9" t="s">
        <v>51</v>
      </c>
      <c r="E1092" s="11" t="s">
        <v>58</v>
      </c>
      <c r="F1092" s="11" t="s">
        <v>68</v>
      </c>
      <c r="G1092" s="3">
        <v>1348.26</v>
      </c>
      <c r="H1092" s="3">
        <v>847.48</v>
      </c>
      <c r="I1092" s="12">
        <v>4</v>
      </c>
      <c r="J1092" s="9" t="s">
        <v>1393</v>
      </c>
      <c r="K1092" s="9" t="s">
        <v>49</v>
      </c>
      <c r="L1092" s="13">
        <v>0</v>
      </c>
      <c r="M1092" s="9" t="s">
        <v>34</v>
      </c>
    </row>
    <row r="1093" spans="1:13" ht="20.25" customHeight="1" x14ac:dyDescent="0.25">
      <c r="A1093" s="9" t="s">
        <v>1993</v>
      </c>
      <c r="B1093" s="10">
        <v>45907</v>
      </c>
      <c r="C1093" s="9" t="s">
        <v>36</v>
      </c>
      <c r="D1093" s="9" t="s">
        <v>51</v>
      </c>
      <c r="E1093" s="11" t="s">
        <v>43</v>
      </c>
      <c r="F1093" s="11" t="s">
        <v>44</v>
      </c>
      <c r="G1093" s="3">
        <v>43.34</v>
      </c>
      <c r="H1093" s="3">
        <v>19.260000000000002</v>
      </c>
      <c r="I1093" s="12">
        <v>1</v>
      </c>
      <c r="J1093" s="9" t="s">
        <v>1994</v>
      </c>
      <c r="K1093" s="9" t="s">
        <v>49</v>
      </c>
      <c r="L1093" s="13">
        <v>0</v>
      </c>
      <c r="M1093" s="9" t="s">
        <v>34</v>
      </c>
    </row>
    <row r="1094" spans="1:13" ht="20.25" customHeight="1" x14ac:dyDescent="0.25">
      <c r="A1094" s="9" t="s">
        <v>1995</v>
      </c>
      <c r="B1094" s="10">
        <v>45907</v>
      </c>
      <c r="C1094" s="9" t="s">
        <v>41</v>
      </c>
      <c r="D1094" s="9" t="s">
        <v>42</v>
      </c>
      <c r="E1094" s="11" t="s">
        <v>37</v>
      </c>
      <c r="F1094" s="11" t="s">
        <v>38</v>
      </c>
      <c r="G1094" s="3">
        <v>231.13</v>
      </c>
      <c r="H1094" s="3">
        <v>134.83000000000001</v>
      </c>
      <c r="I1094" s="12">
        <v>2</v>
      </c>
      <c r="J1094" s="9" t="s">
        <v>1996</v>
      </c>
      <c r="K1094" s="9" t="s">
        <v>49</v>
      </c>
      <c r="L1094" s="13">
        <v>0</v>
      </c>
      <c r="M1094" s="9" t="s">
        <v>34</v>
      </c>
    </row>
    <row r="1095" spans="1:13" ht="20.25" customHeight="1" x14ac:dyDescent="0.25">
      <c r="A1095" s="9" t="s">
        <v>1997</v>
      </c>
      <c r="B1095" s="10">
        <v>45908</v>
      </c>
      <c r="C1095" s="9" t="s">
        <v>54</v>
      </c>
      <c r="D1095" s="9" t="s">
        <v>42</v>
      </c>
      <c r="E1095" s="11" t="s">
        <v>37</v>
      </c>
      <c r="F1095" s="11" t="s">
        <v>72</v>
      </c>
      <c r="G1095" s="3">
        <v>211.87</v>
      </c>
      <c r="H1095" s="3">
        <v>125.2</v>
      </c>
      <c r="I1095" s="12">
        <v>1</v>
      </c>
      <c r="J1095" s="9" t="s">
        <v>1998</v>
      </c>
      <c r="K1095" s="9" t="s">
        <v>49</v>
      </c>
      <c r="L1095" s="13">
        <v>0</v>
      </c>
      <c r="M1095" s="9" t="s">
        <v>34</v>
      </c>
    </row>
    <row r="1096" spans="1:13" ht="20.25" customHeight="1" x14ac:dyDescent="0.25">
      <c r="A1096" s="9" t="s">
        <v>1999</v>
      </c>
      <c r="B1096" s="10">
        <v>45908</v>
      </c>
      <c r="C1096" s="9" t="s">
        <v>28</v>
      </c>
      <c r="D1096" s="9" t="s">
        <v>29</v>
      </c>
      <c r="E1096" s="11" t="s">
        <v>58</v>
      </c>
      <c r="F1096" s="11" t="s">
        <v>59</v>
      </c>
      <c r="G1096" s="3">
        <v>144.46</v>
      </c>
      <c r="H1096" s="3">
        <v>86.67</v>
      </c>
      <c r="I1096" s="12">
        <v>1</v>
      </c>
      <c r="J1096" s="9" t="s">
        <v>105</v>
      </c>
      <c r="K1096" s="9" t="s">
        <v>49</v>
      </c>
      <c r="L1096" s="13">
        <v>0</v>
      </c>
      <c r="M1096" s="9" t="s">
        <v>34</v>
      </c>
    </row>
    <row r="1097" spans="1:13" ht="20.25" customHeight="1" x14ac:dyDescent="0.25">
      <c r="A1097" s="9" t="s">
        <v>2000</v>
      </c>
      <c r="B1097" s="10">
        <v>45909</v>
      </c>
      <c r="C1097" s="9" t="s">
        <v>28</v>
      </c>
      <c r="D1097" s="9" t="s">
        <v>51</v>
      </c>
      <c r="E1097" s="11" t="s">
        <v>43</v>
      </c>
      <c r="F1097" s="11" t="s">
        <v>90</v>
      </c>
      <c r="G1097" s="3">
        <v>433.37</v>
      </c>
      <c r="H1097" s="3">
        <v>260.02</v>
      </c>
      <c r="I1097" s="12">
        <v>3</v>
      </c>
      <c r="J1097" s="9" t="s">
        <v>2001</v>
      </c>
      <c r="K1097" s="9" t="s">
        <v>49</v>
      </c>
      <c r="L1097" s="13">
        <v>0</v>
      </c>
      <c r="M1097" s="9" t="s">
        <v>34</v>
      </c>
    </row>
    <row r="1098" spans="1:13" ht="20.25" customHeight="1" x14ac:dyDescent="0.25">
      <c r="A1098" s="9" t="s">
        <v>2002</v>
      </c>
      <c r="B1098" s="10">
        <v>45909</v>
      </c>
      <c r="C1098" s="9" t="s">
        <v>41</v>
      </c>
      <c r="D1098" s="9" t="s">
        <v>29</v>
      </c>
      <c r="E1098" s="11" t="s">
        <v>30</v>
      </c>
      <c r="F1098" s="11" t="s">
        <v>80</v>
      </c>
      <c r="G1098" s="3">
        <v>2455.7600000000002</v>
      </c>
      <c r="H1098" s="3">
        <v>1733.48</v>
      </c>
      <c r="I1098" s="12">
        <v>3</v>
      </c>
      <c r="J1098" s="9" t="s">
        <v>1432</v>
      </c>
      <c r="K1098" s="9" t="s">
        <v>49</v>
      </c>
      <c r="L1098" s="13">
        <v>0</v>
      </c>
      <c r="M1098" s="9" t="s">
        <v>34</v>
      </c>
    </row>
    <row r="1099" spans="1:13" ht="20.25" customHeight="1" x14ac:dyDescent="0.25">
      <c r="A1099" s="9" t="s">
        <v>2003</v>
      </c>
      <c r="B1099" s="10">
        <v>45910</v>
      </c>
      <c r="C1099" s="9" t="s">
        <v>71</v>
      </c>
      <c r="D1099" s="9" t="s">
        <v>29</v>
      </c>
      <c r="E1099" s="11" t="s">
        <v>43</v>
      </c>
      <c r="F1099" s="11" t="s">
        <v>44</v>
      </c>
      <c r="G1099" s="3">
        <v>43.34</v>
      </c>
      <c r="H1099" s="3">
        <v>19.260000000000002</v>
      </c>
      <c r="I1099" s="12">
        <v>1</v>
      </c>
      <c r="J1099" s="9" t="s">
        <v>718</v>
      </c>
      <c r="K1099" s="9" t="s">
        <v>49</v>
      </c>
      <c r="L1099" s="13">
        <v>0</v>
      </c>
      <c r="M1099" s="9" t="s">
        <v>34</v>
      </c>
    </row>
    <row r="1100" spans="1:13" ht="20.25" customHeight="1" x14ac:dyDescent="0.25">
      <c r="A1100" s="9" t="s">
        <v>2004</v>
      </c>
      <c r="B1100" s="10">
        <v>45910</v>
      </c>
      <c r="C1100" s="9" t="s">
        <v>41</v>
      </c>
      <c r="D1100" s="9" t="s">
        <v>51</v>
      </c>
      <c r="E1100" s="11" t="s">
        <v>58</v>
      </c>
      <c r="F1100" s="11" t="s">
        <v>68</v>
      </c>
      <c r="G1100" s="3">
        <v>337.06</v>
      </c>
      <c r="H1100" s="3">
        <v>211.87</v>
      </c>
      <c r="I1100" s="12">
        <v>1</v>
      </c>
      <c r="J1100" s="9" t="s">
        <v>739</v>
      </c>
      <c r="K1100" s="9" t="s">
        <v>49</v>
      </c>
      <c r="L1100" s="13">
        <v>0</v>
      </c>
      <c r="M1100" s="9" t="s">
        <v>34</v>
      </c>
    </row>
    <row r="1101" spans="1:13" ht="20.25" customHeight="1" x14ac:dyDescent="0.25">
      <c r="A1101" s="9" t="s">
        <v>2005</v>
      </c>
      <c r="B1101" s="10">
        <v>45910</v>
      </c>
      <c r="C1101" s="9" t="s">
        <v>54</v>
      </c>
      <c r="D1101" s="9" t="s">
        <v>29</v>
      </c>
      <c r="E1101" s="11" t="s">
        <v>58</v>
      </c>
      <c r="F1101" s="11" t="s">
        <v>59</v>
      </c>
      <c r="G1101" s="3">
        <v>144.46</v>
      </c>
      <c r="H1101" s="3">
        <v>86.67</v>
      </c>
      <c r="I1101" s="12">
        <v>1</v>
      </c>
      <c r="J1101" s="9" t="s">
        <v>360</v>
      </c>
      <c r="K1101" s="9" t="s">
        <v>33</v>
      </c>
      <c r="L1101" s="13">
        <v>1</v>
      </c>
      <c r="M1101" s="9" t="s">
        <v>34</v>
      </c>
    </row>
    <row r="1102" spans="1:13" ht="20.25" customHeight="1" x14ac:dyDescent="0.25">
      <c r="A1102" s="9" t="s">
        <v>2006</v>
      </c>
      <c r="B1102" s="10">
        <v>45910</v>
      </c>
      <c r="C1102" s="9" t="s">
        <v>54</v>
      </c>
      <c r="D1102" s="9" t="s">
        <v>29</v>
      </c>
      <c r="E1102" s="11" t="s">
        <v>58</v>
      </c>
      <c r="F1102" s="11" t="s">
        <v>87</v>
      </c>
      <c r="G1102" s="3">
        <v>173.35</v>
      </c>
      <c r="H1102" s="3">
        <v>105.93</v>
      </c>
      <c r="I1102" s="12">
        <v>1</v>
      </c>
      <c r="J1102" s="9" t="s">
        <v>2007</v>
      </c>
      <c r="K1102" s="9" t="s">
        <v>49</v>
      </c>
      <c r="L1102" s="13">
        <v>0</v>
      </c>
      <c r="M1102" s="9" t="s">
        <v>34</v>
      </c>
    </row>
    <row r="1103" spans="1:13" ht="20.25" customHeight="1" x14ac:dyDescent="0.25">
      <c r="A1103" s="9" t="s">
        <v>2008</v>
      </c>
      <c r="B1103" s="10">
        <v>45910</v>
      </c>
      <c r="C1103" s="9" t="s">
        <v>62</v>
      </c>
      <c r="D1103" s="9" t="s">
        <v>29</v>
      </c>
      <c r="E1103" s="11" t="s">
        <v>37</v>
      </c>
      <c r="F1103" s="11" t="s">
        <v>55</v>
      </c>
      <c r="G1103" s="3">
        <v>86.67</v>
      </c>
      <c r="H1103" s="3">
        <v>52.97</v>
      </c>
      <c r="I1103" s="12">
        <v>1</v>
      </c>
      <c r="J1103" s="9" t="s">
        <v>2009</v>
      </c>
      <c r="K1103" s="9" t="s">
        <v>33</v>
      </c>
      <c r="L1103" s="13">
        <v>1</v>
      </c>
      <c r="M1103" s="9" t="s">
        <v>34</v>
      </c>
    </row>
    <row r="1104" spans="1:13" ht="20.25" customHeight="1" x14ac:dyDescent="0.25">
      <c r="A1104" s="9" t="s">
        <v>2010</v>
      </c>
      <c r="B1104" s="10">
        <v>45911</v>
      </c>
      <c r="C1104" s="9" t="s">
        <v>71</v>
      </c>
      <c r="D1104" s="9" t="s">
        <v>51</v>
      </c>
      <c r="E1104" s="11" t="s">
        <v>30</v>
      </c>
      <c r="F1104" s="11" t="s">
        <v>31</v>
      </c>
      <c r="G1104" s="3">
        <v>625.98</v>
      </c>
      <c r="H1104" s="3">
        <v>433.37</v>
      </c>
      <c r="I1104" s="12">
        <v>1</v>
      </c>
      <c r="J1104" s="9" t="s">
        <v>2011</v>
      </c>
      <c r="K1104" s="9" t="s">
        <v>49</v>
      </c>
      <c r="L1104" s="13">
        <v>0</v>
      </c>
      <c r="M1104" s="9" t="s">
        <v>34</v>
      </c>
    </row>
    <row r="1105" spans="1:13" ht="20.25" customHeight="1" x14ac:dyDescent="0.25">
      <c r="A1105" s="9" t="s">
        <v>2012</v>
      </c>
      <c r="B1105" s="10">
        <v>45911</v>
      </c>
      <c r="C1105" s="9" t="s">
        <v>36</v>
      </c>
      <c r="D1105" s="9" t="s">
        <v>51</v>
      </c>
      <c r="E1105" s="11" t="s">
        <v>43</v>
      </c>
      <c r="F1105" s="11" t="s">
        <v>47</v>
      </c>
      <c r="G1105" s="3">
        <v>423.74</v>
      </c>
      <c r="H1105" s="3">
        <v>250.39</v>
      </c>
      <c r="I1105" s="12">
        <v>4</v>
      </c>
      <c r="J1105" s="9" t="s">
        <v>598</v>
      </c>
      <c r="K1105" s="9" t="s">
        <v>49</v>
      </c>
      <c r="L1105" s="13">
        <v>0</v>
      </c>
      <c r="M1105" s="9" t="s">
        <v>34</v>
      </c>
    </row>
    <row r="1106" spans="1:13" ht="20.25" customHeight="1" x14ac:dyDescent="0.25">
      <c r="A1106" s="9" t="s">
        <v>2013</v>
      </c>
      <c r="B1106" s="10">
        <v>45912</v>
      </c>
      <c r="C1106" s="9" t="s">
        <v>36</v>
      </c>
      <c r="D1106" s="9" t="s">
        <v>29</v>
      </c>
      <c r="E1106" s="11" t="s">
        <v>58</v>
      </c>
      <c r="F1106" s="11" t="s">
        <v>68</v>
      </c>
      <c r="G1106" s="3">
        <v>337.06</v>
      </c>
      <c r="H1106" s="3">
        <v>211.87</v>
      </c>
      <c r="I1106" s="12">
        <v>1</v>
      </c>
      <c r="J1106" s="9" t="s">
        <v>722</v>
      </c>
      <c r="K1106" s="9" t="s">
        <v>49</v>
      </c>
      <c r="L1106" s="13">
        <v>0</v>
      </c>
      <c r="M1106" s="9" t="s">
        <v>34</v>
      </c>
    </row>
    <row r="1107" spans="1:13" ht="20.25" customHeight="1" x14ac:dyDescent="0.25">
      <c r="A1107" s="9" t="s">
        <v>2014</v>
      </c>
      <c r="B1107" s="10">
        <v>45913</v>
      </c>
      <c r="C1107" s="9" t="s">
        <v>28</v>
      </c>
      <c r="D1107" s="9" t="s">
        <v>42</v>
      </c>
      <c r="E1107" s="11" t="s">
        <v>58</v>
      </c>
      <c r="F1107" s="11" t="s">
        <v>68</v>
      </c>
      <c r="G1107" s="3">
        <v>1011.19</v>
      </c>
      <c r="H1107" s="3">
        <v>635.61</v>
      </c>
      <c r="I1107" s="12">
        <v>3</v>
      </c>
      <c r="J1107" s="9" t="s">
        <v>1910</v>
      </c>
      <c r="K1107" s="9" t="s">
        <v>49</v>
      </c>
      <c r="L1107" s="13">
        <v>0</v>
      </c>
      <c r="M1107" s="9" t="s">
        <v>34</v>
      </c>
    </row>
    <row r="1108" spans="1:13" ht="20.25" customHeight="1" x14ac:dyDescent="0.25">
      <c r="A1108" s="9" t="s">
        <v>2015</v>
      </c>
      <c r="B1108" s="10">
        <v>45913</v>
      </c>
      <c r="C1108" s="9" t="s">
        <v>71</v>
      </c>
      <c r="D1108" s="9" t="s">
        <v>29</v>
      </c>
      <c r="E1108" s="11" t="s">
        <v>30</v>
      </c>
      <c r="F1108" s="11" t="s">
        <v>80</v>
      </c>
      <c r="G1108" s="3">
        <v>1637.17</v>
      </c>
      <c r="H1108" s="3">
        <v>1155.6500000000001</v>
      </c>
      <c r="I1108" s="12">
        <v>2</v>
      </c>
      <c r="J1108" s="9" t="s">
        <v>376</v>
      </c>
      <c r="K1108" s="9" t="s">
        <v>49</v>
      </c>
      <c r="L1108" s="13">
        <v>0</v>
      </c>
      <c r="M1108" s="9" t="s">
        <v>34</v>
      </c>
    </row>
    <row r="1109" spans="1:13" ht="20.25" customHeight="1" x14ac:dyDescent="0.25">
      <c r="A1109" s="9" t="s">
        <v>2016</v>
      </c>
      <c r="B1109" s="10">
        <v>45914</v>
      </c>
      <c r="C1109" s="9" t="s">
        <v>28</v>
      </c>
      <c r="D1109" s="9" t="s">
        <v>29</v>
      </c>
      <c r="E1109" s="11" t="s">
        <v>58</v>
      </c>
      <c r="F1109" s="11" t="s">
        <v>59</v>
      </c>
      <c r="G1109" s="3">
        <v>144.46</v>
      </c>
      <c r="H1109" s="3">
        <v>86.67</v>
      </c>
      <c r="I1109" s="12">
        <v>1</v>
      </c>
      <c r="J1109" s="9" t="s">
        <v>292</v>
      </c>
      <c r="K1109" s="9" t="s">
        <v>49</v>
      </c>
      <c r="L1109" s="13">
        <v>0</v>
      </c>
      <c r="M1109" s="9" t="s">
        <v>34</v>
      </c>
    </row>
    <row r="1110" spans="1:13" ht="20.25" customHeight="1" x14ac:dyDescent="0.25">
      <c r="A1110" s="9" t="s">
        <v>2017</v>
      </c>
      <c r="B1110" s="10">
        <v>45914</v>
      </c>
      <c r="C1110" s="9" t="s">
        <v>62</v>
      </c>
      <c r="D1110" s="9" t="s">
        <v>51</v>
      </c>
      <c r="E1110" s="11" t="s">
        <v>58</v>
      </c>
      <c r="F1110" s="11" t="s">
        <v>87</v>
      </c>
      <c r="G1110" s="3">
        <v>520.04</v>
      </c>
      <c r="H1110" s="3">
        <v>317.8</v>
      </c>
      <c r="I1110" s="12">
        <v>3</v>
      </c>
      <c r="J1110" s="9" t="s">
        <v>2018</v>
      </c>
      <c r="K1110" s="9" t="s">
        <v>49</v>
      </c>
      <c r="L1110" s="13">
        <v>0</v>
      </c>
      <c r="M1110" s="9" t="s">
        <v>34</v>
      </c>
    </row>
    <row r="1111" spans="1:13" ht="20.25" customHeight="1" x14ac:dyDescent="0.25">
      <c r="A1111" s="9" t="s">
        <v>2019</v>
      </c>
      <c r="B1111" s="10">
        <v>45914</v>
      </c>
      <c r="C1111" s="9" t="s">
        <v>71</v>
      </c>
      <c r="D1111" s="9" t="s">
        <v>51</v>
      </c>
      <c r="E1111" s="11" t="s">
        <v>58</v>
      </c>
      <c r="F1111" s="11" t="s">
        <v>87</v>
      </c>
      <c r="G1111" s="3">
        <v>173.35</v>
      </c>
      <c r="H1111" s="3">
        <v>105.93</v>
      </c>
      <c r="I1111" s="12">
        <v>1</v>
      </c>
      <c r="J1111" s="9" t="s">
        <v>2020</v>
      </c>
      <c r="K1111" s="9" t="s">
        <v>33</v>
      </c>
      <c r="L1111" s="13">
        <v>1</v>
      </c>
      <c r="M1111" s="9" t="s">
        <v>34</v>
      </c>
    </row>
    <row r="1112" spans="1:13" ht="20.25" customHeight="1" x14ac:dyDescent="0.25">
      <c r="A1112" s="9" t="s">
        <v>2021</v>
      </c>
      <c r="B1112" s="10">
        <v>45914</v>
      </c>
      <c r="C1112" s="9" t="s">
        <v>71</v>
      </c>
      <c r="D1112" s="9" t="s">
        <v>42</v>
      </c>
      <c r="E1112" s="11" t="s">
        <v>37</v>
      </c>
      <c r="F1112" s="11" t="s">
        <v>38</v>
      </c>
      <c r="G1112" s="3">
        <v>346.7</v>
      </c>
      <c r="H1112" s="3">
        <v>202.24</v>
      </c>
      <c r="I1112" s="12">
        <v>3</v>
      </c>
      <c r="J1112" s="9" t="s">
        <v>2022</v>
      </c>
      <c r="K1112" s="9" t="s">
        <v>49</v>
      </c>
      <c r="L1112" s="13">
        <v>0</v>
      </c>
      <c r="M1112" s="9" t="s">
        <v>34</v>
      </c>
    </row>
    <row r="1113" spans="1:13" ht="20.25" customHeight="1" x14ac:dyDescent="0.25">
      <c r="A1113" s="9" t="s">
        <v>2023</v>
      </c>
      <c r="B1113" s="10">
        <v>45914</v>
      </c>
      <c r="C1113" s="9" t="s">
        <v>36</v>
      </c>
      <c r="D1113" s="9" t="s">
        <v>29</v>
      </c>
      <c r="E1113" s="11" t="s">
        <v>58</v>
      </c>
      <c r="F1113" s="11" t="s">
        <v>68</v>
      </c>
      <c r="G1113" s="3">
        <v>337.06</v>
      </c>
      <c r="H1113" s="3">
        <v>211.87</v>
      </c>
      <c r="I1113" s="12">
        <v>1</v>
      </c>
      <c r="J1113" s="9" t="s">
        <v>2024</v>
      </c>
      <c r="K1113" s="9" t="s">
        <v>33</v>
      </c>
      <c r="L1113" s="13">
        <v>1</v>
      </c>
      <c r="M1113" s="9" t="s">
        <v>34</v>
      </c>
    </row>
    <row r="1114" spans="1:13" ht="20.25" customHeight="1" x14ac:dyDescent="0.25">
      <c r="A1114" s="9" t="s">
        <v>2025</v>
      </c>
      <c r="B1114" s="10">
        <v>45915</v>
      </c>
      <c r="C1114" s="9" t="s">
        <v>28</v>
      </c>
      <c r="D1114" s="9" t="s">
        <v>51</v>
      </c>
      <c r="E1114" s="11" t="s">
        <v>43</v>
      </c>
      <c r="F1114" s="11" t="s">
        <v>47</v>
      </c>
      <c r="G1114" s="3">
        <v>105.93</v>
      </c>
      <c r="H1114" s="3">
        <v>62.6</v>
      </c>
      <c r="I1114" s="12">
        <v>1</v>
      </c>
      <c r="J1114" s="9" t="s">
        <v>2026</v>
      </c>
      <c r="K1114" s="9" t="s">
        <v>49</v>
      </c>
      <c r="L1114" s="13">
        <v>0</v>
      </c>
      <c r="M1114" s="9" t="s">
        <v>34</v>
      </c>
    </row>
    <row r="1115" spans="1:13" ht="20.25" customHeight="1" x14ac:dyDescent="0.25">
      <c r="A1115" s="9" t="s">
        <v>2027</v>
      </c>
      <c r="B1115" s="10">
        <v>45916</v>
      </c>
      <c r="C1115" s="9" t="s">
        <v>28</v>
      </c>
      <c r="D1115" s="9" t="s">
        <v>51</v>
      </c>
      <c r="E1115" s="11" t="s">
        <v>37</v>
      </c>
      <c r="F1115" s="11" t="s">
        <v>38</v>
      </c>
      <c r="G1115" s="3">
        <v>346.7</v>
      </c>
      <c r="H1115" s="3">
        <v>202.24</v>
      </c>
      <c r="I1115" s="12">
        <v>3</v>
      </c>
      <c r="J1115" s="9" t="s">
        <v>99</v>
      </c>
      <c r="K1115" s="9" t="s">
        <v>33</v>
      </c>
      <c r="L1115" s="13">
        <v>1</v>
      </c>
      <c r="M1115" s="9" t="s">
        <v>34</v>
      </c>
    </row>
    <row r="1116" spans="1:13" ht="20.25" customHeight="1" x14ac:dyDescent="0.25">
      <c r="A1116" s="9" t="s">
        <v>2028</v>
      </c>
      <c r="B1116" s="10">
        <v>45916</v>
      </c>
      <c r="C1116" s="9" t="s">
        <v>36</v>
      </c>
      <c r="D1116" s="9" t="s">
        <v>42</v>
      </c>
      <c r="E1116" s="11" t="s">
        <v>43</v>
      </c>
      <c r="F1116" s="11" t="s">
        <v>47</v>
      </c>
      <c r="G1116" s="3">
        <v>105.93</v>
      </c>
      <c r="H1116" s="3">
        <v>62.6</v>
      </c>
      <c r="I1116" s="12">
        <v>1</v>
      </c>
      <c r="J1116" s="9" t="s">
        <v>2029</v>
      </c>
      <c r="K1116" s="9" t="s">
        <v>49</v>
      </c>
      <c r="L1116" s="13">
        <v>0</v>
      </c>
      <c r="M1116" s="9" t="s">
        <v>34</v>
      </c>
    </row>
    <row r="1117" spans="1:13" ht="20.25" customHeight="1" x14ac:dyDescent="0.25">
      <c r="A1117" s="9" t="s">
        <v>2030</v>
      </c>
      <c r="B1117" s="10">
        <v>45916</v>
      </c>
      <c r="C1117" s="9" t="s">
        <v>28</v>
      </c>
      <c r="D1117" s="9" t="s">
        <v>29</v>
      </c>
      <c r="E1117" s="11" t="s">
        <v>30</v>
      </c>
      <c r="F1117" s="11" t="s">
        <v>31</v>
      </c>
      <c r="G1117" s="3">
        <v>1877.93</v>
      </c>
      <c r="H1117" s="3">
        <v>1300.1099999999999</v>
      </c>
      <c r="I1117" s="12">
        <v>3</v>
      </c>
      <c r="J1117" s="9" t="s">
        <v>865</v>
      </c>
      <c r="K1117" s="9" t="s">
        <v>33</v>
      </c>
      <c r="L1117" s="13">
        <v>1</v>
      </c>
      <c r="M1117" s="9" t="s">
        <v>34</v>
      </c>
    </row>
    <row r="1118" spans="1:13" ht="20.25" customHeight="1" x14ac:dyDescent="0.25">
      <c r="A1118" s="9" t="s">
        <v>2031</v>
      </c>
      <c r="B1118" s="10">
        <v>45917</v>
      </c>
      <c r="C1118" s="9" t="s">
        <v>71</v>
      </c>
      <c r="D1118" s="9" t="s">
        <v>51</v>
      </c>
      <c r="E1118" s="11" t="s">
        <v>58</v>
      </c>
      <c r="F1118" s="11" t="s">
        <v>68</v>
      </c>
      <c r="G1118" s="3">
        <v>1011.19</v>
      </c>
      <c r="H1118" s="3">
        <v>635.61</v>
      </c>
      <c r="I1118" s="12">
        <v>3</v>
      </c>
      <c r="J1118" s="9" t="s">
        <v>2032</v>
      </c>
      <c r="K1118" s="9" t="s">
        <v>49</v>
      </c>
      <c r="L1118" s="13">
        <v>0</v>
      </c>
      <c r="M1118" s="9" t="s">
        <v>34</v>
      </c>
    </row>
    <row r="1119" spans="1:13" ht="20.25" customHeight="1" x14ac:dyDescent="0.25">
      <c r="A1119" s="9" t="s">
        <v>2033</v>
      </c>
      <c r="B1119" s="10">
        <v>45917</v>
      </c>
      <c r="C1119" s="9" t="s">
        <v>54</v>
      </c>
      <c r="D1119" s="9" t="s">
        <v>51</v>
      </c>
      <c r="E1119" s="11" t="s">
        <v>58</v>
      </c>
      <c r="F1119" s="11" t="s">
        <v>59</v>
      </c>
      <c r="G1119" s="3">
        <v>144.46</v>
      </c>
      <c r="H1119" s="3">
        <v>86.67</v>
      </c>
      <c r="I1119" s="12">
        <v>1</v>
      </c>
      <c r="J1119" s="9" t="s">
        <v>1445</v>
      </c>
      <c r="K1119" s="9" t="s">
        <v>33</v>
      </c>
      <c r="L1119" s="13">
        <v>1</v>
      </c>
      <c r="M1119" s="9" t="s">
        <v>34</v>
      </c>
    </row>
    <row r="1120" spans="1:13" ht="20.25" customHeight="1" x14ac:dyDescent="0.25">
      <c r="A1120" s="9" t="s">
        <v>2034</v>
      </c>
      <c r="B1120" s="10">
        <v>45918</v>
      </c>
      <c r="C1120" s="9" t="s">
        <v>54</v>
      </c>
      <c r="D1120" s="9" t="s">
        <v>29</v>
      </c>
      <c r="E1120" s="11" t="s">
        <v>37</v>
      </c>
      <c r="F1120" s="11" t="s">
        <v>38</v>
      </c>
      <c r="G1120" s="3">
        <v>115.57</v>
      </c>
      <c r="H1120" s="3">
        <v>67.41</v>
      </c>
      <c r="I1120" s="12">
        <v>1</v>
      </c>
      <c r="J1120" s="9" t="s">
        <v>856</v>
      </c>
      <c r="K1120" s="9" t="s">
        <v>49</v>
      </c>
      <c r="L1120" s="13">
        <v>0</v>
      </c>
      <c r="M1120" s="9" t="s">
        <v>34</v>
      </c>
    </row>
    <row r="1121" spans="1:13" ht="20.25" customHeight="1" x14ac:dyDescent="0.25">
      <c r="A1121" s="9" t="s">
        <v>2035</v>
      </c>
      <c r="B1121" s="10">
        <v>45919</v>
      </c>
      <c r="C1121" s="9" t="s">
        <v>41</v>
      </c>
      <c r="D1121" s="9" t="s">
        <v>29</v>
      </c>
      <c r="E1121" s="11" t="s">
        <v>43</v>
      </c>
      <c r="F1121" s="11" t="s">
        <v>44</v>
      </c>
      <c r="G1121" s="3">
        <v>43.34</v>
      </c>
      <c r="H1121" s="3">
        <v>19.260000000000002</v>
      </c>
      <c r="I1121" s="12">
        <v>1</v>
      </c>
      <c r="J1121" s="9" t="s">
        <v>328</v>
      </c>
      <c r="K1121" s="9" t="s">
        <v>33</v>
      </c>
      <c r="L1121" s="13">
        <v>1</v>
      </c>
      <c r="M1121" s="9" t="s">
        <v>34</v>
      </c>
    </row>
    <row r="1122" spans="1:13" ht="20.25" customHeight="1" x14ac:dyDescent="0.25">
      <c r="A1122" s="9" t="s">
        <v>2036</v>
      </c>
      <c r="B1122" s="10">
        <v>45919</v>
      </c>
      <c r="C1122" s="9" t="s">
        <v>28</v>
      </c>
      <c r="D1122" s="9" t="s">
        <v>29</v>
      </c>
      <c r="E1122" s="11" t="s">
        <v>30</v>
      </c>
      <c r="F1122" s="11" t="s">
        <v>31</v>
      </c>
      <c r="G1122" s="3">
        <v>1251.95</v>
      </c>
      <c r="H1122" s="3">
        <v>866.74</v>
      </c>
      <c r="I1122" s="12">
        <v>2</v>
      </c>
      <c r="J1122" s="9" t="s">
        <v>2037</v>
      </c>
      <c r="K1122" s="9" t="s">
        <v>33</v>
      </c>
      <c r="L1122" s="13">
        <v>1</v>
      </c>
      <c r="M1122" s="9" t="s">
        <v>34</v>
      </c>
    </row>
    <row r="1123" spans="1:13" ht="20.25" customHeight="1" x14ac:dyDescent="0.25">
      <c r="A1123" s="9" t="s">
        <v>2038</v>
      </c>
      <c r="B1123" s="10">
        <v>45920</v>
      </c>
      <c r="C1123" s="9" t="s">
        <v>54</v>
      </c>
      <c r="D1123" s="9" t="s">
        <v>51</v>
      </c>
      <c r="E1123" s="11" t="s">
        <v>30</v>
      </c>
      <c r="F1123" s="11" t="s">
        <v>31</v>
      </c>
      <c r="G1123" s="3">
        <v>1251.95</v>
      </c>
      <c r="H1123" s="3">
        <v>866.74</v>
      </c>
      <c r="I1123" s="12">
        <v>2</v>
      </c>
      <c r="J1123" s="9" t="s">
        <v>2039</v>
      </c>
      <c r="K1123" s="9" t="s">
        <v>49</v>
      </c>
      <c r="L1123" s="13">
        <v>0</v>
      </c>
      <c r="M1123" s="9" t="s">
        <v>34</v>
      </c>
    </row>
    <row r="1124" spans="1:13" ht="20.25" customHeight="1" x14ac:dyDescent="0.25">
      <c r="A1124" s="9" t="s">
        <v>2040</v>
      </c>
      <c r="B1124" s="10">
        <v>45920</v>
      </c>
      <c r="C1124" s="9" t="s">
        <v>54</v>
      </c>
      <c r="D1124" s="9" t="s">
        <v>42</v>
      </c>
      <c r="E1124" s="11" t="s">
        <v>43</v>
      </c>
      <c r="F1124" s="11" t="s">
        <v>90</v>
      </c>
      <c r="G1124" s="3">
        <v>144.46</v>
      </c>
      <c r="H1124" s="3">
        <v>86.67</v>
      </c>
      <c r="I1124" s="12">
        <v>1</v>
      </c>
      <c r="J1124" s="9" t="s">
        <v>2041</v>
      </c>
      <c r="K1124" s="9" t="s">
        <v>49</v>
      </c>
      <c r="L1124" s="13">
        <v>0</v>
      </c>
      <c r="M1124" s="9" t="s">
        <v>34</v>
      </c>
    </row>
    <row r="1125" spans="1:13" ht="20.25" customHeight="1" x14ac:dyDescent="0.25">
      <c r="A1125" s="9" t="s">
        <v>2042</v>
      </c>
      <c r="B1125" s="10">
        <v>45920</v>
      </c>
      <c r="C1125" s="9" t="s">
        <v>28</v>
      </c>
      <c r="D1125" s="9" t="s">
        <v>51</v>
      </c>
      <c r="E1125" s="11" t="s">
        <v>30</v>
      </c>
      <c r="F1125" s="11" t="s">
        <v>31</v>
      </c>
      <c r="G1125" s="3">
        <v>625.98</v>
      </c>
      <c r="H1125" s="3">
        <v>433.37</v>
      </c>
      <c r="I1125" s="12">
        <v>1</v>
      </c>
      <c r="J1125" s="9" t="s">
        <v>755</v>
      </c>
      <c r="K1125" s="9" t="s">
        <v>49</v>
      </c>
      <c r="L1125" s="13">
        <v>0</v>
      </c>
      <c r="M1125" s="9" t="s">
        <v>34</v>
      </c>
    </row>
    <row r="1126" spans="1:13" ht="20.25" customHeight="1" x14ac:dyDescent="0.25">
      <c r="A1126" s="9" t="s">
        <v>2043</v>
      </c>
      <c r="B1126" s="10">
        <v>45920</v>
      </c>
      <c r="C1126" s="9" t="s">
        <v>41</v>
      </c>
      <c r="D1126" s="9" t="s">
        <v>51</v>
      </c>
      <c r="E1126" s="11" t="s">
        <v>37</v>
      </c>
      <c r="F1126" s="11" t="s">
        <v>38</v>
      </c>
      <c r="G1126" s="3">
        <v>231.13</v>
      </c>
      <c r="H1126" s="3">
        <v>134.83000000000001</v>
      </c>
      <c r="I1126" s="12">
        <v>2</v>
      </c>
      <c r="J1126" s="9" t="s">
        <v>1069</v>
      </c>
      <c r="K1126" s="9" t="s">
        <v>33</v>
      </c>
      <c r="L1126" s="13">
        <v>1</v>
      </c>
      <c r="M1126" s="9" t="s">
        <v>34</v>
      </c>
    </row>
    <row r="1127" spans="1:13" ht="20.25" customHeight="1" x14ac:dyDescent="0.25">
      <c r="A1127" s="9" t="s">
        <v>2044</v>
      </c>
      <c r="B1127" s="10">
        <v>45920</v>
      </c>
      <c r="C1127" s="9" t="s">
        <v>28</v>
      </c>
      <c r="D1127" s="9" t="s">
        <v>51</v>
      </c>
      <c r="E1127" s="11" t="s">
        <v>58</v>
      </c>
      <c r="F1127" s="11" t="s">
        <v>68</v>
      </c>
      <c r="G1127" s="3">
        <v>337.06</v>
      </c>
      <c r="H1127" s="3">
        <v>211.87</v>
      </c>
      <c r="I1127" s="12">
        <v>1</v>
      </c>
      <c r="J1127" s="9" t="s">
        <v>1812</v>
      </c>
      <c r="K1127" s="9" t="s">
        <v>49</v>
      </c>
      <c r="L1127" s="13">
        <v>0</v>
      </c>
      <c r="M1127" s="9" t="s">
        <v>34</v>
      </c>
    </row>
    <row r="1128" spans="1:13" ht="20.25" customHeight="1" x14ac:dyDescent="0.25">
      <c r="A1128" s="9" t="s">
        <v>2045</v>
      </c>
      <c r="B1128" s="10">
        <v>45921</v>
      </c>
      <c r="C1128" s="9" t="s">
        <v>54</v>
      </c>
      <c r="D1128" s="9" t="s">
        <v>29</v>
      </c>
      <c r="E1128" s="11" t="s">
        <v>43</v>
      </c>
      <c r="F1128" s="11" t="s">
        <v>44</v>
      </c>
      <c r="G1128" s="3">
        <v>86.67</v>
      </c>
      <c r="H1128" s="3">
        <v>38.520000000000003</v>
      </c>
      <c r="I1128" s="12">
        <v>2</v>
      </c>
      <c r="J1128" s="9" t="s">
        <v>2046</v>
      </c>
      <c r="K1128" s="9" t="s">
        <v>33</v>
      </c>
      <c r="L1128" s="13">
        <v>1</v>
      </c>
      <c r="M1128" s="9" t="s">
        <v>34</v>
      </c>
    </row>
    <row r="1129" spans="1:13" ht="20.25" customHeight="1" x14ac:dyDescent="0.25">
      <c r="A1129" s="9" t="s">
        <v>2047</v>
      </c>
      <c r="B1129" s="10">
        <v>45921</v>
      </c>
      <c r="C1129" s="9" t="s">
        <v>62</v>
      </c>
      <c r="D1129" s="9" t="s">
        <v>29</v>
      </c>
      <c r="E1129" s="11" t="s">
        <v>30</v>
      </c>
      <c r="F1129" s="11" t="s">
        <v>63</v>
      </c>
      <c r="G1129" s="3">
        <v>2311.3000000000002</v>
      </c>
      <c r="H1129" s="3">
        <v>1637.17</v>
      </c>
      <c r="I1129" s="12">
        <v>2</v>
      </c>
      <c r="J1129" s="9" t="s">
        <v>2048</v>
      </c>
      <c r="K1129" s="9" t="s">
        <v>49</v>
      </c>
      <c r="L1129" s="13">
        <v>0</v>
      </c>
      <c r="M1129" s="9" t="s">
        <v>34</v>
      </c>
    </row>
    <row r="1130" spans="1:13" ht="20.25" customHeight="1" x14ac:dyDescent="0.25">
      <c r="A1130" s="9" t="s">
        <v>2049</v>
      </c>
      <c r="B1130" s="10">
        <v>45921</v>
      </c>
      <c r="C1130" s="9" t="s">
        <v>28</v>
      </c>
      <c r="D1130" s="9" t="s">
        <v>29</v>
      </c>
      <c r="E1130" s="11" t="s">
        <v>30</v>
      </c>
      <c r="F1130" s="11" t="s">
        <v>63</v>
      </c>
      <c r="G1130" s="3">
        <v>3466.95</v>
      </c>
      <c r="H1130" s="3">
        <v>2455.7600000000002</v>
      </c>
      <c r="I1130" s="12">
        <v>3</v>
      </c>
      <c r="J1130" s="9" t="s">
        <v>2050</v>
      </c>
      <c r="K1130" s="9" t="s">
        <v>49</v>
      </c>
      <c r="L1130" s="13">
        <v>0</v>
      </c>
      <c r="M1130" s="9" t="s">
        <v>34</v>
      </c>
    </row>
    <row r="1131" spans="1:13" ht="20.25" customHeight="1" x14ac:dyDescent="0.25">
      <c r="A1131" s="9" t="s">
        <v>2051</v>
      </c>
      <c r="B1131" s="10">
        <v>45921</v>
      </c>
      <c r="C1131" s="9" t="s">
        <v>54</v>
      </c>
      <c r="D1131" s="9" t="s">
        <v>29</v>
      </c>
      <c r="E1131" s="11" t="s">
        <v>37</v>
      </c>
      <c r="F1131" s="11" t="s">
        <v>38</v>
      </c>
      <c r="G1131" s="3">
        <v>-115.57</v>
      </c>
      <c r="H1131" s="3">
        <v>-67.41</v>
      </c>
      <c r="I1131" s="12">
        <v>-1</v>
      </c>
      <c r="J1131" s="9" t="s">
        <v>390</v>
      </c>
      <c r="K1131" s="9" t="s">
        <v>33</v>
      </c>
      <c r="L1131" s="13">
        <v>1</v>
      </c>
      <c r="M1131" s="9" t="s">
        <v>76</v>
      </c>
    </row>
    <row r="1132" spans="1:13" ht="20.25" customHeight="1" x14ac:dyDescent="0.25">
      <c r="A1132" s="9" t="s">
        <v>2052</v>
      </c>
      <c r="B1132" s="10">
        <v>45922</v>
      </c>
      <c r="C1132" s="9" t="s">
        <v>71</v>
      </c>
      <c r="D1132" s="9" t="s">
        <v>29</v>
      </c>
      <c r="E1132" s="11" t="s">
        <v>43</v>
      </c>
      <c r="F1132" s="11" t="s">
        <v>90</v>
      </c>
      <c r="G1132" s="3">
        <v>144.46</v>
      </c>
      <c r="H1132" s="3">
        <v>86.67</v>
      </c>
      <c r="I1132" s="12">
        <v>1</v>
      </c>
      <c r="J1132" s="9" t="s">
        <v>2053</v>
      </c>
      <c r="K1132" s="9" t="s">
        <v>49</v>
      </c>
      <c r="L1132" s="13">
        <v>0</v>
      </c>
      <c r="M1132" s="9" t="s">
        <v>34</v>
      </c>
    </row>
    <row r="1133" spans="1:13" ht="20.25" customHeight="1" x14ac:dyDescent="0.25">
      <c r="A1133" s="9" t="s">
        <v>2054</v>
      </c>
      <c r="B1133" s="10">
        <v>45922</v>
      </c>
      <c r="C1133" s="9" t="s">
        <v>62</v>
      </c>
      <c r="D1133" s="9" t="s">
        <v>51</v>
      </c>
      <c r="E1133" s="11" t="s">
        <v>58</v>
      </c>
      <c r="F1133" s="11" t="s">
        <v>68</v>
      </c>
      <c r="G1133" s="3">
        <v>337.06</v>
      </c>
      <c r="H1133" s="3">
        <v>211.87</v>
      </c>
      <c r="I1133" s="12">
        <v>1</v>
      </c>
      <c r="J1133" s="9" t="s">
        <v>2055</v>
      </c>
      <c r="K1133" s="9" t="s">
        <v>49</v>
      </c>
      <c r="L1133" s="13">
        <v>0</v>
      </c>
      <c r="M1133" s="9" t="s">
        <v>34</v>
      </c>
    </row>
    <row r="1134" spans="1:13" ht="20.25" customHeight="1" x14ac:dyDescent="0.25">
      <c r="A1134" s="9" t="s">
        <v>2056</v>
      </c>
      <c r="B1134" s="10">
        <v>45922</v>
      </c>
      <c r="C1134" s="9" t="s">
        <v>36</v>
      </c>
      <c r="D1134" s="9" t="s">
        <v>29</v>
      </c>
      <c r="E1134" s="11" t="s">
        <v>58</v>
      </c>
      <c r="F1134" s="11" t="s">
        <v>68</v>
      </c>
      <c r="G1134" s="3">
        <v>337.06</v>
      </c>
      <c r="H1134" s="3">
        <v>211.87</v>
      </c>
      <c r="I1134" s="12">
        <v>1</v>
      </c>
      <c r="J1134" s="9" t="s">
        <v>266</v>
      </c>
      <c r="K1134" s="9" t="s">
        <v>49</v>
      </c>
      <c r="L1134" s="13">
        <v>0</v>
      </c>
      <c r="M1134" s="9" t="s">
        <v>34</v>
      </c>
    </row>
    <row r="1135" spans="1:13" ht="20.25" customHeight="1" x14ac:dyDescent="0.25">
      <c r="A1135" s="9" t="s">
        <v>2057</v>
      </c>
      <c r="B1135" s="10">
        <v>45922</v>
      </c>
      <c r="C1135" s="9" t="s">
        <v>54</v>
      </c>
      <c r="D1135" s="9" t="s">
        <v>29</v>
      </c>
      <c r="E1135" s="11" t="s">
        <v>37</v>
      </c>
      <c r="F1135" s="11" t="s">
        <v>38</v>
      </c>
      <c r="G1135" s="3">
        <v>462.26</v>
      </c>
      <c r="H1135" s="3">
        <v>269.64999999999998</v>
      </c>
      <c r="I1135" s="12">
        <v>4</v>
      </c>
      <c r="J1135" s="9" t="s">
        <v>2058</v>
      </c>
      <c r="K1135" s="9" t="s">
        <v>33</v>
      </c>
      <c r="L1135" s="13">
        <v>1</v>
      </c>
      <c r="M1135" s="9" t="s">
        <v>34</v>
      </c>
    </row>
    <row r="1136" spans="1:13" ht="20.25" customHeight="1" x14ac:dyDescent="0.25">
      <c r="A1136" s="9" t="s">
        <v>2059</v>
      </c>
      <c r="B1136" s="10">
        <v>45923</v>
      </c>
      <c r="C1136" s="9" t="s">
        <v>28</v>
      </c>
      <c r="D1136" s="9" t="s">
        <v>29</v>
      </c>
      <c r="E1136" s="11" t="s">
        <v>43</v>
      </c>
      <c r="F1136" s="11" t="s">
        <v>44</v>
      </c>
      <c r="G1136" s="3">
        <v>43.34</v>
      </c>
      <c r="H1136" s="3">
        <v>19.260000000000002</v>
      </c>
      <c r="I1136" s="12">
        <v>1</v>
      </c>
      <c r="J1136" s="9" t="s">
        <v>2060</v>
      </c>
      <c r="K1136" s="9" t="s">
        <v>33</v>
      </c>
      <c r="L1136" s="13">
        <v>1</v>
      </c>
      <c r="M1136" s="9" t="s">
        <v>34</v>
      </c>
    </row>
    <row r="1137" spans="1:13" ht="20.25" customHeight="1" x14ac:dyDescent="0.25">
      <c r="A1137" s="9" t="s">
        <v>2061</v>
      </c>
      <c r="B1137" s="10">
        <v>45923</v>
      </c>
      <c r="C1137" s="9" t="s">
        <v>36</v>
      </c>
      <c r="D1137" s="9" t="s">
        <v>29</v>
      </c>
      <c r="E1137" s="11" t="s">
        <v>43</v>
      </c>
      <c r="F1137" s="11" t="s">
        <v>47</v>
      </c>
      <c r="G1137" s="3">
        <v>211.87</v>
      </c>
      <c r="H1137" s="3">
        <v>125.2</v>
      </c>
      <c r="I1137" s="12">
        <v>2</v>
      </c>
      <c r="J1137" s="9" t="s">
        <v>2062</v>
      </c>
      <c r="K1137" s="9" t="s">
        <v>49</v>
      </c>
      <c r="L1137" s="13">
        <v>0</v>
      </c>
      <c r="M1137" s="9" t="s">
        <v>34</v>
      </c>
    </row>
    <row r="1138" spans="1:13" ht="20.25" customHeight="1" x14ac:dyDescent="0.25">
      <c r="A1138" s="9" t="s">
        <v>2063</v>
      </c>
      <c r="B1138" s="10">
        <v>45923</v>
      </c>
      <c r="C1138" s="9" t="s">
        <v>28</v>
      </c>
      <c r="D1138" s="9" t="s">
        <v>42</v>
      </c>
      <c r="E1138" s="11" t="s">
        <v>43</v>
      </c>
      <c r="F1138" s="11" t="s">
        <v>90</v>
      </c>
      <c r="G1138" s="3">
        <v>144.46</v>
      </c>
      <c r="H1138" s="3">
        <v>86.67</v>
      </c>
      <c r="I1138" s="12">
        <v>1</v>
      </c>
      <c r="J1138" s="9" t="s">
        <v>2064</v>
      </c>
      <c r="K1138" s="9" t="s">
        <v>49</v>
      </c>
      <c r="L1138" s="13">
        <v>0</v>
      </c>
      <c r="M1138" s="9" t="s">
        <v>34</v>
      </c>
    </row>
    <row r="1139" spans="1:13" ht="20.25" customHeight="1" x14ac:dyDescent="0.25">
      <c r="A1139" s="9" t="s">
        <v>2065</v>
      </c>
      <c r="B1139" s="10">
        <v>45924</v>
      </c>
      <c r="C1139" s="9" t="s">
        <v>62</v>
      </c>
      <c r="D1139" s="9" t="s">
        <v>42</v>
      </c>
      <c r="E1139" s="11" t="s">
        <v>30</v>
      </c>
      <c r="F1139" s="11" t="s">
        <v>31</v>
      </c>
      <c r="G1139" s="3">
        <v>625.98</v>
      </c>
      <c r="H1139" s="3">
        <v>433.37</v>
      </c>
      <c r="I1139" s="12">
        <v>1</v>
      </c>
      <c r="J1139" s="9" t="s">
        <v>2066</v>
      </c>
      <c r="K1139" s="9" t="s">
        <v>33</v>
      </c>
      <c r="L1139" s="13">
        <v>1</v>
      </c>
      <c r="M1139" s="9" t="s">
        <v>34</v>
      </c>
    </row>
    <row r="1140" spans="1:13" ht="20.25" customHeight="1" x14ac:dyDescent="0.25">
      <c r="A1140" s="9" t="s">
        <v>2067</v>
      </c>
      <c r="B1140" s="10">
        <v>45924</v>
      </c>
      <c r="C1140" s="9" t="s">
        <v>54</v>
      </c>
      <c r="D1140" s="9" t="s">
        <v>51</v>
      </c>
      <c r="E1140" s="11" t="s">
        <v>30</v>
      </c>
      <c r="F1140" s="11" t="s">
        <v>31</v>
      </c>
      <c r="G1140" s="3">
        <v>625.98</v>
      </c>
      <c r="H1140" s="3">
        <v>433.37</v>
      </c>
      <c r="I1140" s="12">
        <v>1</v>
      </c>
      <c r="J1140" s="9" t="s">
        <v>2068</v>
      </c>
      <c r="K1140" s="9" t="s">
        <v>49</v>
      </c>
      <c r="L1140" s="13">
        <v>0</v>
      </c>
      <c r="M1140" s="9" t="s">
        <v>34</v>
      </c>
    </row>
    <row r="1141" spans="1:13" ht="20.25" customHeight="1" x14ac:dyDescent="0.25">
      <c r="A1141" s="9" t="s">
        <v>2069</v>
      </c>
      <c r="B1141" s="10">
        <v>45924</v>
      </c>
      <c r="C1141" s="9" t="s">
        <v>54</v>
      </c>
      <c r="D1141" s="9" t="s">
        <v>29</v>
      </c>
      <c r="E1141" s="11" t="s">
        <v>37</v>
      </c>
      <c r="F1141" s="11" t="s">
        <v>38</v>
      </c>
      <c r="G1141" s="3">
        <v>231.13</v>
      </c>
      <c r="H1141" s="3">
        <v>134.83000000000001</v>
      </c>
      <c r="I1141" s="12">
        <v>2</v>
      </c>
      <c r="J1141" s="9" t="s">
        <v>2070</v>
      </c>
      <c r="K1141" s="9" t="s">
        <v>49</v>
      </c>
      <c r="L1141" s="13">
        <v>0</v>
      </c>
      <c r="M1141" s="9" t="s">
        <v>34</v>
      </c>
    </row>
    <row r="1142" spans="1:13" ht="20.25" customHeight="1" x14ac:dyDescent="0.25">
      <c r="A1142" s="9" t="s">
        <v>2071</v>
      </c>
      <c r="B1142" s="10">
        <v>45924</v>
      </c>
      <c r="C1142" s="9" t="s">
        <v>62</v>
      </c>
      <c r="D1142" s="9" t="s">
        <v>51</v>
      </c>
      <c r="E1142" s="11" t="s">
        <v>43</v>
      </c>
      <c r="F1142" s="11" t="s">
        <v>90</v>
      </c>
      <c r="G1142" s="3">
        <v>144.46</v>
      </c>
      <c r="H1142" s="3">
        <v>86.67</v>
      </c>
      <c r="I1142" s="12">
        <v>1</v>
      </c>
      <c r="J1142" s="9" t="s">
        <v>2072</v>
      </c>
      <c r="K1142" s="9" t="s">
        <v>49</v>
      </c>
      <c r="L1142" s="13">
        <v>0</v>
      </c>
      <c r="M1142" s="9" t="s">
        <v>34</v>
      </c>
    </row>
    <row r="1143" spans="1:13" ht="20.25" customHeight="1" x14ac:dyDescent="0.25">
      <c r="A1143" s="9" t="s">
        <v>2073</v>
      </c>
      <c r="B1143" s="10">
        <v>45924</v>
      </c>
      <c r="C1143" s="9" t="s">
        <v>28</v>
      </c>
      <c r="D1143" s="9" t="s">
        <v>42</v>
      </c>
      <c r="E1143" s="11" t="s">
        <v>30</v>
      </c>
      <c r="F1143" s="11" t="s">
        <v>80</v>
      </c>
      <c r="G1143" s="3">
        <v>818.59</v>
      </c>
      <c r="H1143" s="3">
        <v>577.83000000000004</v>
      </c>
      <c r="I1143" s="12">
        <v>1</v>
      </c>
      <c r="J1143" s="9" t="s">
        <v>2074</v>
      </c>
      <c r="K1143" s="9" t="s">
        <v>49</v>
      </c>
      <c r="L1143" s="13">
        <v>0</v>
      </c>
      <c r="M1143" s="9" t="s">
        <v>34</v>
      </c>
    </row>
    <row r="1144" spans="1:13" ht="20.25" customHeight="1" x14ac:dyDescent="0.25">
      <c r="A1144" s="9" t="s">
        <v>2075</v>
      </c>
      <c r="B1144" s="10">
        <v>45925</v>
      </c>
      <c r="C1144" s="9" t="s">
        <v>36</v>
      </c>
      <c r="D1144" s="9" t="s">
        <v>51</v>
      </c>
      <c r="E1144" s="11" t="s">
        <v>30</v>
      </c>
      <c r="F1144" s="11" t="s">
        <v>63</v>
      </c>
      <c r="G1144" s="3">
        <v>-3466.95</v>
      </c>
      <c r="H1144" s="3">
        <v>-2455.7600000000002</v>
      </c>
      <c r="I1144" s="12">
        <v>-3</v>
      </c>
      <c r="J1144" s="9" t="s">
        <v>99</v>
      </c>
      <c r="K1144" s="9" t="s">
        <v>49</v>
      </c>
      <c r="L1144" s="13">
        <v>0</v>
      </c>
      <c r="M1144" s="9" t="s">
        <v>76</v>
      </c>
    </row>
    <row r="1145" spans="1:13" ht="20.25" customHeight="1" x14ac:dyDescent="0.25">
      <c r="A1145" s="9" t="s">
        <v>2076</v>
      </c>
      <c r="B1145" s="10">
        <v>45925</v>
      </c>
      <c r="C1145" s="9" t="s">
        <v>28</v>
      </c>
      <c r="D1145" s="9" t="s">
        <v>29</v>
      </c>
      <c r="E1145" s="11" t="s">
        <v>43</v>
      </c>
      <c r="F1145" s="11" t="s">
        <v>90</v>
      </c>
      <c r="G1145" s="3">
        <v>144.46</v>
      </c>
      <c r="H1145" s="3">
        <v>86.67</v>
      </c>
      <c r="I1145" s="12">
        <v>1</v>
      </c>
      <c r="J1145" s="9" t="s">
        <v>1243</v>
      </c>
      <c r="K1145" s="9" t="s">
        <v>49</v>
      </c>
      <c r="L1145" s="13">
        <v>0</v>
      </c>
      <c r="M1145" s="9" t="s">
        <v>34</v>
      </c>
    </row>
    <row r="1146" spans="1:13" ht="20.25" customHeight="1" x14ac:dyDescent="0.25">
      <c r="A1146" s="9" t="s">
        <v>2077</v>
      </c>
      <c r="B1146" s="10">
        <v>45925</v>
      </c>
      <c r="C1146" s="9" t="s">
        <v>28</v>
      </c>
      <c r="D1146" s="9" t="s">
        <v>51</v>
      </c>
      <c r="E1146" s="11" t="s">
        <v>30</v>
      </c>
      <c r="F1146" s="11" t="s">
        <v>31</v>
      </c>
      <c r="G1146" s="3">
        <v>625.98</v>
      </c>
      <c r="H1146" s="3">
        <v>433.37</v>
      </c>
      <c r="I1146" s="12">
        <v>1</v>
      </c>
      <c r="J1146" s="9" t="s">
        <v>2068</v>
      </c>
      <c r="K1146" s="9" t="s">
        <v>33</v>
      </c>
      <c r="L1146" s="13">
        <v>1</v>
      </c>
      <c r="M1146" s="9" t="s">
        <v>34</v>
      </c>
    </row>
    <row r="1147" spans="1:13" ht="20.25" customHeight="1" x14ac:dyDescent="0.25">
      <c r="A1147" s="9" t="s">
        <v>2078</v>
      </c>
      <c r="B1147" s="10">
        <v>45925</v>
      </c>
      <c r="C1147" s="9" t="s">
        <v>28</v>
      </c>
      <c r="D1147" s="9" t="s">
        <v>42</v>
      </c>
      <c r="E1147" s="11" t="s">
        <v>58</v>
      </c>
      <c r="F1147" s="11" t="s">
        <v>59</v>
      </c>
      <c r="G1147" s="3">
        <v>144.46</v>
      </c>
      <c r="H1147" s="3">
        <v>86.67</v>
      </c>
      <c r="I1147" s="12">
        <v>1</v>
      </c>
      <c r="J1147" s="9" t="s">
        <v>2079</v>
      </c>
      <c r="K1147" s="9" t="s">
        <v>49</v>
      </c>
      <c r="L1147" s="13">
        <v>0</v>
      </c>
      <c r="M1147" s="9" t="s">
        <v>34</v>
      </c>
    </row>
    <row r="1148" spans="1:13" ht="20.25" customHeight="1" x14ac:dyDescent="0.25">
      <c r="A1148" s="9" t="s">
        <v>2080</v>
      </c>
      <c r="B1148" s="10">
        <v>45926</v>
      </c>
      <c r="C1148" s="9" t="s">
        <v>36</v>
      </c>
      <c r="D1148" s="9" t="s">
        <v>51</v>
      </c>
      <c r="E1148" s="11" t="s">
        <v>58</v>
      </c>
      <c r="F1148" s="11" t="s">
        <v>68</v>
      </c>
      <c r="G1148" s="3">
        <v>337.06</v>
      </c>
      <c r="H1148" s="3">
        <v>211.87</v>
      </c>
      <c r="I1148" s="12">
        <v>1</v>
      </c>
      <c r="J1148" s="9" t="s">
        <v>2081</v>
      </c>
      <c r="K1148" s="9" t="s">
        <v>49</v>
      </c>
      <c r="L1148" s="13">
        <v>0</v>
      </c>
      <c r="M1148" s="9" t="s">
        <v>34</v>
      </c>
    </row>
    <row r="1149" spans="1:13" ht="20.25" customHeight="1" x14ac:dyDescent="0.25">
      <c r="A1149" s="9" t="s">
        <v>2082</v>
      </c>
      <c r="B1149" s="10">
        <v>45926</v>
      </c>
      <c r="C1149" s="9" t="s">
        <v>28</v>
      </c>
      <c r="D1149" s="9" t="s">
        <v>51</v>
      </c>
      <c r="E1149" s="11" t="s">
        <v>37</v>
      </c>
      <c r="F1149" s="11" t="s">
        <v>72</v>
      </c>
      <c r="G1149" s="3">
        <v>635.61</v>
      </c>
      <c r="H1149" s="3">
        <v>375.59</v>
      </c>
      <c r="I1149" s="12">
        <v>3</v>
      </c>
      <c r="J1149" s="9" t="s">
        <v>2083</v>
      </c>
      <c r="K1149" s="9" t="s">
        <v>33</v>
      </c>
      <c r="L1149" s="13">
        <v>1</v>
      </c>
      <c r="M1149" s="9" t="s">
        <v>34</v>
      </c>
    </row>
    <row r="1150" spans="1:13" ht="20.25" customHeight="1" x14ac:dyDescent="0.25">
      <c r="A1150" s="9" t="s">
        <v>2084</v>
      </c>
      <c r="B1150" s="10">
        <v>45926</v>
      </c>
      <c r="C1150" s="9" t="s">
        <v>28</v>
      </c>
      <c r="D1150" s="9" t="s">
        <v>29</v>
      </c>
      <c r="E1150" s="11" t="s">
        <v>37</v>
      </c>
      <c r="F1150" s="11" t="s">
        <v>72</v>
      </c>
      <c r="G1150" s="3">
        <v>211.87</v>
      </c>
      <c r="H1150" s="3">
        <v>125.2</v>
      </c>
      <c r="I1150" s="12">
        <v>1</v>
      </c>
      <c r="J1150" s="9" t="s">
        <v>2085</v>
      </c>
      <c r="K1150" s="9" t="s">
        <v>33</v>
      </c>
      <c r="L1150" s="13">
        <v>1</v>
      </c>
      <c r="M1150" s="9" t="s">
        <v>34</v>
      </c>
    </row>
    <row r="1151" spans="1:13" ht="20.25" customHeight="1" x14ac:dyDescent="0.25">
      <c r="A1151" s="9" t="s">
        <v>2086</v>
      </c>
      <c r="B1151" s="10">
        <v>45926</v>
      </c>
      <c r="C1151" s="9" t="s">
        <v>28</v>
      </c>
      <c r="D1151" s="9" t="s">
        <v>51</v>
      </c>
      <c r="E1151" s="11" t="s">
        <v>58</v>
      </c>
      <c r="F1151" s="11" t="s">
        <v>68</v>
      </c>
      <c r="G1151" s="3">
        <v>337.06</v>
      </c>
      <c r="H1151" s="3">
        <v>211.87</v>
      </c>
      <c r="I1151" s="12">
        <v>1</v>
      </c>
      <c r="J1151" s="9" t="s">
        <v>2087</v>
      </c>
      <c r="K1151" s="9" t="s">
        <v>49</v>
      </c>
      <c r="L1151" s="13">
        <v>0</v>
      </c>
      <c r="M1151" s="9" t="s">
        <v>34</v>
      </c>
    </row>
    <row r="1152" spans="1:13" ht="20.25" customHeight="1" x14ac:dyDescent="0.25">
      <c r="A1152" s="9" t="s">
        <v>2088</v>
      </c>
      <c r="B1152" s="10">
        <v>45926</v>
      </c>
      <c r="C1152" s="9" t="s">
        <v>28</v>
      </c>
      <c r="D1152" s="9" t="s">
        <v>29</v>
      </c>
      <c r="E1152" s="11" t="s">
        <v>37</v>
      </c>
      <c r="F1152" s="11" t="s">
        <v>38</v>
      </c>
      <c r="G1152" s="3">
        <v>115.57</v>
      </c>
      <c r="H1152" s="3">
        <v>67.41</v>
      </c>
      <c r="I1152" s="12">
        <v>1</v>
      </c>
      <c r="J1152" s="9" t="s">
        <v>2089</v>
      </c>
      <c r="K1152" s="9" t="s">
        <v>49</v>
      </c>
      <c r="L1152" s="13">
        <v>0</v>
      </c>
      <c r="M1152" s="9" t="s">
        <v>34</v>
      </c>
    </row>
    <row r="1153" spans="1:13" ht="20.25" customHeight="1" x14ac:dyDescent="0.25">
      <c r="A1153" s="9" t="s">
        <v>2090</v>
      </c>
      <c r="B1153" s="10">
        <v>45927</v>
      </c>
      <c r="C1153" s="9" t="s">
        <v>62</v>
      </c>
      <c r="D1153" s="9" t="s">
        <v>51</v>
      </c>
      <c r="E1153" s="11" t="s">
        <v>37</v>
      </c>
      <c r="F1153" s="11" t="s">
        <v>72</v>
      </c>
      <c r="G1153" s="3">
        <v>423.74</v>
      </c>
      <c r="H1153" s="3">
        <v>250.39</v>
      </c>
      <c r="I1153" s="12">
        <v>2</v>
      </c>
      <c r="J1153" s="9" t="s">
        <v>2091</v>
      </c>
      <c r="K1153" s="9" t="s">
        <v>49</v>
      </c>
      <c r="L1153" s="13">
        <v>0</v>
      </c>
      <c r="M1153" s="9" t="s">
        <v>34</v>
      </c>
    </row>
    <row r="1154" spans="1:13" ht="20.25" customHeight="1" x14ac:dyDescent="0.25">
      <c r="A1154" s="9" t="s">
        <v>2092</v>
      </c>
      <c r="B1154" s="10">
        <v>45927</v>
      </c>
      <c r="C1154" s="9" t="s">
        <v>41</v>
      </c>
      <c r="D1154" s="9" t="s">
        <v>29</v>
      </c>
      <c r="E1154" s="11" t="s">
        <v>58</v>
      </c>
      <c r="F1154" s="11" t="s">
        <v>87</v>
      </c>
      <c r="G1154" s="3">
        <v>173.35</v>
      </c>
      <c r="H1154" s="3">
        <v>105.93</v>
      </c>
      <c r="I1154" s="12">
        <v>1</v>
      </c>
      <c r="J1154" s="9" t="s">
        <v>336</v>
      </c>
      <c r="K1154" s="9" t="s">
        <v>49</v>
      </c>
      <c r="L1154" s="13">
        <v>0</v>
      </c>
      <c r="M1154" s="9" t="s">
        <v>34</v>
      </c>
    </row>
    <row r="1155" spans="1:13" ht="20.25" customHeight="1" x14ac:dyDescent="0.25">
      <c r="A1155" s="9" t="s">
        <v>2093</v>
      </c>
      <c r="B1155" s="10">
        <v>45928</v>
      </c>
      <c r="C1155" s="9" t="s">
        <v>62</v>
      </c>
      <c r="D1155" s="9" t="s">
        <v>29</v>
      </c>
      <c r="E1155" s="11" t="s">
        <v>37</v>
      </c>
      <c r="F1155" s="11" t="s">
        <v>38</v>
      </c>
      <c r="G1155" s="3">
        <v>231.13</v>
      </c>
      <c r="H1155" s="3">
        <v>134.83000000000001</v>
      </c>
      <c r="I1155" s="12">
        <v>2</v>
      </c>
      <c r="J1155" s="9" t="s">
        <v>2094</v>
      </c>
      <c r="K1155" s="9" t="s">
        <v>49</v>
      </c>
      <c r="L1155" s="13">
        <v>0</v>
      </c>
      <c r="M1155" s="9" t="s">
        <v>34</v>
      </c>
    </row>
    <row r="1156" spans="1:13" ht="20.25" customHeight="1" x14ac:dyDescent="0.25">
      <c r="A1156" s="9" t="s">
        <v>2095</v>
      </c>
      <c r="B1156" s="10">
        <v>45929</v>
      </c>
      <c r="C1156" s="9" t="s">
        <v>36</v>
      </c>
      <c r="D1156" s="9" t="s">
        <v>29</v>
      </c>
      <c r="E1156" s="11" t="s">
        <v>30</v>
      </c>
      <c r="F1156" s="11" t="s">
        <v>31</v>
      </c>
      <c r="G1156" s="3">
        <v>625.98</v>
      </c>
      <c r="H1156" s="3">
        <v>433.37</v>
      </c>
      <c r="I1156" s="12">
        <v>1</v>
      </c>
      <c r="J1156" s="9" t="s">
        <v>2096</v>
      </c>
      <c r="K1156" s="9" t="s">
        <v>33</v>
      </c>
      <c r="L1156" s="13">
        <v>1</v>
      </c>
      <c r="M1156" s="9" t="s">
        <v>34</v>
      </c>
    </row>
    <row r="1157" spans="1:13" ht="20.25" customHeight="1" x14ac:dyDescent="0.25">
      <c r="A1157" s="9" t="s">
        <v>2097</v>
      </c>
      <c r="B1157" s="10">
        <v>45929</v>
      </c>
      <c r="C1157" s="9" t="s">
        <v>28</v>
      </c>
      <c r="D1157" s="9" t="s">
        <v>51</v>
      </c>
      <c r="E1157" s="11" t="s">
        <v>30</v>
      </c>
      <c r="F1157" s="11" t="s">
        <v>63</v>
      </c>
      <c r="G1157" s="3">
        <v>1155.6500000000001</v>
      </c>
      <c r="H1157" s="3">
        <v>818.59</v>
      </c>
      <c r="I1157" s="12">
        <v>1</v>
      </c>
      <c r="J1157" s="9" t="s">
        <v>2098</v>
      </c>
      <c r="K1157" s="9" t="s">
        <v>49</v>
      </c>
      <c r="L1157" s="13">
        <v>0</v>
      </c>
      <c r="M1157" s="9" t="s">
        <v>34</v>
      </c>
    </row>
    <row r="1158" spans="1:13" ht="20.25" customHeight="1" x14ac:dyDescent="0.25">
      <c r="A1158" s="9" t="s">
        <v>2099</v>
      </c>
      <c r="B1158" s="10">
        <v>45930</v>
      </c>
      <c r="C1158" s="9" t="s">
        <v>41</v>
      </c>
      <c r="D1158" s="9" t="s">
        <v>29</v>
      </c>
      <c r="E1158" s="11" t="s">
        <v>30</v>
      </c>
      <c r="F1158" s="11" t="s">
        <v>31</v>
      </c>
      <c r="G1158" s="3">
        <v>-1251.95</v>
      </c>
      <c r="H1158" s="3">
        <v>-866.74</v>
      </c>
      <c r="I1158" s="12">
        <v>-2</v>
      </c>
      <c r="J1158" s="9" t="s">
        <v>2100</v>
      </c>
      <c r="K1158" s="9" t="s">
        <v>49</v>
      </c>
      <c r="L1158" s="13">
        <v>0</v>
      </c>
      <c r="M1158" s="9" t="s">
        <v>76</v>
      </c>
    </row>
    <row r="1159" spans="1:13" ht="20.25" customHeight="1" x14ac:dyDescent="0.25">
      <c r="A1159" s="9" t="s">
        <v>2101</v>
      </c>
      <c r="B1159" s="10">
        <v>45930</v>
      </c>
      <c r="C1159" s="9" t="s">
        <v>36</v>
      </c>
      <c r="D1159" s="9" t="s">
        <v>51</v>
      </c>
      <c r="E1159" s="11" t="s">
        <v>30</v>
      </c>
      <c r="F1159" s="11" t="s">
        <v>80</v>
      </c>
      <c r="G1159" s="3">
        <v>818.59</v>
      </c>
      <c r="H1159" s="3">
        <v>577.83000000000004</v>
      </c>
      <c r="I1159" s="12">
        <v>1</v>
      </c>
      <c r="J1159" s="9" t="s">
        <v>1267</v>
      </c>
      <c r="K1159" s="9" t="s">
        <v>49</v>
      </c>
      <c r="L1159" s="13">
        <v>0</v>
      </c>
      <c r="M1159" s="9" t="s">
        <v>34</v>
      </c>
    </row>
    <row r="1160" spans="1:13" ht="20.25" customHeight="1" x14ac:dyDescent="0.25">
      <c r="A1160" s="9" t="s">
        <v>2102</v>
      </c>
      <c r="B1160" s="10">
        <v>45931</v>
      </c>
      <c r="C1160" s="9" t="s">
        <v>28</v>
      </c>
      <c r="D1160" s="9" t="s">
        <v>51</v>
      </c>
      <c r="E1160" s="11" t="s">
        <v>58</v>
      </c>
      <c r="F1160" s="11" t="s">
        <v>59</v>
      </c>
      <c r="G1160" s="3">
        <v>433.37</v>
      </c>
      <c r="H1160" s="3">
        <v>260.02</v>
      </c>
      <c r="I1160" s="12">
        <v>3</v>
      </c>
      <c r="J1160" s="9" t="s">
        <v>2103</v>
      </c>
      <c r="K1160" s="9" t="s">
        <v>49</v>
      </c>
      <c r="L1160" s="13">
        <v>0</v>
      </c>
      <c r="M1160" s="9" t="s">
        <v>34</v>
      </c>
    </row>
    <row r="1161" spans="1:13" ht="20.25" customHeight="1" x14ac:dyDescent="0.25">
      <c r="A1161" s="9" t="s">
        <v>2104</v>
      </c>
      <c r="B1161" s="10">
        <v>45931</v>
      </c>
      <c r="C1161" s="9" t="s">
        <v>28</v>
      </c>
      <c r="D1161" s="9" t="s">
        <v>29</v>
      </c>
      <c r="E1161" s="11" t="s">
        <v>43</v>
      </c>
      <c r="F1161" s="11" t="s">
        <v>90</v>
      </c>
      <c r="G1161" s="3">
        <v>144.46</v>
      </c>
      <c r="H1161" s="3">
        <v>86.67</v>
      </c>
      <c r="I1161" s="12">
        <v>1</v>
      </c>
      <c r="J1161" s="9" t="s">
        <v>1063</v>
      </c>
      <c r="K1161" s="9" t="s">
        <v>49</v>
      </c>
      <c r="L1161" s="13">
        <v>0</v>
      </c>
      <c r="M1161" s="9" t="s">
        <v>34</v>
      </c>
    </row>
    <row r="1162" spans="1:13" ht="20.25" customHeight="1" x14ac:dyDescent="0.25">
      <c r="A1162" s="9" t="s">
        <v>2105</v>
      </c>
      <c r="B1162" s="10">
        <v>45933</v>
      </c>
      <c r="C1162" s="9" t="s">
        <v>28</v>
      </c>
      <c r="D1162" s="9" t="s">
        <v>29</v>
      </c>
      <c r="E1162" s="11" t="s">
        <v>37</v>
      </c>
      <c r="F1162" s="11" t="s">
        <v>38</v>
      </c>
      <c r="G1162" s="3">
        <v>231.13</v>
      </c>
      <c r="H1162" s="3">
        <v>134.83000000000001</v>
      </c>
      <c r="I1162" s="12">
        <v>2</v>
      </c>
      <c r="J1162" s="9" t="s">
        <v>2106</v>
      </c>
      <c r="K1162" s="9" t="s">
        <v>49</v>
      </c>
      <c r="L1162" s="13">
        <v>0</v>
      </c>
      <c r="M1162" s="9" t="s">
        <v>34</v>
      </c>
    </row>
    <row r="1163" spans="1:13" ht="20.25" customHeight="1" x14ac:dyDescent="0.25">
      <c r="A1163" s="9" t="s">
        <v>2107</v>
      </c>
      <c r="B1163" s="10">
        <v>45933</v>
      </c>
      <c r="C1163" s="9" t="s">
        <v>28</v>
      </c>
      <c r="D1163" s="9" t="s">
        <v>29</v>
      </c>
      <c r="E1163" s="11" t="s">
        <v>43</v>
      </c>
      <c r="F1163" s="11" t="s">
        <v>90</v>
      </c>
      <c r="G1163" s="3">
        <v>-144.46</v>
      </c>
      <c r="H1163" s="3">
        <v>-86.67</v>
      </c>
      <c r="I1163" s="12">
        <v>-1</v>
      </c>
      <c r="J1163" s="9" t="s">
        <v>2108</v>
      </c>
      <c r="K1163" s="9" t="s">
        <v>33</v>
      </c>
      <c r="L1163" s="13">
        <v>1</v>
      </c>
      <c r="M1163" s="9" t="s">
        <v>76</v>
      </c>
    </row>
    <row r="1164" spans="1:13" ht="20.25" customHeight="1" x14ac:dyDescent="0.25">
      <c r="A1164" s="9" t="s">
        <v>2109</v>
      </c>
      <c r="B1164" s="10">
        <v>45934</v>
      </c>
      <c r="C1164" s="9" t="s">
        <v>36</v>
      </c>
      <c r="D1164" s="9" t="s">
        <v>42</v>
      </c>
      <c r="E1164" s="11" t="s">
        <v>58</v>
      </c>
      <c r="F1164" s="11" t="s">
        <v>59</v>
      </c>
      <c r="G1164" s="3">
        <v>288.91000000000003</v>
      </c>
      <c r="H1164" s="3">
        <v>173.35</v>
      </c>
      <c r="I1164" s="12">
        <v>2</v>
      </c>
      <c r="J1164" s="9" t="s">
        <v>2110</v>
      </c>
      <c r="K1164" s="9" t="s">
        <v>33</v>
      </c>
      <c r="L1164" s="13">
        <v>1</v>
      </c>
      <c r="M1164" s="9" t="s">
        <v>34</v>
      </c>
    </row>
    <row r="1165" spans="1:13" ht="20.25" customHeight="1" x14ac:dyDescent="0.25">
      <c r="A1165" s="9" t="s">
        <v>2111</v>
      </c>
      <c r="B1165" s="10">
        <v>45934</v>
      </c>
      <c r="C1165" s="9" t="s">
        <v>41</v>
      </c>
      <c r="D1165" s="9" t="s">
        <v>51</v>
      </c>
      <c r="E1165" s="11" t="s">
        <v>58</v>
      </c>
      <c r="F1165" s="11" t="s">
        <v>59</v>
      </c>
      <c r="G1165" s="3">
        <v>144.46</v>
      </c>
      <c r="H1165" s="3">
        <v>86.67</v>
      </c>
      <c r="I1165" s="12">
        <v>1</v>
      </c>
      <c r="J1165" s="9" t="s">
        <v>2112</v>
      </c>
      <c r="K1165" s="9" t="s">
        <v>33</v>
      </c>
      <c r="L1165" s="13">
        <v>1</v>
      </c>
      <c r="M1165" s="9" t="s">
        <v>34</v>
      </c>
    </row>
    <row r="1166" spans="1:13" ht="20.25" customHeight="1" x14ac:dyDescent="0.25">
      <c r="A1166" s="9" t="s">
        <v>2113</v>
      </c>
      <c r="B1166" s="10">
        <v>45934</v>
      </c>
      <c r="C1166" s="9" t="s">
        <v>28</v>
      </c>
      <c r="D1166" s="9" t="s">
        <v>29</v>
      </c>
      <c r="E1166" s="11" t="s">
        <v>58</v>
      </c>
      <c r="F1166" s="11" t="s">
        <v>68</v>
      </c>
      <c r="G1166" s="3">
        <v>337.06</v>
      </c>
      <c r="H1166" s="3">
        <v>211.87</v>
      </c>
      <c r="I1166" s="12">
        <v>1</v>
      </c>
      <c r="J1166" s="9" t="s">
        <v>2114</v>
      </c>
      <c r="K1166" s="9" t="s">
        <v>49</v>
      </c>
      <c r="L1166" s="13">
        <v>0</v>
      </c>
      <c r="M1166" s="9" t="s">
        <v>34</v>
      </c>
    </row>
    <row r="1167" spans="1:13" ht="20.25" customHeight="1" x14ac:dyDescent="0.25">
      <c r="A1167" s="9" t="s">
        <v>2115</v>
      </c>
      <c r="B1167" s="10">
        <v>45935</v>
      </c>
      <c r="C1167" s="9" t="s">
        <v>28</v>
      </c>
      <c r="D1167" s="9" t="s">
        <v>29</v>
      </c>
      <c r="E1167" s="11" t="s">
        <v>30</v>
      </c>
      <c r="F1167" s="11" t="s">
        <v>80</v>
      </c>
      <c r="G1167" s="3">
        <v>818.59</v>
      </c>
      <c r="H1167" s="3">
        <v>577.83000000000004</v>
      </c>
      <c r="I1167" s="12">
        <v>1</v>
      </c>
      <c r="J1167" s="9" t="s">
        <v>2116</v>
      </c>
      <c r="K1167" s="9" t="s">
        <v>33</v>
      </c>
      <c r="L1167" s="13">
        <v>1</v>
      </c>
      <c r="M1167" s="9" t="s">
        <v>34</v>
      </c>
    </row>
    <row r="1168" spans="1:13" ht="20.25" customHeight="1" x14ac:dyDescent="0.25">
      <c r="A1168" s="9" t="s">
        <v>2117</v>
      </c>
      <c r="B1168" s="10">
        <v>45936</v>
      </c>
      <c r="C1168" s="9" t="s">
        <v>54</v>
      </c>
      <c r="D1168" s="9" t="s">
        <v>51</v>
      </c>
      <c r="E1168" s="11" t="s">
        <v>30</v>
      </c>
      <c r="F1168" s="11" t="s">
        <v>80</v>
      </c>
      <c r="G1168" s="3">
        <v>818.59</v>
      </c>
      <c r="H1168" s="3">
        <v>577.83000000000004</v>
      </c>
      <c r="I1168" s="12">
        <v>1</v>
      </c>
      <c r="J1168" s="9" t="s">
        <v>2118</v>
      </c>
      <c r="K1168" s="9" t="s">
        <v>49</v>
      </c>
      <c r="L1168" s="13">
        <v>0</v>
      </c>
      <c r="M1168" s="9" t="s">
        <v>34</v>
      </c>
    </row>
    <row r="1169" spans="1:13" ht="20.25" customHeight="1" x14ac:dyDescent="0.25">
      <c r="A1169" s="9" t="s">
        <v>2119</v>
      </c>
      <c r="B1169" s="10">
        <v>45936</v>
      </c>
      <c r="C1169" s="9" t="s">
        <v>28</v>
      </c>
      <c r="D1169" s="9" t="s">
        <v>42</v>
      </c>
      <c r="E1169" s="11" t="s">
        <v>37</v>
      </c>
      <c r="F1169" s="11" t="s">
        <v>55</v>
      </c>
      <c r="G1169" s="3">
        <v>86.67</v>
      </c>
      <c r="H1169" s="3">
        <v>52.97</v>
      </c>
      <c r="I1169" s="12">
        <v>1</v>
      </c>
      <c r="J1169" s="9" t="s">
        <v>1077</v>
      </c>
      <c r="K1169" s="9" t="s">
        <v>49</v>
      </c>
      <c r="L1169" s="13">
        <v>0</v>
      </c>
      <c r="M1169" s="9" t="s">
        <v>34</v>
      </c>
    </row>
    <row r="1170" spans="1:13" ht="20.25" customHeight="1" x14ac:dyDescent="0.25">
      <c r="A1170" s="9" t="s">
        <v>2120</v>
      </c>
      <c r="B1170" s="10">
        <v>45936</v>
      </c>
      <c r="C1170" s="9" t="s">
        <v>36</v>
      </c>
      <c r="D1170" s="9" t="s">
        <v>42</v>
      </c>
      <c r="E1170" s="11" t="s">
        <v>43</v>
      </c>
      <c r="F1170" s="11" t="s">
        <v>44</v>
      </c>
      <c r="G1170" s="3">
        <v>43.34</v>
      </c>
      <c r="H1170" s="3">
        <v>19.260000000000002</v>
      </c>
      <c r="I1170" s="12">
        <v>1</v>
      </c>
      <c r="J1170" s="9" t="s">
        <v>332</v>
      </c>
      <c r="K1170" s="9" t="s">
        <v>49</v>
      </c>
      <c r="L1170" s="13">
        <v>0</v>
      </c>
      <c r="M1170" s="9" t="s">
        <v>34</v>
      </c>
    </row>
    <row r="1171" spans="1:13" ht="20.25" customHeight="1" x14ac:dyDescent="0.25">
      <c r="A1171" s="9" t="s">
        <v>2121</v>
      </c>
      <c r="B1171" s="10">
        <v>45936</v>
      </c>
      <c r="C1171" s="9" t="s">
        <v>54</v>
      </c>
      <c r="D1171" s="9" t="s">
        <v>51</v>
      </c>
      <c r="E1171" s="11" t="s">
        <v>30</v>
      </c>
      <c r="F1171" s="11" t="s">
        <v>80</v>
      </c>
      <c r="G1171" s="3">
        <v>818.59</v>
      </c>
      <c r="H1171" s="3">
        <v>577.83000000000004</v>
      </c>
      <c r="I1171" s="12">
        <v>1</v>
      </c>
      <c r="J1171" s="9" t="s">
        <v>2122</v>
      </c>
      <c r="K1171" s="9" t="s">
        <v>33</v>
      </c>
      <c r="L1171" s="13">
        <v>1</v>
      </c>
      <c r="M1171" s="9" t="s">
        <v>34</v>
      </c>
    </row>
    <row r="1172" spans="1:13" ht="20.25" customHeight="1" x14ac:dyDescent="0.25">
      <c r="A1172" s="9" t="s">
        <v>2123</v>
      </c>
      <c r="B1172" s="10">
        <v>45937</v>
      </c>
      <c r="C1172" s="9" t="s">
        <v>28</v>
      </c>
      <c r="D1172" s="9" t="s">
        <v>29</v>
      </c>
      <c r="E1172" s="11" t="s">
        <v>30</v>
      </c>
      <c r="F1172" s="11" t="s">
        <v>31</v>
      </c>
      <c r="G1172" s="3">
        <v>1251.95</v>
      </c>
      <c r="H1172" s="3">
        <v>866.74</v>
      </c>
      <c r="I1172" s="12">
        <v>2</v>
      </c>
      <c r="J1172" s="9" t="s">
        <v>187</v>
      </c>
      <c r="K1172" s="9" t="s">
        <v>49</v>
      </c>
      <c r="L1172" s="13">
        <v>0</v>
      </c>
      <c r="M1172" s="9" t="s">
        <v>34</v>
      </c>
    </row>
    <row r="1173" spans="1:13" ht="20.25" customHeight="1" x14ac:dyDescent="0.25">
      <c r="A1173" s="9" t="s">
        <v>2124</v>
      </c>
      <c r="B1173" s="10">
        <v>45939</v>
      </c>
      <c r="C1173" s="9" t="s">
        <v>28</v>
      </c>
      <c r="D1173" s="9" t="s">
        <v>29</v>
      </c>
      <c r="E1173" s="11" t="s">
        <v>43</v>
      </c>
      <c r="F1173" s="11" t="s">
        <v>47</v>
      </c>
      <c r="G1173" s="3">
        <v>211.87</v>
      </c>
      <c r="H1173" s="3">
        <v>125.2</v>
      </c>
      <c r="I1173" s="12">
        <v>2</v>
      </c>
      <c r="J1173" s="9" t="s">
        <v>2125</v>
      </c>
      <c r="K1173" s="9" t="s">
        <v>33</v>
      </c>
      <c r="L1173" s="13">
        <v>1</v>
      </c>
      <c r="M1173" s="9" t="s">
        <v>34</v>
      </c>
    </row>
    <row r="1174" spans="1:13" ht="20.25" customHeight="1" x14ac:dyDescent="0.25">
      <c r="A1174" s="9" t="s">
        <v>2126</v>
      </c>
      <c r="B1174" s="10">
        <v>45940</v>
      </c>
      <c r="C1174" s="9" t="s">
        <v>36</v>
      </c>
      <c r="D1174" s="9" t="s">
        <v>29</v>
      </c>
      <c r="E1174" s="11" t="s">
        <v>30</v>
      </c>
      <c r="F1174" s="11" t="s">
        <v>80</v>
      </c>
      <c r="G1174" s="3">
        <v>1637.17</v>
      </c>
      <c r="H1174" s="3">
        <v>1155.6500000000001</v>
      </c>
      <c r="I1174" s="12">
        <v>2</v>
      </c>
      <c r="J1174" s="9" t="s">
        <v>2127</v>
      </c>
      <c r="K1174" s="9" t="s">
        <v>49</v>
      </c>
      <c r="L1174" s="13">
        <v>0</v>
      </c>
      <c r="M1174" s="9" t="s">
        <v>34</v>
      </c>
    </row>
    <row r="1175" spans="1:13" ht="20.25" customHeight="1" x14ac:dyDescent="0.25">
      <c r="A1175" s="9" t="s">
        <v>2128</v>
      </c>
      <c r="B1175" s="10">
        <v>45940</v>
      </c>
      <c r="C1175" s="9" t="s">
        <v>36</v>
      </c>
      <c r="D1175" s="9" t="s">
        <v>29</v>
      </c>
      <c r="E1175" s="11" t="s">
        <v>43</v>
      </c>
      <c r="F1175" s="11" t="s">
        <v>90</v>
      </c>
      <c r="G1175" s="3">
        <v>144.46</v>
      </c>
      <c r="H1175" s="3">
        <v>86.67</v>
      </c>
      <c r="I1175" s="12">
        <v>1</v>
      </c>
      <c r="J1175" s="9" t="s">
        <v>1618</v>
      </c>
      <c r="K1175" s="9" t="s">
        <v>33</v>
      </c>
      <c r="L1175" s="13">
        <v>1</v>
      </c>
      <c r="M1175" s="9" t="s">
        <v>34</v>
      </c>
    </row>
    <row r="1176" spans="1:13" ht="20.25" customHeight="1" x14ac:dyDescent="0.25">
      <c r="A1176" s="9" t="s">
        <v>2129</v>
      </c>
      <c r="B1176" s="10">
        <v>45941</v>
      </c>
      <c r="C1176" s="9" t="s">
        <v>71</v>
      </c>
      <c r="D1176" s="9" t="s">
        <v>29</v>
      </c>
      <c r="E1176" s="11" t="s">
        <v>37</v>
      </c>
      <c r="F1176" s="11" t="s">
        <v>55</v>
      </c>
      <c r="G1176" s="3">
        <v>86.67</v>
      </c>
      <c r="H1176" s="3">
        <v>52.97</v>
      </c>
      <c r="I1176" s="12">
        <v>1</v>
      </c>
      <c r="J1176" s="9" t="s">
        <v>2130</v>
      </c>
      <c r="K1176" s="9" t="s">
        <v>49</v>
      </c>
      <c r="L1176" s="13">
        <v>0</v>
      </c>
      <c r="M1176" s="9" t="s">
        <v>34</v>
      </c>
    </row>
    <row r="1177" spans="1:13" ht="20.25" customHeight="1" x14ac:dyDescent="0.25">
      <c r="A1177" s="9" t="s">
        <v>2131</v>
      </c>
      <c r="B1177" s="10">
        <v>45941</v>
      </c>
      <c r="C1177" s="9" t="s">
        <v>54</v>
      </c>
      <c r="D1177" s="9" t="s">
        <v>29</v>
      </c>
      <c r="E1177" s="11" t="s">
        <v>43</v>
      </c>
      <c r="F1177" s="11" t="s">
        <v>90</v>
      </c>
      <c r="G1177" s="3">
        <v>144.46</v>
      </c>
      <c r="H1177" s="3">
        <v>86.67</v>
      </c>
      <c r="I1177" s="12">
        <v>1</v>
      </c>
      <c r="J1177" s="9" t="s">
        <v>2068</v>
      </c>
      <c r="K1177" s="9" t="s">
        <v>33</v>
      </c>
      <c r="L1177" s="13">
        <v>1</v>
      </c>
      <c r="M1177" s="9" t="s">
        <v>34</v>
      </c>
    </row>
    <row r="1178" spans="1:13" ht="20.25" customHeight="1" x14ac:dyDescent="0.25">
      <c r="A1178" s="9" t="s">
        <v>2132</v>
      </c>
      <c r="B1178" s="10">
        <v>45941</v>
      </c>
      <c r="C1178" s="9" t="s">
        <v>28</v>
      </c>
      <c r="D1178" s="9" t="s">
        <v>29</v>
      </c>
      <c r="E1178" s="11" t="s">
        <v>58</v>
      </c>
      <c r="F1178" s="11" t="s">
        <v>87</v>
      </c>
      <c r="G1178" s="3">
        <v>346.7</v>
      </c>
      <c r="H1178" s="3">
        <v>211.87</v>
      </c>
      <c r="I1178" s="12">
        <v>2</v>
      </c>
      <c r="J1178" s="9" t="s">
        <v>1103</v>
      </c>
      <c r="K1178" s="9" t="s">
        <v>33</v>
      </c>
      <c r="L1178" s="13">
        <v>1</v>
      </c>
      <c r="M1178" s="9" t="s">
        <v>34</v>
      </c>
    </row>
    <row r="1179" spans="1:13" ht="20.25" customHeight="1" x14ac:dyDescent="0.25">
      <c r="A1179" s="9" t="s">
        <v>2133</v>
      </c>
      <c r="B1179" s="10">
        <v>45942</v>
      </c>
      <c r="C1179" s="9" t="s">
        <v>71</v>
      </c>
      <c r="D1179" s="9" t="s">
        <v>42</v>
      </c>
      <c r="E1179" s="11" t="s">
        <v>37</v>
      </c>
      <c r="F1179" s="11" t="s">
        <v>55</v>
      </c>
      <c r="G1179" s="3">
        <v>86.67</v>
      </c>
      <c r="H1179" s="3">
        <v>52.97</v>
      </c>
      <c r="I1179" s="12">
        <v>1</v>
      </c>
      <c r="J1179" s="9" t="s">
        <v>627</v>
      </c>
      <c r="K1179" s="9" t="s">
        <v>49</v>
      </c>
      <c r="L1179" s="13">
        <v>0</v>
      </c>
      <c r="M1179" s="9" t="s">
        <v>34</v>
      </c>
    </row>
    <row r="1180" spans="1:13" ht="20.25" customHeight="1" x14ac:dyDescent="0.25">
      <c r="A1180" s="9" t="s">
        <v>2134</v>
      </c>
      <c r="B1180" s="10">
        <v>45943</v>
      </c>
      <c r="C1180" s="9" t="s">
        <v>71</v>
      </c>
      <c r="D1180" s="9" t="s">
        <v>51</v>
      </c>
      <c r="E1180" s="11" t="s">
        <v>58</v>
      </c>
      <c r="F1180" s="11" t="s">
        <v>59</v>
      </c>
      <c r="G1180" s="3">
        <v>144.46</v>
      </c>
      <c r="H1180" s="3">
        <v>86.67</v>
      </c>
      <c r="I1180" s="12">
        <v>1</v>
      </c>
      <c r="J1180" s="9" t="s">
        <v>2135</v>
      </c>
      <c r="K1180" s="9" t="s">
        <v>33</v>
      </c>
      <c r="L1180" s="13">
        <v>1</v>
      </c>
      <c r="M1180" s="9" t="s">
        <v>34</v>
      </c>
    </row>
    <row r="1181" spans="1:13" ht="20.25" customHeight="1" x14ac:dyDescent="0.25">
      <c r="A1181" s="9" t="s">
        <v>2136</v>
      </c>
      <c r="B1181" s="10">
        <v>45943</v>
      </c>
      <c r="C1181" s="9" t="s">
        <v>28</v>
      </c>
      <c r="D1181" s="9" t="s">
        <v>42</v>
      </c>
      <c r="E1181" s="11" t="s">
        <v>37</v>
      </c>
      <c r="F1181" s="11" t="s">
        <v>72</v>
      </c>
      <c r="G1181" s="3">
        <v>-423.74</v>
      </c>
      <c r="H1181" s="3">
        <v>-250.39</v>
      </c>
      <c r="I1181" s="12">
        <v>-2</v>
      </c>
      <c r="J1181" s="9" t="s">
        <v>2137</v>
      </c>
      <c r="K1181" s="9" t="s">
        <v>49</v>
      </c>
      <c r="L1181" s="13">
        <v>0</v>
      </c>
      <c r="M1181" s="9" t="s">
        <v>76</v>
      </c>
    </row>
    <row r="1182" spans="1:13" ht="20.25" customHeight="1" x14ac:dyDescent="0.25">
      <c r="A1182" s="9" t="s">
        <v>2138</v>
      </c>
      <c r="B1182" s="10">
        <v>45943</v>
      </c>
      <c r="C1182" s="9" t="s">
        <v>71</v>
      </c>
      <c r="D1182" s="9" t="s">
        <v>51</v>
      </c>
      <c r="E1182" s="11" t="s">
        <v>58</v>
      </c>
      <c r="F1182" s="11" t="s">
        <v>59</v>
      </c>
      <c r="G1182" s="3">
        <v>-144.46</v>
      </c>
      <c r="H1182" s="3">
        <v>-86.67</v>
      </c>
      <c r="I1182" s="12">
        <v>-1</v>
      </c>
      <c r="J1182" s="9" t="s">
        <v>1376</v>
      </c>
      <c r="K1182" s="9" t="s">
        <v>49</v>
      </c>
      <c r="L1182" s="13">
        <v>0</v>
      </c>
      <c r="M1182" s="9" t="s">
        <v>76</v>
      </c>
    </row>
    <row r="1183" spans="1:13" ht="20.25" customHeight="1" x14ac:dyDescent="0.25">
      <c r="A1183" s="9" t="s">
        <v>2139</v>
      </c>
      <c r="B1183" s="10">
        <v>45943</v>
      </c>
      <c r="C1183" s="9" t="s">
        <v>28</v>
      </c>
      <c r="D1183" s="9" t="s">
        <v>29</v>
      </c>
      <c r="E1183" s="11" t="s">
        <v>30</v>
      </c>
      <c r="F1183" s="11" t="s">
        <v>80</v>
      </c>
      <c r="G1183" s="3">
        <v>2455.7600000000002</v>
      </c>
      <c r="H1183" s="3">
        <v>1733.48</v>
      </c>
      <c r="I1183" s="12">
        <v>3</v>
      </c>
      <c r="J1183" s="9" t="s">
        <v>131</v>
      </c>
      <c r="K1183" s="9" t="s">
        <v>33</v>
      </c>
      <c r="L1183" s="13">
        <v>1</v>
      </c>
      <c r="M1183" s="9" t="s">
        <v>34</v>
      </c>
    </row>
    <row r="1184" spans="1:13" ht="20.25" customHeight="1" x14ac:dyDescent="0.25">
      <c r="A1184" s="9" t="s">
        <v>2140</v>
      </c>
      <c r="B1184" s="10">
        <v>45943</v>
      </c>
      <c r="C1184" s="9" t="s">
        <v>36</v>
      </c>
      <c r="D1184" s="9" t="s">
        <v>51</v>
      </c>
      <c r="E1184" s="11" t="s">
        <v>58</v>
      </c>
      <c r="F1184" s="11" t="s">
        <v>68</v>
      </c>
      <c r="G1184" s="3">
        <v>1011.19</v>
      </c>
      <c r="H1184" s="3">
        <v>635.61</v>
      </c>
      <c r="I1184" s="12">
        <v>3</v>
      </c>
      <c r="J1184" s="9" t="s">
        <v>1758</v>
      </c>
      <c r="K1184" s="9" t="s">
        <v>33</v>
      </c>
      <c r="L1184" s="13">
        <v>1</v>
      </c>
      <c r="M1184" s="9" t="s">
        <v>34</v>
      </c>
    </row>
    <row r="1185" spans="1:13" ht="20.25" customHeight="1" x14ac:dyDescent="0.25">
      <c r="A1185" s="9" t="s">
        <v>2141</v>
      </c>
      <c r="B1185" s="10">
        <v>45943</v>
      </c>
      <c r="C1185" s="9" t="s">
        <v>28</v>
      </c>
      <c r="D1185" s="9" t="s">
        <v>29</v>
      </c>
      <c r="E1185" s="11" t="s">
        <v>58</v>
      </c>
      <c r="F1185" s="11" t="s">
        <v>59</v>
      </c>
      <c r="G1185" s="3">
        <v>144.46</v>
      </c>
      <c r="H1185" s="3">
        <v>86.67</v>
      </c>
      <c r="I1185" s="12">
        <v>1</v>
      </c>
      <c r="J1185" s="9" t="s">
        <v>2142</v>
      </c>
      <c r="K1185" s="9" t="s">
        <v>49</v>
      </c>
      <c r="L1185" s="13">
        <v>0</v>
      </c>
      <c r="M1185" s="9" t="s">
        <v>34</v>
      </c>
    </row>
    <row r="1186" spans="1:13" ht="20.25" customHeight="1" x14ac:dyDescent="0.25">
      <c r="A1186" s="9" t="s">
        <v>2143</v>
      </c>
      <c r="B1186" s="10">
        <v>45944</v>
      </c>
      <c r="C1186" s="9" t="s">
        <v>36</v>
      </c>
      <c r="D1186" s="9" t="s">
        <v>51</v>
      </c>
      <c r="E1186" s="11" t="s">
        <v>43</v>
      </c>
      <c r="F1186" s="11" t="s">
        <v>90</v>
      </c>
      <c r="G1186" s="3">
        <v>144.46</v>
      </c>
      <c r="H1186" s="3">
        <v>86.67</v>
      </c>
      <c r="I1186" s="12">
        <v>1</v>
      </c>
      <c r="J1186" s="9" t="s">
        <v>1908</v>
      </c>
      <c r="K1186" s="9" t="s">
        <v>49</v>
      </c>
      <c r="L1186" s="13">
        <v>0</v>
      </c>
      <c r="M1186" s="9" t="s">
        <v>34</v>
      </c>
    </row>
    <row r="1187" spans="1:13" ht="20.25" customHeight="1" x14ac:dyDescent="0.25">
      <c r="A1187" s="9" t="s">
        <v>2144</v>
      </c>
      <c r="B1187" s="10">
        <v>45944</v>
      </c>
      <c r="C1187" s="9" t="s">
        <v>36</v>
      </c>
      <c r="D1187" s="9" t="s">
        <v>29</v>
      </c>
      <c r="E1187" s="11" t="s">
        <v>37</v>
      </c>
      <c r="F1187" s="11" t="s">
        <v>38</v>
      </c>
      <c r="G1187" s="3">
        <v>115.57</v>
      </c>
      <c r="H1187" s="3">
        <v>67.41</v>
      </c>
      <c r="I1187" s="12">
        <v>1</v>
      </c>
      <c r="J1187" s="9" t="s">
        <v>2145</v>
      </c>
      <c r="K1187" s="9" t="s">
        <v>49</v>
      </c>
      <c r="L1187" s="13">
        <v>0</v>
      </c>
      <c r="M1187" s="9" t="s">
        <v>34</v>
      </c>
    </row>
    <row r="1188" spans="1:13" ht="20.25" customHeight="1" x14ac:dyDescent="0.25">
      <c r="A1188" s="9" t="s">
        <v>2146</v>
      </c>
      <c r="B1188" s="10">
        <v>45944</v>
      </c>
      <c r="C1188" s="9" t="s">
        <v>54</v>
      </c>
      <c r="D1188" s="9" t="s">
        <v>42</v>
      </c>
      <c r="E1188" s="11" t="s">
        <v>37</v>
      </c>
      <c r="F1188" s="11" t="s">
        <v>38</v>
      </c>
      <c r="G1188" s="3">
        <v>231.13</v>
      </c>
      <c r="H1188" s="3">
        <v>134.83000000000001</v>
      </c>
      <c r="I1188" s="12">
        <v>2</v>
      </c>
      <c r="J1188" s="9" t="s">
        <v>1541</v>
      </c>
      <c r="K1188" s="9" t="s">
        <v>49</v>
      </c>
      <c r="L1188" s="13">
        <v>0</v>
      </c>
      <c r="M1188" s="9" t="s">
        <v>34</v>
      </c>
    </row>
    <row r="1189" spans="1:13" ht="20.25" customHeight="1" x14ac:dyDescent="0.25">
      <c r="A1189" s="9" t="s">
        <v>2147</v>
      </c>
      <c r="B1189" s="10">
        <v>45945</v>
      </c>
      <c r="C1189" s="9" t="s">
        <v>28</v>
      </c>
      <c r="D1189" s="9" t="s">
        <v>29</v>
      </c>
      <c r="E1189" s="11" t="s">
        <v>30</v>
      </c>
      <c r="F1189" s="11" t="s">
        <v>80</v>
      </c>
      <c r="G1189" s="3">
        <v>818.59</v>
      </c>
      <c r="H1189" s="3">
        <v>577.83000000000004</v>
      </c>
      <c r="I1189" s="12">
        <v>1</v>
      </c>
      <c r="J1189" s="9" t="s">
        <v>2148</v>
      </c>
      <c r="K1189" s="9" t="s">
        <v>49</v>
      </c>
      <c r="L1189" s="13">
        <v>0</v>
      </c>
      <c r="M1189" s="9" t="s">
        <v>34</v>
      </c>
    </row>
    <row r="1190" spans="1:13" ht="20.25" customHeight="1" x14ac:dyDescent="0.25">
      <c r="A1190" s="9" t="s">
        <v>2149</v>
      </c>
      <c r="B1190" s="10">
        <v>45945</v>
      </c>
      <c r="C1190" s="9" t="s">
        <v>36</v>
      </c>
      <c r="D1190" s="9" t="s">
        <v>29</v>
      </c>
      <c r="E1190" s="11" t="s">
        <v>37</v>
      </c>
      <c r="F1190" s="11" t="s">
        <v>38</v>
      </c>
      <c r="G1190" s="3">
        <v>231.13</v>
      </c>
      <c r="H1190" s="3">
        <v>134.83000000000001</v>
      </c>
      <c r="I1190" s="12">
        <v>2</v>
      </c>
      <c r="J1190" s="9" t="s">
        <v>1343</v>
      </c>
      <c r="K1190" s="9" t="s">
        <v>49</v>
      </c>
      <c r="L1190" s="13">
        <v>0</v>
      </c>
      <c r="M1190" s="9" t="s">
        <v>34</v>
      </c>
    </row>
    <row r="1191" spans="1:13" ht="20.25" customHeight="1" x14ac:dyDescent="0.25">
      <c r="A1191" s="9" t="s">
        <v>2150</v>
      </c>
      <c r="B1191" s="10">
        <v>45945</v>
      </c>
      <c r="C1191" s="9" t="s">
        <v>36</v>
      </c>
      <c r="D1191" s="9" t="s">
        <v>42</v>
      </c>
      <c r="E1191" s="11" t="s">
        <v>58</v>
      </c>
      <c r="F1191" s="11" t="s">
        <v>68</v>
      </c>
      <c r="G1191" s="3">
        <v>337.06</v>
      </c>
      <c r="H1191" s="3">
        <v>211.87</v>
      </c>
      <c r="I1191" s="12">
        <v>1</v>
      </c>
      <c r="J1191" s="9" t="s">
        <v>553</v>
      </c>
      <c r="K1191" s="9" t="s">
        <v>49</v>
      </c>
      <c r="L1191" s="13">
        <v>0</v>
      </c>
      <c r="M1191" s="9" t="s">
        <v>34</v>
      </c>
    </row>
    <row r="1192" spans="1:13" ht="20.25" customHeight="1" x14ac:dyDescent="0.25">
      <c r="A1192" s="9" t="s">
        <v>2151</v>
      </c>
      <c r="B1192" s="10">
        <v>45945</v>
      </c>
      <c r="C1192" s="9" t="s">
        <v>41</v>
      </c>
      <c r="D1192" s="9" t="s">
        <v>29</v>
      </c>
      <c r="E1192" s="11" t="s">
        <v>43</v>
      </c>
      <c r="F1192" s="11" t="s">
        <v>44</v>
      </c>
      <c r="G1192" s="3">
        <v>43.34</v>
      </c>
      <c r="H1192" s="3">
        <v>19.260000000000002</v>
      </c>
      <c r="I1192" s="12">
        <v>1</v>
      </c>
      <c r="J1192" s="9" t="s">
        <v>2152</v>
      </c>
      <c r="K1192" s="9" t="s">
        <v>33</v>
      </c>
      <c r="L1192" s="13">
        <v>1</v>
      </c>
      <c r="M1192" s="9" t="s">
        <v>34</v>
      </c>
    </row>
    <row r="1193" spans="1:13" ht="20.25" customHeight="1" x14ac:dyDescent="0.25">
      <c r="A1193" s="9" t="s">
        <v>2153</v>
      </c>
      <c r="B1193" s="10">
        <v>45946</v>
      </c>
      <c r="C1193" s="9" t="s">
        <v>71</v>
      </c>
      <c r="D1193" s="9" t="s">
        <v>51</v>
      </c>
      <c r="E1193" s="11" t="s">
        <v>43</v>
      </c>
      <c r="F1193" s="11" t="s">
        <v>47</v>
      </c>
      <c r="G1193" s="3">
        <v>105.93</v>
      </c>
      <c r="H1193" s="3">
        <v>62.6</v>
      </c>
      <c r="I1193" s="12">
        <v>1</v>
      </c>
      <c r="J1193" s="9" t="s">
        <v>2154</v>
      </c>
      <c r="K1193" s="9" t="s">
        <v>49</v>
      </c>
      <c r="L1193" s="13">
        <v>0</v>
      </c>
      <c r="M1193" s="9" t="s">
        <v>34</v>
      </c>
    </row>
    <row r="1194" spans="1:13" ht="20.25" customHeight="1" x14ac:dyDescent="0.25">
      <c r="A1194" s="9" t="s">
        <v>2155</v>
      </c>
      <c r="B1194" s="10">
        <v>45946</v>
      </c>
      <c r="C1194" s="9" t="s">
        <v>41</v>
      </c>
      <c r="D1194" s="9" t="s">
        <v>51</v>
      </c>
      <c r="E1194" s="11" t="s">
        <v>30</v>
      </c>
      <c r="F1194" s="11" t="s">
        <v>80</v>
      </c>
      <c r="G1194" s="3">
        <v>1637.17</v>
      </c>
      <c r="H1194" s="3">
        <v>1155.6500000000001</v>
      </c>
      <c r="I1194" s="12">
        <v>2</v>
      </c>
      <c r="J1194" s="9" t="s">
        <v>320</v>
      </c>
      <c r="K1194" s="9" t="s">
        <v>49</v>
      </c>
      <c r="L1194" s="13">
        <v>0</v>
      </c>
      <c r="M1194" s="9" t="s">
        <v>34</v>
      </c>
    </row>
    <row r="1195" spans="1:13" ht="20.25" customHeight="1" x14ac:dyDescent="0.25">
      <c r="A1195" s="9" t="s">
        <v>2156</v>
      </c>
      <c r="B1195" s="10">
        <v>45946</v>
      </c>
      <c r="C1195" s="9" t="s">
        <v>41</v>
      </c>
      <c r="D1195" s="9" t="s">
        <v>42</v>
      </c>
      <c r="E1195" s="11" t="s">
        <v>43</v>
      </c>
      <c r="F1195" s="11" t="s">
        <v>90</v>
      </c>
      <c r="G1195" s="3">
        <v>144.46</v>
      </c>
      <c r="H1195" s="3">
        <v>86.67</v>
      </c>
      <c r="I1195" s="12">
        <v>1</v>
      </c>
      <c r="J1195" s="9" t="s">
        <v>2157</v>
      </c>
      <c r="K1195" s="9" t="s">
        <v>49</v>
      </c>
      <c r="L1195" s="13">
        <v>0</v>
      </c>
      <c r="M1195" s="9" t="s">
        <v>34</v>
      </c>
    </row>
    <row r="1196" spans="1:13" ht="20.25" customHeight="1" x14ac:dyDescent="0.25">
      <c r="A1196" s="9" t="s">
        <v>2158</v>
      </c>
      <c r="B1196" s="10">
        <v>45947</v>
      </c>
      <c r="C1196" s="9" t="s">
        <v>54</v>
      </c>
      <c r="D1196" s="9" t="s">
        <v>42</v>
      </c>
      <c r="E1196" s="11" t="s">
        <v>30</v>
      </c>
      <c r="F1196" s="11" t="s">
        <v>80</v>
      </c>
      <c r="G1196" s="3">
        <v>1637.17</v>
      </c>
      <c r="H1196" s="3">
        <v>1155.6500000000001</v>
      </c>
      <c r="I1196" s="12">
        <v>2</v>
      </c>
      <c r="J1196" s="9" t="s">
        <v>1810</v>
      </c>
      <c r="K1196" s="9" t="s">
        <v>33</v>
      </c>
      <c r="L1196" s="13">
        <v>1</v>
      </c>
      <c r="M1196" s="9" t="s">
        <v>34</v>
      </c>
    </row>
    <row r="1197" spans="1:13" ht="20.25" customHeight="1" x14ac:dyDescent="0.25">
      <c r="A1197" s="9" t="s">
        <v>2159</v>
      </c>
      <c r="B1197" s="10">
        <v>45947</v>
      </c>
      <c r="C1197" s="9" t="s">
        <v>36</v>
      </c>
      <c r="D1197" s="9" t="s">
        <v>42</v>
      </c>
      <c r="E1197" s="11" t="s">
        <v>58</v>
      </c>
      <c r="F1197" s="11" t="s">
        <v>68</v>
      </c>
      <c r="G1197" s="3">
        <v>337.06</v>
      </c>
      <c r="H1197" s="3">
        <v>211.87</v>
      </c>
      <c r="I1197" s="12">
        <v>1</v>
      </c>
      <c r="J1197" s="9" t="s">
        <v>2160</v>
      </c>
      <c r="K1197" s="9" t="s">
        <v>49</v>
      </c>
      <c r="L1197" s="13">
        <v>0</v>
      </c>
      <c r="M1197" s="9" t="s">
        <v>34</v>
      </c>
    </row>
    <row r="1198" spans="1:13" ht="20.25" customHeight="1" x14ac:dyDescent="0.25">
      <c r="A1198" s="9" t="s">
        <v>2161</v>
      </c>
      <c r="B1198" s="10">
        <v>45947</v>
      </c>
      <c r="C1198" s="9" t="s">
        <v>71</v>
      </c>
      <c r="D1198" s="9" t="s">
        <v>29</v>
      </c>
      <c r="E1198" s="11" t="s">
        <v>58</v>
      </c>
      <c r="F1198" s="11" t="s">
        <v>68</v>
      </c>
      <c r="G1198" s="3">
        <v>337.06</v>
      </c>
      <c r="H1198" s="3">
        <v>211.87</v>
      </c>
      <c r="I1198" s="12">
        <v>1</v>
      </c>
      <c r="J1198" s="9" t="s">
        <v>539</v>
      </c>
      <c r="K1198" s="9" t="s">
        <v>49</v>
      </c>
      <c r="L1198" s="13">
        <v>0</v>
      </c>
      <c r="M1198" s="9" t="s">
        <v>34</v>
      </c>
    </row>
    <row r="1199" spans="1:13" ht="20.25" customHeight="1" x14ac:dyDescent="0.25">
      <c r="A1199" s="9" t="s">
        <v>2162</v>
      </c>
      <c r="B1199" s="10">
        <v>45947</v>
      </c>
      <c r="C1199" s="9" t="s">
        <v>54</v>
      </c>
      <c r="D1199" s="9" t="s">
        <v>42</v>
      </c>
      <c r="E1199" s="11" t="s">
        <v>30</v>
      </c>
      <c r="F1199" s="11" t="s">
        <v>80</v>
      </c>
      <c r="G1199" s="3">
        <v>2455.7600000000002</v>
      </c>
      <c r="H1199" s="3">
        <v>1733.48</v>
      </c>
      <c r="I1199" s="12">
        <v>3</v>
      </c>
      <c r="J1199" s="9" t="s">
        <v>2163</v>
      </c>
      <c r="K1199" s="9" t="s">
        <v>33</v>
      </c>
      <c r="L1199" s="13">
        <v>1</v>
      </c>
      <c r="M1199" s="9" t="s">
        <v>34</v>
      </c>
    </row>
    <row r="1200" spans="1:13" ht="20.25" customHeight="1" x14ac:dyDescent="0.25">
      <c r="A1200" s="9" t="s">
        <v>2164</v>
      </c>
      <c r="B1200" s="10">
        <v>45947</v>
      </c>
      <c r="C1200" s="9" t="s">
        <v>62</v>
      </c>
      <c r="D1200" s="9" t="s">
        <v>51</v>
      </c>
      <c r="E1200" s="11" t="s">
        <v>37</v>
      </c>
      <c r="F1200" s="11" t="s">
        <v>55</v>
      </c>
      <c r="G1200" s="3">
        <v>260.02</v>
      </c>
      <c r="H1200" s="3">
        <v>158.9</v>
      </c>
      <c r="I1200" s="12">
        <v>3</v>
      </c>
      <c r="J1200" s="9" t="s">
        <v>2165</v>
      </c>
      <c r="K1200" s="9" t="s">
        <v>49</v>
      </c>
      <c r="L1200" s="13">
        <v>0</v>
      </c>
      <c r="M1200" s="9" t="s">
        <v>34</v>
      </c>
    </row>
    <row r="1201" spans="1:13" ht="20.25" customHeight="1" x14ac:dyDescent="0.25">
      <c r="A1201" s="9" t="s">
        <v>2166</v>
      </c>
      <c r="B1201" s="10">
        <v>45947</v>
      </c>
      <c r="C1201" s="9" t="s">
        <v>54</v>
      </c>
      <c r="D1201" s="9" t="s">
        <v>51</v>
      </c>
      <c r="E1201" s="11" t="s">
        <v>30</v>
      </c>
      <c r="F1201" s="11" t="s">
        <v>63</v>
      </c>
      <c r="G1201" s="3">
        <v>1155.6500000000001</v>
      </c>
      <c r="H1201" s="3">
        <v>818.59</v>
      </c>
      <c r="I1201" s="12">
        <v>1</v>
      </c>
      <c r="J1201" s="9" t="s">
        <v>2167</v>
      </c>
      <c r="K1201" s="9" t="s">
        <v>33</v>
      </c>
      <c r="L1201" s="13">
        <v>1</v>
      </c>
      <c r="M1201" s="9" t="s">
        <v>34</v>
      </c>
    </row>
    <row r="1202" spans="1:13" ht="20.25" customHeight="1" x14ac:dyDescent="0.25">
      <c r="A1202" s="9" t="s">
        <v>2168</v>
      </c>
      <c r="B1202" s="10">
        <v>45948</v>
      </c>
      <c r="C1202" s="9" t="s">
        <v>36</v>
      </c>
      <c r="D1202" s="9" t="s">
        <v>29</v>
      </c>
      <c r="E1202" s="11" t="s">
        <v>30</v>
      </c>
      <c r="F1202" s="11" t="s">
        <v>31</v>
      </c>
      <c r="G1202" s="3">
        <v>625.98</v>
      </c>
      <c r="H1202" s="3">
        <v>433.37</v>
      </c>
      <c r="I1202" s="12">
        <v>1</v>
      </c>
      <c r="J1202" s="9" t="s">
        <v>485</v>
      </c>
      <c r="K1202" s="9" t="s">
        <v>49</v>
      </c>
      <c r="L1202" s="13">
        <v>0</v>
      </c>
      <c r="M1202" s="9" t="s">
        <v>34</v>
      </c>
    </row>
    <row r="1203" spans="1:13" ht="20.25" customHeight="1" x14ac:dyDescent="0.25">
      <c r="A1203" s="9" t="s">
        <v>2169</v>
      </c>
      <c r="B1203" s="10">
        <v>45948</v>
      </c>
      <c r="C1203" s="9" t="s">
        <v>28</v>
      </c>
      <c r="D1203" s="9" t="s">
        <v>51</v>
      </c>
      <c r="E1203" s="11" t="s">
        <v>37</v>
      </c>
      <c r="F1203" s="11" t="s">
        <v>72</v>
      </c>
      <c r="G1203" s="3">
        <v>423.74</v>
      </c>
      <c r="H1203" s="3">
        <v>250.39</v>
      </c>
      <c r="I1203" s="12">
        <v>2</v>
      </c>
      <c r="J1203" s="9" t="s">
        <v>2170</v>
      </c>
      <c r="K1203" s="9" t="s">
        <v>49</v>
      </c>
      <c r="L1203" s="13">
        <v>0</v>
      </c>
      <c r="M1203" s="9" t="s">
        <v>34</v>
      </c>
    </row>
    <row r="1204" spans="1:13" ht="20.25" customHeight="1" x14ac:dyDescent="0.25">
      <c r="A1204" s="9" t="s">
        <v>2171</v>
      </c>
      <c r="B1204" s="10">
        <v>45949</v>
      </c>
      <c r="C1204" s="9" t="s">
        <v>36</v>
      </c>
      <c r="D1204" s="9" t="s">
        <v>42</v>
      </c>
      <c r="E1204" s="11" t="s">
        <v>37</v>
      </c>
      <c r="F1204" s="11" t="s">
        <v>38</v>
      </c>
      <c r="G1204" s="3">
        <v>115.57</v>
      </c>
      <c r="H1204" s="3">
        <v>67.41</v>
      </c>
      <c r="I1204" s="12">
        <v>1</v>
      </c>
      <c r="J1204" s="9" t="s">
        <v>2172</v>
      </c>
      <c r="K1204" s="9" t="s">
        <v>49</v>
      </c>
      <c r="L1204" s="13">
        <v>0</v>
      </c>
      <c r="M1204" s="9" t="s">
        <v>34</v>
      </c>
    </row>
    <row r="1205" spans="1:13" ht="20.25" customHeight="1" x14ac:dyDescent="0.25">
      <c r="A1205" s="9" t="s">
        <v>2173</v>
      </c>
      <c r="B1205" s="10">
        <v>45949</v>
      </c>
      <c r="C1205" s="9" t="s">
        <v>41</v>
      </c>
      <c r="D1205" s="9" t="s">
        <v>42</v>
      </c>
      <c r="E1205" s="11" t="s">
        <v>43</v>
      </c>
      <c r="F1205" s="11" t="s">
        <v>44</v>
      </c>
      <c r="G1205" s="3">
        <v>43.34</v>
      </c>
      <c r="H1205" s="3">
        <v>19.260000000000002</v>
      </c>
      <c r="I1205" s="12">
        <v>1</v>
      </c>
      <c r="J1205" s="9" t="s">
        <v>852</v>
      </c>
      <c r="K1205" s="9" t="s">
        <v>49</v>
      </c>
      <c r="L1205" s="13">
        <v>0</v>
      </c>
      <c r="M1205" s="9" t="s">
        <v>34</v>
      </c>
    </row>
    <row r="1206" spans="1:13" ht="20.25" customHeight="1" x14ac:dyDescent="0.25">
      <c r="A1206" s="9" t="s">
        <v>2174</v>
      </c>
      <c r="B1206" s="10">
        <v>45949</v>
      </c>
      <c r="C1206" s="9" t="s">
        <v>36</v>
      </c>
      <c r="D1206" s="9" t="s">
        <v>29</v>
      </c>
      <c r="E1206" s="11" t="s">
        <v>37</v>
      </c>
      <c r="F1206" s="11" t="s">
        <v>55</v>
      </c>
      <c r="G1206" s="3">
        <v>260.02</v>
      </c>
      <c r="H1206" s="3">
        <v>158.9</v>
      </c>
      <c r="I1206" s="12">
        <v>3</v>
      </c>
      <c r="J1206" s="9" t="s">
        <v>1411</v>
      </c>
      <c r="K1206" s="9" t="s">
        <v>33</v>
      </c>
      <c r="L1206" s="13">
        <v>1</v>
      </c>
      <c r="M1206" s="9" t="s">
        <v>34</v>
      </c>
    </row>
    <row r="1207" spans="1:13" ht="20.25" customHeight="1" x14ac:dyDescent="0.25">
      <c r="A1207" s="9" t="s">
        <v>2175</v>
      </c>
      <c r="B1207" s="10">
        <v>45949</v>
      </c>
      <c r="C1207" s="9" t="s">
        <v>36</v>
      </c>
      <c r="D1207" s="9" t="s">
        <v>29</v>
      </c>
      <c r="E1207" s="11" t="s">
        <v>37</v>
      </c>
      <c r="F1207" s="11" t="s">
        <v>38</v>
      </c>
      <c r="G1207" s="3">
        <v>115.57</v>
      </c>
      <c r="H1207" s="3">
        <v>67.41</v>
      </c>
      <c r="I1207" s="12">
        <v>1</v>
      </c>
      <c r="J1207" s="9" t="s">
        <v>1426</v>
      </c>
      <c r="K1207" s="9" t="s">
        <v>49</v>
      </c>
      <c r="L1207" s="13">
        <v>0</v>
      </c>
      <c r="M1207" s="9" t="s">
        <v>34</v>
      </c>
    </row>
    <row r="1208" spans="1:13" ht="20.25" customHeight="1" x14ac:dyDescent="0.25">
      <c r="A1208" s="9" t="s">
        <v>2176</v>
      </c>
      <c r="B1208" s="10">
        <v>45949</v>
      </c>
      <c r="C1208" s="9" t="s">
        <v>54</v>
      </c>
      <c r="D1208" s="9" t="s">
        <v>29</v>
      </c>
      <c r="E1208" s="11" t="s">
        <v>58</v>
      </c>
      <c r="F1208" s="11" t="s">
        <v>59</v>
      </c>
      <c r="G1208" s="3">
        <v>144.46</v>
      </c>
      <c r="H1208" s="3">
        <v>86.67</v>
      </c>
      <c r="I1208" s="12">
        <v>1</v>
      </c>
      <c r="J1208" s="9" t="s">
        <v>612</v>
      </c>
      <c r="K1208" s="9" t="s">
        <v>33</v>
      </c>
      <c r="L1208" s="13">
        <v>1</v>
      </c>
      <c r="M1208" s="9" t="s">
        <v>34</v>
      </c>
    </row>
    <row r="1209" spans="1:13" ht="20.25" customHeight="1" x14ac:dyDescent="0.25">
      <c r="A1209" s="9" t="s">
        <v>2177</v>
      </c>
      <c r="B1209" s="10">
        <v>45949</v>
      </c>
      <c r="C1209" s="9" t="s">
        <v>36</v>
      </c>
      <c r="D1209" s="9" t="s">
        <v>42</v>
      </c>
      <c r="E1209" s="11" t="s">
        <v>30</v>
      </c>
      <c r="F1209" s="11" t="s">
        <v>31</v>
      </c>
      <c r="G1209" s="3">
        <v>625.98</v>
      </c>
      <c r="H1209" s="3">
        <v>433.37</v>
      </c>
      <c r="I1209" s="12">
        <v>1</v>
      </c>
      <c r="J1209" s="9" t="s">
        <v>2178</v>
      </c>
      <c r="K1209" s="9" t="s">
        <v>33</v>
      </c>
      <c r="L1209" s="13">
        <v>1</v>
      </c>
      <c r="M1209" s="9" t="s">
        <v>34</v>
      </c>
    </row>
    <row r="1210" spans="1:13" ht="20.25" customHeight="1" x14ac:dyDescent="0.25">
      <c r="A1210" s="9" t="s">
        <v>2179</v>
      </c>
      <c r="B1210" s="10">
        <v>45950</v>
      </c>
      <c r="C1210" s="9" t="s">
        <v>54</v>
      </c>
      <c r="D1210" s="9" t="s">
        <v>51</v>
      </c>
      <c r="E1210" s="11" t="s">
        <v>30</v>
      </c>
      <c r="F1210" s="11" t="s">
        <v>80</v>
      </c>
      <c r="G1210" s="3">
        <v>1637.17</v>
      </c>
      <c r="H1210" s="3">
        <v>1155.6500000000001</v>
      </c>
      <c r="I1210" s="12">
        <v>2</v>
      </c>
      <c r="J1210" s="9" t="s">
        <v>2180</v>
      </c>
      <c r="K1210" s="9" t="s">
        <v>33</v>
      </c>
      <c r="L1210" s="13">
        <v>1</v>
      </c>
      <c r="M1210" s="9" t="s">
        <v>34</v>
      </c>
    </row>
    <row r="1211" spans="1:13" ht="20.25" customHeight="1" x14ac:dyDescent="0.25">
      <c r="A1211" s="9" t="s">
        <v>2181</v>
      </c>
      <c r="B1211" s="10">
        <v>45950</v>
      </c>
      <c r="C1211" s="9" t="s">
        <v>36</v>
      </c>
      <c r="D1211" s="9" t="s">
        <v>29</v>
      </c>
      <c r="E1211" s="11" t="s">
        <v>58</v>
      </c>
      <c r="F1211" s="11" t="s">
        <v>87</v>
      </c>
      <c r="G1211" s="3">
        <v>346.7</v>
      </c>
      <c r="H1211" s="3">
        <v>211.87</v>
      </c>
      <c r="I1211" s="12">
        <v>2</v>
      </c>
      <c r="J1211" s="9" t="s">
        <v>941</v>
      </c>
      <c r="K1211" s="9" t="s">
        <v>49</v>
      </c>
      <c r="L1211" s="13">
        <v>0</v>
      </c>
      <c r="M1211" s="9" t="s">
        <v>34</v>
      </c>
    </row>
    <row r="1212" spans="1:13" ht="20.25" customHeight="1" x14ac:dyDescent="0.25">
      <c r="A1212" s="9" t="s">
        <v>2182</v>
      </c>
      <c r="B1212" s="10">
        <v>45950</v>
      </c>
      <c r="C1212" s="9" t="s">
        <v>36</v>
      </c>
      <c r="D1212" s="9" t="s">
        <v>29</v>
      </c>
      <c r="E1212" s="11" t="s">
        <v>37</v>
      </c>
      <c r="F1212" s="11" t="s">
        <v>55</v>
      </c>
      <c r="G1212" s="3">
        <v>86.67</v>
      </c>
      <c r="H1212" s="3">
        <v>52.97</v>
      </c>
      <c r="I1212" s="12">
        <v>1</v>
      </c>
      <c r="J1212" s="9" t="s">
        <v>2183</v>
      </c>
      <c r="K1212" s="9" t="s">
        <v>33</v>
      </c>
      <c r="L1212" s="13">
        <v>1</v>
      </c>
      <c r="M1212" s="9" t="s">
        <v>34</v>
      </c>
    </row>
    <row r="1213" spans="1:13" ht="20.25" customHeight="1" x14ac:dyDescent="0.25">
      <c r="A1213" s="9" t="s">
        <v>2184</v>
      </c>
      <c r="B1213" s="10">
        <v>45951</v>
      </c>
      <c r="C1213" s="9" t="s">
        <v>36</v>
      </c>
      <c r="D1213" s="9" t="s">
        <v>29</v>
      </c>
      <c r="E1213" s="11" t="s">
        <v>58</v>
      </c>
      <c r="F1213" s="11" t="s">
        <v>59</v>
      </c>
      <c r="G1213" s="3">
        <v>144.46</v>
      </c>
      <c r="H1213" s="3">
        <v>86.67</v>
      </c>
      <c r="I1213" s="12">
        <v>1</v>
      </c>
      <c r="J1213" s="9" t="s">
        <v>2185</v>
      </c>
      <c r="K1213" s="9" t="s">
        <v>49</v>
      </c>
      <c r="L1213" s="13">
        <v>0</v>
      </c>
      <c r="M1213" s="9" t="s">
        <v>34</v>
      </c>
    </row>
    <row r="1214" spans="1:13" ht="20.25" customHeight="1" x14ac:dyDescent="0.25">
      <c r="A1214" s="9" t="s">
        <v>2186</v>
      </c>
      <c r="B1214" s="10">
        <v>45951</v>
      </c>
      <c r="C1214" s="9" t="s">
        <v>41</v>
      </c>
      <c r="D1214" s="9" t="s">
        <v>29</v>
      </c>
      <c r="E1214" s="11" t="s">
        <v>37</v>
      </c>
      <c r="F1214" s="11" t="s">
        <v>55</v>
      </c>
      <c r="G1214" s="3">
        <v>86.67</v>
      </c>
      <c r="H1214" s="3">
        <v>52.97</v>
      </c>
      <c r="I1214" s="12">
        <v>1</v>
      </c>
      <c r="J1214" s="9" t="s">
        <v>1931</v>
      </c>
      <c r="K1214" s="9" t="s">
        <v>49</v>
      </c>
      <c r="L1214" s="13">
        <v>0</v>
      </c>
      <c r="M1214" s="9" t="s">
        <v>34</v>
      </c>
    </row>
    <row r="1215" spans="1:13" ht="20.25" customHeight="1" x14ac:dyDescent="0.25">
      <c r="A1215" s="9" t="s">
        <v>2187</v>
      </c>
      <c r="B1215" s="10">
        <v>45952</v>
      </c>
      <c r="C1215" s="9" t="s">
        <v>28</v>
      </c>
      <c r="D1215" s="9" t="s">
        <v>42</v>
      </c>
      <c r="E1215" s="11" t="s">
        <v>58</v>
      </c>
      <c r="F1215" s="11" t="s">
        <v>87</v>
      </c>
      <c r="G1215" s="3">
        <v>346.7</v>
      </c>
      <c r="H1215" s="3">
        <v>211.87</v>
      </c>
      <c r="I1215" s="12">
        <v>2</v>
      </c>
      <c r="J1215" s="9" t="s">
        <v>2188</v>
      </c>
      <c r="K1215" s="9" t="s">
        <v>49</v>
      </c>
      <c r="L1215" s="13">
        <v>0</v>
      </c>
      <c r="M1215" s="9" t="s">
        <v>34</v>
      </c>
    </row>
    <row r="1216" spans="1:13" ht="20.25" customHeight="1" x14ac:dyDescent="0.25">
      <c r="A1216" s="9" t="s">
        <v>2189</v>
      </c>
      <c r="B1216" s="10">
        <v>45952</v>
      </c>
      <c r="C1216" s="9" t="s">
        <v>28</v>
      </c>
      <c r="D1216" s="9" t="s">
        <v>51</v>
      </c>
      <c r="E1216" s="11" t="s">
        <v>30</v>
      </c>
      <c r="F1216" s="11" t="s">
        <v>31</v>
      </c>
      <c r="G1216" s="3">
        <v>625.98</v>
      </c>
      <c r="H1216" s="3">
        <v>433.37</v>
      </c>
      <c r="I1216" s="12">
        <v>1</v>
      </c>
      <c r="J1216" s="9" t="s">
        <v>2190</v>
      </c>
      <c r="K1216" s="9" t="s">
        <v>33</v>
      </c>
      <c r="L1216" s="13">
        <v>1</v>
      </c>
      <c r="M1216" s="9" t="s">
        <v>34</v>
      </c>
    </row>
    <row r="1217" spans="1:13" ht="20.25" customHeight="1" x14ac:dyDescent="0.25">
      <c r="A1217" s="9" t="s">
        <v>2191</v>
      </c>
      <c r="B1217" s="10">
        <v>45952</v>
      </c>
      <c r="C1217" s="9" t="s">
        <v>62</v>
      </c>
      <c r="D1217" s="9" t="s">
        <v>29</v>
      </c>
      <c r="E1217" s="11" t="s">
        <v>30</v>
      </c>
      <c r="F1217" s="11" t="s">
        <v>63</v>
      </c>
      <c r="G1217" s="3">
        <v>3466.95</v>
      </c>
      <c r="H1217" s="3">
        <v>2455.7600000000002</v>
      </c>
      <c r="I1217" s="12">
        <v>3</v>
      </c>
      <c r="J1217" s="9" t="s">
        <v>2192</v>
      </c>
      <c r="K1217" s="9" t="s">
        <v>49</v>
      </c>
      <c r="L1217" s="13">
        <v>0</v>
      </c>
      <c r="M1217" s="9" t="s">
        <v>34</v>
      </c>
    </row>
    <row r="1218" spans="1:13" ht="20.25" customHeight="1" x14ac:dyDescent="0.25">
      <c r="A1218" s="9" t="s">
        <v>2193</v>
      </c>
      <c r="B1218" s="10">
        <v>45953</v>
      </c>
      <c r="C1218" s="9" t="s">
        <v>28</v>
      </c>
      <c r="D1218" s="9" t="s">
        <v>51</v>
      </c>
      <c r="E1218" s="11" t="s">
        <v>43</v>
      </c>
      <c r="F1218" s="11" t="s">
        <v>90</v>
      </c>
      <c r="G1218" s="3">
        <v>144.46</v>
      </c>
      <c r="H1218" s="3">
        <v>86.67</v>
      </c>
      <c r="I1218" s="12">
        <v>1</v>
      </c>
      <c r="J1218" s="9" t="s">
        <v>2194</v>
      </c>
      <c r="K1218" s="9" t="s">
        <v>49</v>
      </c>
      <c r="L1218" s="13">
        <v>0</v>
      </c>
      <c r="M1218" s="9" t="s">
        <v>34</v>
      </c>
    </row>
    <row r="1219" spans="1:13" ht="20.25" customHeight="1" x14ac:dyDescent="0.25">
      <c r="A1219" s="9" t="s">
        <v>2195</v>
      </c>
      <c r="B1219" s="10">
        <v>45953</v>
      </c>
      <c r="C1219" s="9" t="s">
        <v>71</v>
      </c>
      <c r="D1219" s="9" t="s">
        <v>29</v>
      </c>
      <c r="E1219" s="11" t="s">
        <v>37</v>
      </c>
      <c r="F1219" s="11" t="s">
        <v>72</v>
      </c>
      <c r="G1219" s="3">
        <v>1059.3499999999999</v>
      </c>
      <c r="H1219" s="3">
        <v>625.98</v>
      </c>
      <c r="I1219" s="12">
        <v>5</v>
      </c>
      <c r="J1219" s="9" t="s">
        <v>2196</v>
      </c>
      <c r="K1219" s="9" t="s">
        <v>33</v>
      </c>
      <c r="L1219" s="13">
        <v>1</v>
      </c>
      <c r="M1219" s="9" t="s">
        <v>34</v>
      </c>
    </row>
    <row r="1220" spans="1:13" ht="20.25" customHeight="1" x14ac:dyDescent="0.25">
      <c r="A1220" s="9" t="s">
        <v>2197</v>
      </c>
      <c r="B1220" s="10">
        <v>45954</v>
      </c>
      <c r="C1220" s="9" t="s">
        <v>71</v>
      </c>
      <c r="D1220" s="9" t="s">
        <v>42</v>
      </c>
      <c r="E1220" s="11" t="s">
        <v>43</v>
      </c>
      <c r="F1220" s="11" t="s">
        <v>44</v>
      </c>
      <c r="G1220" s="3">
        <v>43.34</v>
      </c>
      <c r="H1220" s="3">
        <v>19.260000000000002</v>
      </c>
      <c r="I1220" s="12">
        <v>1</v>
      </c>
      <c r="J1220" s="9" t="s">
        <v>2198</v>
      </c>
      <c r="K1220" s="9" t="s">
        <v>49</v>
      </c>
      <c r="L1220" s="13">
        <v>0</v>
      </c>
      <c r="M1220" s="9" t="s">
        <v>34</v>
      </c>
    </row>
    <row r="1221" spans="1:13" ht="20.25" customHeight="1" x14ac:dyDescent="0.25">
      <c r="A1221" s="9" t="s">
        <v>2199</v>
      </c>
      <c r="B1221" s="10">
        <v>45955</v>
      </c>
      <c r="C1221" s="9" t="s">
        <v>36</v>
      </c>
      <c r="D1221" s="9" t="s">
        <v>29</v>
      </c>
      <c r="E1221" s="11" t="s">
        <v>30</v>
      </c>
      <c r="F1221" s="11" t="s">
        <v>31</v>
      </c>
      <c r="G1221" s="3">
        <v>1251.95</v>
      </c>
      <c r="H1221" s="3">
        <v>866.74</v>
      </c>
      <c r="I1221" s="12">
        <v>2</v>
      </c>
      <c r="J1221" s="9" t="s">
        <v>2200</v>
      </c>
      <c r="K1221" s="9" t="s">
        <v>49</v>
      </c>
      <c r="L1221" s="13">
        <v>0</v>
      </c>
      <c r="M1221" s="9" t="s">
        <v>34</v>
      </c>
    </row>
    <row r="1222" spans="1:13" ht="20.25" customHeight="1" x14ac:dyDescent="0.25">
      <c r="A1222" s="9" t="s">
        <v>2201</v>
      </c>
      <c r="B1222" s="10">
        <v>45955</v>
      </c>
      <c r="C1222" s="9" t="s">
        <v>71</v>
      </c>
      <c r="D1222" s="9" t="s">
        <v>29</v>
      </c>
      <c r="E1222" s="11" t="s">
        <v>43</v>
      </c>
      <c r="F1222" s="11" t="s">
        <v>47</v>
      </c>
      <c r="G1222" s="3">
        <v>105.93</v>
      </c>
      <c r="H1222" s="3">
        <v>62.6</v>
      </c>
      <c r="I1222" s="12">
        <v>1</v>
      </c>
      <c r="J1222" s="9" t="s">
        <v>2202</v>
      </c>
      <c r="K1222" s="9" t="s">
        <v>49</v>
      </c>
      <c r="L1222" s="13">
        <v>0</v>
      </c>
      <c r="M1222" s="9" t="s">
        <v>34</v>
      </c>
    </row>
    <row r="1223" spans="1:13" ht="20.25" customHeight="1" x14ac:dyDescent="0.25">
      <c r="A1223" s="9" t="s">
        <v>2203</v>
      </c>
      <c r="B1223" s="10">
        <v>45956</v>
      </c>
      <c r="C1223" s="9" t="s">
        <v>28</v>
      </c>
      <c r="D1223" s="9" t="s">
        <v>29</v>
      </c>
      <c r="E1223" s="11" t="s">
        <v>30</v>
      </c>
      <c r="F1223" s="11" t="s">
        <v>31</v>
      </c>
      <c r="G1223" s="3">
        <v>625.98</v>
      </c>
      <c r="H1223" s="3">
        <v>433.37</v>
      </c>
      <c r="I1223" s="12">
        <v>1</v>
      </c>
      <c r="J1223" s="9" t="s">
        <v>2007</v>
      </c>
      <c r="K1223" s="9" t="s">
        <v>49</v>
      </c>
      <c r="L1223" s="13">
        <v>0</v>
      </c>
      <c r="M1223" s="9" t="s">
        <v>34</v>
      </c>
    </row>
    <row r="1224" spans="1:13" ht="20.25" customHeight="1" x14ac:dyDescent="0.25">
      <c r="A1224" s="9" t="s">
        <v>2204</v>
      </c>
      <c r="B1224" s="10">
        <v>45956</v>
      </c>
      <c r="C1224" s="9" t="s">
        <v>71</v>
      </c>
      <c r="D1224" s="9" t="s">
        <v>51</v>
      </c>
      <c r="E1224" s="11" t="s">
        <v>30</v>
      </c>
      <c r="F1224" s="11" t="s">
        <v>31</v>
      </c>
      <c r="G1224" s="3">
        <v>1877.93</v>
      </c>
      <c r="H1224" s="3">
        <v>1300.1099999999999</v>
      </c>
      <c r="I1224" s="12">
        <v>3</v>
      </c>
      <c r="J1224" s="9" t="s">
        <v>1449</v>
      </c>
      <c r="K1224" s="9" t="s">
        <v>49</v>
      </c>
      <c r="L1224" s="13">
        <v>0</v>
      </c>
      <c r="M1224" s="9" t="s">
        <v>34</v>
      </c>
    </row>
    <row r="1225" spans="1:13" ht="20.25" customHeight="1" x14ac:dyDescent="0.25">
      <c r="A1225" s="9" t="s">
        <v>2205</v>
      </c>
      <c r="B1225" s="10">
        <v>45956</v>
      </c>
      <c r="C1225" s="9" t="s">
        <v>36</v>
      </c>
      <c r="D1225" s="9" t="s">
        <v>51</v>
      </c>
      <c r="E1225" s="11" t="s">
        <v>43</v>
      </c>
      <c r="F1225" s="11" t="s">
        <v>47</v>
      </c>
      <c r="G1225" s="3">
        <v>317.8</v>
      </c>
      <c r="H1225" s="3">
        <v>187.79</v>
      </c>
      <c r="I1225" s="12">
        <v>3</v>
      </c>
      <c r="J1225" s="9" t="s">
        <v>575</v>
      </c>
      <c r="K1225" s="9" t="s">
        <v>33</v>
      </c>
      <c r="L1225" s="13">
        <v>1</v>
      </c>
      <c r="M1225" s="9" t="s">
        <v>34</v>
      </c>
    </row>
    <row r="1226" spans="1:13" ht="20.25" customHeight="1" x14ac:dyDescent="0.25">
      <c r="A1226" s="9" t="s">
        <v>2206</v>
      </c>
      <c r="B1226" s="10">
        <v>45957</v>
      </c>
      <c r="C1226" s="9" t="s">
        <v>41</v>
      </c>
      <c r="D1226" s="9" t="s">
        <v>51</v>
      </c>
      <c r="E1226" s="11" t="s">
        <v>30</v>
      </c>
      <c r="F1226" s="11" t="s">
        <v>63</v>
      </c>
      <c r="G1226" s="3">
        <v>-1155.6500000000001</v>
      </c>
      <c r="H1226" s="3">
        <v>-818.59</v>
      </c>
      <c r="I1226" s="12">
        <v>-1</v>
      </c>
      <c r="J1226" s="9" t="s">
        <v>1682</v>
      </c>
      <c r="K1226" s="9" t="s">
        <v>33</v>
      </c>
      <c r="L1226" s="13">
        <v>1</v>
      </c>
      <c r="M1226" s="9" t="s">
        <v>76</v>
      </c>
    </row>
    <row r="1227" spans="1:13" ht="20.25" customHeight="1" x14ac:dyDescent="0.25">
      <c r="A1227" s="9" t="s">
        <v>2207</v>
      </c>
      <c r="B1227" s="10">
        <v>45957</v>
      </c>
      <c r="C1227" s="9" t="s">
        <v>28</v>
      </c>
      <c r="D1227" s="9" t="s">
        <v>29</v>
      </c>
      <c r="E1227" s="11" t="s">
        <v>37</v>
      </c>
      <c r="F1227" s="11" t="s">
        <v>38</v>
      </c>
      <c r="G1227" s="3">
        <v>231.13</v>
      </c>
      <c r="H1227" s="3">
        <v>134.83000000000001</v>
      </c>
      <c r="I1227" s="12">
        <v>2</v>
      </c>
      <c r="J1227" s="9" t="s">
        <v>2208</v>
      </c>
      <c r="K1227" s="9" t="s">
        <v>49</v>
      </c>
      <c r="L1227" s="13">
        <v>0</v>
      </c>
      <c r="M1227" s="9" t="s">
        <v>34</v>
      </c>
    </row>
    <row r="1228" spans="1:13" ht="20.25" customHeight="1" x14ac:dyDescent="0.25">
      <c r="A1228" s="9" t="s">
        <v>2209</v>
      </c>
      <c r="B1228" s="10">
        <v>45957</v>
      </c>
      <c r="C1228" s="9" t="s">
        <v>71</v>
      </c>
      <c r="D1228" s="9" t="s">
        <v>29</v>
      </c>
      <c r="E1228" s="11" t="s">
        <v>30</v>
      </c>
      <c r="F1228" s="11" t="s">
        <v>80</v>
      </c>
      <c r="G1228" s="3">
        <v>818.59</v>
      </c>
      <c r="H1228" s="3">
        <v>577.83000000000004</v>
      </c>
      <c r="I1228" s="12">
        <v>1</v>
      </c>
      <c r="J1228" s="9" t="s">
        <v>328</v>
      </c>
      <c r="K1228" s="9" t="s">
        <v>33</v>
      </c>
      <c r="L1228" s="13">
        <v>1</v>
      </c>
      <c r="M1228" s="9" t="s">
        <v>34</v>
      </c>
    </row>
    <row r="1229" spans="1:13" ht="20.25" customHeight="1" x14ac:dyDescent="0.25">
      <c r="A1229" s="9" t="s">
        <v>2210</v>
      </c>
      <c r="B1229" s="10">
        <v>45957</v>
      </c>
      <c r="C1229" s="9" t="s">
        <v>28</v>
      </c>
      <c r="D1229" s="9" t="s">
        <v>29</v>
      </c>
      <c r="E1229" s="11" t="s">
        <v>37</v>
      </c>
      <c r="F1229" s="11" t="s">
        <v>38</v>
      </c>
      <c r="G1229" s="3">
        <v>-346.7</v>
      </c>
      <c r="H1229" s="3">
        <v>-202.24</v>
      </c>
      <c r="I1229" s="12">
        <v>-3</v>
      </c>
      <c r="J1229" s="9" t="s">
        <v>996</v>
      </c>
      <c r="K1229" s="9" t="s">
        <v>49</v>
      </c>
      <c r="L1229" s="13">
        <v>0</v>
      </c>
      <c r="M1229" s="9" t="s">
        <v>76</v>
      </c>
    </row>
    <row r="1230" spans="1:13" ht="20.25" customHeight="1" x14ac:dyDescent="0.25">
      <c r="A1230" s="9" t="s">
        <v>2211</v>
      </c>
      <c r="B1230" s="10">
        <v>45958</v>
      </c>
      <c r="C1230" s="9" t="s">
        <v>28</v>
      </c>
      <c r="D1230" s="9" t="s">
        <v>51</v>
      </c>
      <c r="E1230" s="11" t="s">
        <v>43</v>
      </c>
      <c r="F1230" s="11" t="s">
        <v>90</v>
      </c>
      <c r="G1230" s="3">
        <v>144.46</v>
      </c>
      <c r="H1230" s="3">
        <v>86.67</v>
      </c>
      <c r="I1230" s="12">
        <v>1</v>
      </c>
      <c r="J1230" s="9" t="s">
        <v>2212</v>
      </c>
      <c r="K1230" s="9" t="s">
        <v>49</v>
      </c>
      <c r="L1230" s="13">
        <v>0</v>
      </c>
      <c r="M1230" s="9" t="s">
        <v>34</v>
      </c>
    </row>
    <row r="1231" spans="1:13" ht="20.25" customHeight="1" x14ac:dyDescent="0.25">
      <c r="A1231" s="9" t="s">
        <v>2213</v>
      </c>
      <c r="B1231" s="10">
        <v>45958</v>
      </c>
      <c r="C1231" s="9" t="s">
        <v>28</v>
      </c>
      <c r="D1231" s="9" t="s">
        <v>29</v>
      </c>
      <c r="E1231" s="11" t="s">
        <v>58</v>
      </c>
      <c r="F1231" s="11" t="s">
        <v>68</v>
      </c>
      <c r="G1231" s="3">
        <v>337.06</v>
      </c>
      <c r="H1231" s="3">
        <v>211.87</v>
      </c>
      <c r="I1231" s="12">
        <v>1</v>
      </c>
      <c r="J1231" s="9" t="s">
        <v>1910</v>
      </c>
      <c r="K1231" s="9" t="s">
        <v>49</v>
      </c>
      <c r="L1231" s="13">
        <v>0</v>
      </c>
      <c r="M1231" s="9" t="s">
        <v>34</v>
      </c>
    </row>
    <row r="1232" spans="1:13" ht="20.25" customHeight="1" x14ac:dyDescent="0.25">
      <c r="A1232" s="9" t="s">
        <v>2214</v>
      </c>
      <c r="B1232" s="10">
        <v>45958</v>
      </c>
      <c r="C1232" s="9" t="s">
        <v>28</v>
      </c>
      <c r="D1232" s="9" t="s">
        <v>51</v>
      </c>
      <c r="E1232" s="11" t="s">
        <v>37</v>
      </c>
      <c r="F1232" s="11" t="s">
        <v>72</v>
      </c>
      <c r="G1232" s="3">
        <v>211.87</v>
      </c>
      <c r="H1232" s="3">
        <v>125.2</v>
      </c>
      <c r="I1232" s="12">
        <v>1</v>
      </c>
      <c r="J1232" s="9" t="s">
        <v>2215</v>
      </c>
      <c r="K1232" s="9" t="s">
        <v>49</v>
      </c>
      <c r="L1232" s="13">
        <v>0</v>
      </c>
      <c r="M1232" s="9" t="s">
        <v>34</v>
      </c>
    </row>
    <row r="1233" spans="1:13" ht="20.25" customHeight="1" x14ac:dyDescent="0.25">
      <c r="A1233" s="9" t="s">
        <v>2216</v>
      </c>
      <c r="B1233" s="10">
        <v>45958</v>
      </c>
      <c r="C1233" s="9" t="s">
        <v>54</v>
      </c>
      <c r="D1233" s="9" t="s">
        <v>42</v>
      </c>
      <c r="E1233" s="11" t="s">
        <v>30</v>
      </c>
      <c r="F1233" s="11" t="s">
        <v>63</v>
      </c>
      <c r="G1233" s="3">
        <v>1155.6500000000001</v>
      </c>
      <c r="H1233" s="3">
        <v>818.59</v>
      </c>
      <c r="I1233" s="12">
        <v>1</v>
      </c>
      <c r="J1233" s="9" t="s">
        <v>1217</v>
      </c>
      <c r="K1233" s="9" t="s">
        <v>33</v>
      </c>
      <c r="L1233" s="13">
        <v>1</v>
      </c>
      <c r="M1233" s="9" t="s">
        <v>34</v>
      </c>
    </row>
    <row r="1234" spans="1:13" ht="20.25" customHeight="1" x14ac:dyDescent="0.25">
      <c r="A1234" s="9" t="s">
        <v>2217</v>
      </c>
      <c r="B1234" s="10">
        <v>45958</v>
      </c>
      <c r="C1234" s="9" t="s">
        <v>28</v>
      </c>
      <c r="D1234" s="9" t="s">
        <v>42</v>
      </c>
      <c r="E1234" s="11" t="s">
        <v>37</v>
      </c>
      <c r="F1234" s="11" t="s">
        <v>55</v>
      </c>
      <c r="G1234" s="3">
        <v>260.02</v>
      </c>
      <c r="H1234" s="3">
        <v>158.9</v>
      </c>
      <c r="I1234" s="12">
        <v>3</v>
      </c>
      <c r="J1234" s="9" t="s">
        <v>533</v>
      </c>
      <c r="K1234" s="9" t="s">
        <v>49</v>
      </c>
      <c r="L1234" s="13">
        <v>0</v>
      </c>
      <c r="M1234" s="9" t="s">
        <v>34</v>
      </c>
    </row>
    <row r="1235" spans="1:13" ht="20.25" customHeight="1" x14ac:dyDescent="0.25">
      <c r="A1235" s="9" t="s">
        <v>2218</v>
      </c>
      <c r="B1235" s="10">
        <v>45959</v>
      </c>
      <c r="C1235" s="9" t="s">
        <v>62</v>
      </c>
      <c r="D1235" s="9" t="s">
        <v>29</v>
      </c>
      <c r="E1235" s="11" t="s">
        <v>58</v>
      </c>
      <c r="F1235" s="11" t="s">
        <v>59</v>
      </c>
      <c r="G1235" s="3">
        <v>144.46</v>
      </c>
      <c r="H1235" s="3">
        <v>86.67</v>
      </c>
      <c r="I1235" s="12">
        <v>1</v>
      </c>
      <c r="J1235" s="9" t="s">
        <v>284</v>
      </c>
      <c r="K1235" s="9" t="s">
        <v>49</v>
      </c>
      <c r="L1235" s="13">
        <v>0</v>
      </c>
      <c r="M1235" s="9" t="s">
        <v>34</v>
      </c>
    </row>
    <row r="1236" spans="1:13" ht="20.25" customHeight="1" x14ac:dyDescent="0.25">
      <c r="A1236" s="9" t="s">
        <v>2219</v>
      </c>
      <c r="B1236" s="10">
        <v>45960</v>
      </c>
      <c r="C1236" s="9" t="s">
        <v>62</v>
      </c>
      <c r="D1236" s="9" t="s">
        <v>29</v>
      </c>
      <c r="E1236" s="11" t="s">
        <v>30</v>
      </c>
      <c r="F1236" s="11" t="s">
        <v>31</v>
      </c>
      <c r="G1236" s="3">
        <v>625.98</v>
      </c>
      <c r="H1236" s="3">
        <v>433.37</v>
      </c>
      <c r="I1236" s="12">
        <v>1</v>
      </c>
      <c r="J1236" s="9" t="s">
        <v>2220</v>
      </c>
      <c r="K1236" s="9" t="s">
        <v>49</v>
      </c>
      <c r="L1236" s="13">
        <v>0</v>
      </c>
      <c r="M1236" s="9" t="s">
        <v>34</v>
      </c>
    </row>
    <row r="1237" spans="1:13" ht="20.25" customHeight="1" x14ac:dyDescent="0.25">
      <c r="A1237" s="9" t="s">
        <v>2221</v>
      </c>
      <c r="B1237" s="10">
        <v>45960</v>
      </c>
      <c r="C1237" s="9" t="s">
        <v>71</v>
      </c>
      <c r="D1237" s="9" t="s">
        <v>29</v>
      </c>
      <c r="E1237" s="11" t="s">
        <v>58</v>
      </c>
      <c r="F1237" s="11" t="s">
        <v>59</v>
      </c>
      <c r="G1237" s="3">
        <v>144.46</v>
      </c>
      <c r="H1237" s="3">
        <v>86.67</v>
      </c>
      <c r="I1237" s="12">
        <v>1</v>
      </c>
      <c r="J1237" s="9" t="s">
        <v>1009</v>
      </c>
      <c r="K1237" s="9" t="s">
        <v>49</v>
      </c>
      <c r="L1237" s="13">
        <v>0</v>
      </c>
      <c r="M1237" s="9" t="s">
        <v>34</v>
      </c>
    </row>
    <row r="1238" spans="1:13" ht="20.25" customHeight="1" x14ac:dyDescent="0.25">
      <c r="A1238" s="9" t="s">
        <v>2222</v>
      </c>
      <c r="B1238" s="10">
        <v>45960</v>
      </c>
      <c r="C1238" s="9" t="s">
        <v>28</v>
      </c>
      <c r="D1238" s="9" t="s">
        <v>51</v>
      </c>
      <c r="E1238" s="11" t="s">
        <v>30</v>
      </c>
      <c r="F1238" s="11" t="s">
        <v>63</v>
      </c>
      <c r="G1238" s="3">
        <v>2311.3000000000002</v>
      </c>
      <c r="H1238" s="3">
        <v>1637.17</v>
      </c>
      <c r="I1238" s="12">
        <v>2</v>
      </c>
      <c r="J1238" s="9" t="s">
        <v>2039</v>
      </c>
      <c r="K1238" s="9" t="s">
        <v>33</v>
      </c>
      <c r="L1238" s="13">
        <v>1</v>
      </c>
      <c r="M1238" s="9" t="s">
        <v>34</v>
      </c>
    </row>
    <row r="1239" spans="1:13" ht="20.25" customHeight="1" x14ac:dyDescent="0.25">
      <c r="A1239" s="9" t="s">
        <v>2223</v>
      </c>
      <c r="B1239" s="10">
        <v>45960</v>
      </c>
      <c r="C1239" s="9" t="s">
        <v>36</v>
      </c>
      <c r="D1239" s="9" t="s">
        <v>42</v>
      </c>
      <c r="E1239" s="11" t="s">
        <v>43</v>
      </c>
      <c r="F1239" s="11" t="s">
        <v>44</v>
      </c>
      <c r="G1239" s="3">
        <v>43.34</v>
      </c>
      <c r="H1239" s="3">
        <v>19.260000000000002</v>
      </c>
      <c r="I1239" s="12">
        <v>1</v>
      </c>
      <c r="J1239" s="9" t="s">
        <v>2224</v>
      </c>
      <c r="K1239" s="9" t="s">
        <v>49</v>
      </c>
      <c r="L1239" s="13">
        <v>0</v>
      </c>
      <c r="M1239" s="9" t="s">
        <v>34</v>
      </c>
    </row>
    <row r="1240" spans="1:13" ht="20.25" customHeight="1" x14ac:dyDescent="0.25">
      <c r="A1240" s="9" t="s">
        <v>2225</v>
      </c>
      <c r="B1240" s="10">
        <v>45961</v>
      </c>
      <c r="C1240" s="9" t="s">
        <v>41</v>
      </c>
      <c r="D1240" s="9" t="s">
        <v>29</v>
      </c>
      <c r="E1240" s="11" t="s">
        <v>58</v>
      </c>
      <c r="F1240" s="11" t="s">
        <v>87</v>
      </c>
      <c r="G1240" s="3">
        <v>173.35</v>
      </c>
      <c r="H1240" s="3">
        <v>105.93</v>
      </c>
      <c r="I1240" s="12">
        <v>1</v>
      </c>
      <c r="J1240" s="9" t="s">
        <v>657</v>
      </c>
      <c r="K1240" s="9" t="s">
        <v>49</v>
      </c>
      <c r="L1240" s="13">
        <v>0</v>
      </c>
      <c r="M1240" s="9" t="s">
        <v>34</v>
      </c>
    </row>
    <row r="1241" spans="1:13" ht="20.25" customHeight="1" x14ac:dyDescent="0.25">
      <c r="A1241" s="9" t="s">
        <v>2226</v>
      </c>
      <c r="B1241" s="10">
        <v>45961</v>
      </c>
      <c r="C1241" s="9" t="s">
        <v>36</v>
      </c>
      <c r="D1241" s="9" t="s">
        <v>29</v>
      </c>
      <c r="E1241" s="11" t="s">
        <v>30</v>
      </c>
      <c r="F1241" s="11" t="s">
        <v>80</v>
      </c>
      <c r="G1241" s="3">
        <v>2455.7600000000002</v>
      </c>
      <c r="H1241" s="3">
        <v>1733.48</v>
      </c>
      <c r="I1241" s="12">
        <v>3</v>
      </c>
      <c r="J1241" s="9" t="s">
        <v>2227</v>
      </c>
      <c r="K1241" s="9" t="s">
        <v>33</v>
      </c>
      <c r="L1241" s="13">
        <v>1</v>
      </c>
      <c r="M1241" s="9" t="s">
        <v>34</v>
      </c>
    </row>
    <row r="1242" spans="1:13" ht="20.25" customHeight="1" x14ac:dyDescent="0.25">
      <c r="A1242" s="9" t="s">
        <v>2228</v>
      </c>
      <c r="B1242" s="10">
        <v>45961</v>
      </c>
      <c r="C1242" s="9" t="s">
        <v>28</v>
      </c>
      <c r="D1242" s="9" t="s">
        <v>42</v>
      </c>
      <c r="E1242" s="11" t="s">
        <v>58</v>
      </c>
      <c r="F1242" s="11" t="s">
        <v>87</v>
      </c>
      <c r="G1242" s="3">
        <v>173.35</v>
      </c>
      <c r="H1242" s="3">
        <v>105.93</v>
      </c>
      <c r="I1242" s="12">
        <v>1</v>
      </c>
      <c r="J1242" s="9" t="s">
        <v>2229</v>
      </c>
      <c r="K1242" s="9" t="s">
        <v>49</v>
      </c>
      <c r="L1242" s="13">
        <v>0</v>
      </c>
      <c r="M1242" s="9" t="s">
        <v>34</v>
      </c>
    </row>
    <row r="1243" spans="1:13" ht="20.25" customHeight="1" x14ac:dyDescent="0.25">
      <c r="A1243" s="9" t="s">
        <v>2230</v>
      </c>
      <c r="B1243" s="10">
        <v>45961</v>
      </c>
      <c r="C1243" s="9" t="s">
        <v>71</v>
      </c>
      <c r="D1243" s="9" t="s">
        <v>42</v>
      </c>
      <c r="E1243" s="11" t="s">
        <v>58</v>
      </c>
      <c r="F1243" s="11" t="s">
        <v>87</v>
      </c>
      <c r="G1243" s="3">
        <v>346.7</v>
      </c>
      <c r="H1243" s="3">
        <v>211.87</v>
      </c>
      <c r="I1243" s="12">
        <v>2</v>
      </c>
      <c r="J1243" s="9" t="s">
        <v>127</v>
      </c>
      <c r="K1243" s="9" t="s">
        <v>49</v>
      </c>
      <c r="L1243" s="13">
        <v>0</v>
      </c>
      <c r="M1243" s="9" t="s">
        <v>34</v>
      </c>
    </row>
    <row r="1244" spans="1:13" ht="20.25" customHeight="1" x14ac:dyDescent="0.25">
      <c r="A1244" s="9" t="s">
        <v>2231</v>
      </c>
      <c r="B1244" s="10">
        <v>45962</v>
      </c>
      <c r="C1244" s="9" t="s">
        <v>54</v>
      </c>
      <c r="D1244" s="9" t="s">
        <v>29</v>
      </c>
      <c r="E1244" s="11" t="s">
        <v>37</v>
      </c>
      <c r="F1244" s="11" t="s">
        <v>55</v>
      </c>
      <c r="G1244" s="3">
        <v>-173.35</v>
      </c>
      <c r="H1244" s="3">
        <v>-105.93</v>
      </c>
      <c r="I1244" s="12">
        <v>-2</v>
      </c>
      <c r="J1244" s="9" t="s">
        <v>898</v>
      </c>
      <c r="K1244" s="9" t="s">
        <v>49</v>
      </c>
      <c r="L1244" s="13">
        <v>0</v>
      </c>
      <c r="M1244" s="9" t="s">
        <v>76</v>
      </c>
    </row>
    <row r="1245" spans="1:13" ht="20.25" customHeight="1" x14ac:dyDescent="0.25">
      <c r="A1245" s="9" t="s">
        <v>2232</v>
      </c>
      <c r="B1245" s="10">
        <v>45962</v>
      </c>
      <c r="C1245" s="9" t="s">
        <v>41</v>
      </c>
      <c r="D1245" s="9" t="s">
        <v>51</v>
      </c>
      <c r="E1245" s="11" t="s">
        <v>43</v>
      </c>
      <c r="F1245" s="11" t="s">
        <v>90</v>
      </c>
      <c r="G1245" s="3">
        <v>144.46</v>
      </c>
      <c r="H1245" s="3">
        <v>86.67</v>
      </c>
      <c r="I1245" s="12">
        <v>1</v>
      </c>
      <c r="J1245" s="9" t="s">
        <v>1519</v>
      </c>
      <c r="K1245" s="9" t="s">
        <v>33</v>
      </c>
      <c r="L1245" s="13">
        <v>1</v>
      </c>
      <c r="M1245" s="9" t="s">
        <v>34</v>
      </c>
    </row>
    <row r="1246" spans="1:13" ht="20.25" customHeight="1" x14ac:dyDescent="0.25">
      <c r="A1246" s="9" t="s">
        <v>2233</v>
      </c>
      <c r="B1246" s="10">
        <v>45964</v>
      </c>
      <c r="C1246" s="9" t="s">
        <v>28</v>
      </c>
      <c r="D1246" s="9" t="s">
        <v>29</v>
      </c>
      <c r="E1246" s="11" t="s">
        <v>58</v>
      </c>
      <c r="F1246" s="11" t="s">
        <v>68</v>
      </c>
      <c r="G1246" s="3">
        <v>1011.19</v>
      </c>
      <c r="H1246" s="3">
        <v>635.61</v>
      </c>
      <c r="I1246" s="12">
        <v>3</v>
      </c>
      <c r="J1246" s="9" t="s">
        <v>260</v>
      </c>
      <c r="K1246" s="9" t="s">
        <v>49</v>
      </c>
      <c r="L1246" s="13">
        <v>0</v>
      </c>
      <c r="M1246" s="9" t="s">
        <v>34</v>
      </c>
    </row>
    <row r="1247" spans="1:13" ht="20.25" customHeight="1" x14ac:dyDescent="0.25">
      <c r="A1247" s="9" t="s">
        <v>2234</v>
      </c>
      <c r="B1247" s="10">
        <v>45964</v>
      </c>
      <c r="C1247" s="9" t="s">
        <v>41</v>
      </c>
      <c r="D1247" s="9" t="s">
        <v>29</v>
      </c>
      <c r="E1247" s="11" t="s">
        <v>43</v>
      </c>
      <c r="F1247" s="11" t="s">
        <v>44</v>
      </c>
      <c r="G1247" s="3">
        <v>86.67</v>
      </c>
      <c r="H1247" s="3">
        <v>38.520000000000003</v>
      </c>
      <c r="I1247" s="12">
        <v>2</v>
      </c>
      <c r="J1247" s="9" t="s">
        <v>351</v>
      </c>
      <c r="K1247" s="9" t="s">
        <v>49</v>
      </c>
      <c r="L1247" s="13">
        <v>0</v>
      </c>
      <c r="M1247" s="9" t="s">
        <v>34</v>
      </c>
    </row>
    <row r="1248" spans="1:13" ht="20.25" customHeight="1" x14ac:dyDescent="0.25">
      <c r="A1248" s="9" t="s">
        <v>2235</v>
      </c>
      <c r="B1248" s="10">
        <v>45965</v>
      </c>
      <c r="C1248" s="9" t="s">
        <v>28</v>
      </c>
      <c r="D1248" s="9" t="s">
        <v>42</v>
      </c>
      <c r="E1248" s="11" t="s">
        <v>37</v>
      </c>
      <c r="F1248" s="11" t="s">
        <v>55</v>
      </c>
      <c r="G1248" s="3">
        <v>86.67</v>
      </c>
      <c r="H1248" s="3">
        <v>52.97</v>
      </c>
      <c r="I1248" s="12">
        <v>1</v>
      </c>
      <c r="J1248" s="9" t="s">
        <v>2236</v>
      </c>
      <c r="K1248" s="9" t="s">
        <v>33</v>
      </c>
      <c r="L1248" s="13">
        <v>1</v>
      </c>
      <c r="M1248" s="9" t="s">
        <v>34</v>
      </c>
    </row>
    <row r="1249" spans="1:13" ht="20.25" customHeight="1" x14ac:dyDescent="0.25">
      <c r="A1249" s="9" t="s">
        <v>2237</v>
      </c>
      <c r="B1249" s="10">
        <v>45965</v>
      </c>
      <c r="C1249" s="9" t="s">
        <v>28</v>
      </c>
      <c r="D1249" s="9" t="s">
        <v>42</v>
      </c>
      <c r="E1249" s="11" t="s">
        <v>30</v>
      </c>
      <c r="F1249" s="11" t="s">
        <v>63</v>
      </c>
      <c r="G1249" s="3">
        <v>1155.6500000000001</v>
      </c>
      <c r="H1249" s="3">
        <v>818.59</v>
      </c>
      <c r="I1249" s="12">
        <v>1</v>
      </c>
      <c r="J1249" s="9" t="s">
        <v>1145</v>
      </c>
      <c r="K1249" s="9" t="s">
        <v>33</v>
      </c>
      <c r="L1249" s="13">
        <v>1</v>
      </c>
      <c r="M1249" s="9" t="s">
        <v>34</v>
      </c>
    </row>
    <row r="1250" spans="1:13" ht="20.25" customHeight="1" x14ac:dyDescent="0.25">
      <c r="A1250" s="9" t="s">
        <v>2238</v>
      </c>
      <c r="B1250" s="10">
        <v>45965</v>
      </c>
      <c r="C1250" s="9" t="s">
        <v>54</v>
      </c>
      <c r="D1250" s="9" t="s">
        <v>51</v>
      </c>
      <c r="E1250" s="11" t="s">
        <v>37</v>
      </c>
      <c r="F1250" s="11" t="s">
        <v>55</v>
      </c>
      <c r="G1250" s="3">
        <v>173.35</v>
      </c>
      <c r="H1250" s="3">
        <v>105.93</v>
      </c>
      <c r="I1250" s="12">
        <v>2</v>
      </c>
      <c r="J1250" s="9" t="s">
        <v>2239</v>
      </c>
      <c r="K1250" s="9" t="s">
        <v>49</v>
      </c>
      <c r="L1250" s="13">
        <v>0</v>
      </c>
      <c r="M1250" s="9" t="s">
        <v>34</v>
      </c>
    </row>
    <row r="1251" spans="1:13" ht="20.25" customHeight="1" x14ac:dyDescent="0.25">
      <c r="A1251" s="9" t="s">
        <v>2240</v>
      </c>
      <c r="B1251" s="10">
        <v>45965</v>
      </c>
      <c r="C1251" s="9" t="s">
        <v>28</v>
      </c>
      <c r="D1251" s="9" t="s">
        <v>29</v>
      </c>
      <c r="E1251" s="11" t="s">
        <v>58</v>
      </c>
      <c r="F1251" s="11" t="s">
        <v>59</v>
      </c>
      <c r="G1251" s="3">
        <v>144.46</v>
      </c>
      <c r="H1251" s="3">
        <v>86.67</v>
      </c>
      <c r="I1251" s="12">
        <v>1</v>
      </c>
      <c r="J1251" s="9" t="s">
        <v>1827</v>
      </c>
      <c r="K1251" s="9" t="s">
        <v>49</v>
      </c>
      <c r="L1251" s="13">
        <v>0</v>
      </c>
      <c r="M1251" s="9" t="s">
        <v>34</v>
      </c>
    </row>
    <row r="1252" spans="1:13" ht="20.25" customHeight="1" x14ac:dyDescent="0.25">
      <c r="A1252" s="9" t="s">
        <v>2241</v>
      </c>
      <c r="B1252" s="10">
        <v>45965</v>
      </c>
      <c r="C1252" s="9" t="s">
        <v>28</v>
      </c>
      <c r="D1252" s="9" t="s">
        <v>42</v>
      </c>
      <c r="E1252" s="11" t="s">
        <v>37</v>
      </c>
      <c r="F1252" s="11" t="s">
        <v>38</v>
      </c>
      <c r="G1252" s="3">
        <v>346.7</v>
      </c>
      <c r="H1252" s="3">
        <v>202.24</v>
      </c>
      <c r="I1252" s="12">
        <v>3</v>
      </c>
      <c r="J1252" s="9" t="s">
        <v>2242</v>
      </c>
      <c r="K1252" s="9" t="s">
        <v>49</v>
      </c>
      <c r="L1252" s="13">
        <v>0</v>
      </c>
      <c r="M1252" s="9" t="s">
        <v>34</v>
      </c>
    </row>
    <row r="1253" spans="1:13" ht="20.25" customHeight="1" x14ac:dyDescent="0.25">
      <c r="A1253" s="9" t="s">
        <v>2243</v>
      </c>
      <c r="B1253" s="10">
        <v>45965</v>
      </c>
      <c r="C1253" s="9" t="s">
        <v>28</v>
      </c>
      <c r="D1253" s="9" t="s">
        <v>29</v>
      </c>
      <c r="E1253" s="11" t="s">
        <v>43</v>
      </c>
      <c r="F1253" s="11" t="s">
        <v>47</v>
      </c>
      <c r="G1253" s="3">
        <v>105.93</v>
      </c>
      <c r="H1253" s="3">
        <v>62.6</v>
      </c>
      <c r="I1253" s="12">
        <v>1</v>
      </c>
      <c r="J1253" s="9" t="s">
        <v>1549</v>
      </c>
      <c r="K1253" s="9" t="s">
        <v>49</v>
      </c>
      <c r="L1253" s="13">
        <v>0</v>
      </c>
      <c r="M1253" s="9" t="s">
        <v>34</v>
      </c>
    </row>
    <row r="1254" spans="1:13" ht="20.25" customHeight="1" x14ac:dyDescent="0.25">
      <c r="A1254" s="9" t="s">
        <v>2244</v>
      </c>
      <c r="B1254" s="10">
        <v>45966</v>
      </c>
      <c r="C1254" s="9" t="s">
        <v>54</v>
      </c>
      <c r="D1254" s="9" t="s">
        <v>29</v>
      </c>
      <c r="E1254" s="11" t="s">
        <v>58</v>
      </c>
      <c r="F1254" s="11" t="s">
        <v>68</v>
      </c>
      <c r="G1254" s="3">
        <v>337.06</v>
      </c>
      <c r="H1254" s="3">
        <v>211.87</v>
      </c>
      <c r="I1254" s="12">
        <v>1</v>
      </c>
      <c r="J1254" s="9" t="s">
        <v>2058</v>
      </c>
      <c r="K1254" s="9" t="s">
        <v>33</v>
      </c>
      <c r="L1254" s="13">
        <v>1</v>
      </c>
      <c r="M1254" s="9" t="s">
        <v>34</v>
      </c>
    </row>
    <row r="1255" spans="1:13" ht="20.25" customHeight="1" x14ac:dyDescent="0.25">
      <c r="A1255" s="9" t="s">
        <v>2245</v>
      </c>
      <c r="B1255" s="10">
        <v>45966</v>
      </c>
      <c r="C1255" s="9" t="s">
        <v>41</v>
      </c>
      <c r="D1255" s="9" t="s">
        <v>51</v>
      </c>
      <c r="E1255" s="11" t="s">
        <v>43</v>
      </c>
      <c r="F1255" s="11" t="s">
        <v>90</v>
      </c>
      <c r="G1255" s="3">
        <v>144.46</v>
      </c>
      <c r="H1255" s="3">
        <v>86.67</v>
      </c>
      <c r="I1255" s="12">
        <v>1</v>
      </c>
      <c r="J1255" s="9" t="s">
        <v>2246</v>
      </c>
      <c r="K1255" s="9" t="s">
        <v>49</v>
      </c>
      <c r="L1255" s="13">
        <v>0</v>
      </c>
      <c r="M1255" s="9" t="s">
        <v>34</v>
      </c>
    </row>
    <row r="1256" spans="1:13" ht="20.25" customHeight="1" x14ac:dyDescent="0.25">
      <c r="A1256" s="9" t="s">
        <v>2247</v>
      </c>
      <c r="B1256" s="10">
        <v>45966</v>
      </c>
      <c r="C1256" s="9" t="s">
        <v>71</v>
      </c>
      <c r="D1256" s="9" t="s">
        <v>29</v>
      </c>
      <c r="E1256" s="11" t="s">
        <v>43</v>
      </c>
      <c r="F1256" s="11" t="s">
        <v>44</v>
      </c>
      <c r="G1256" s="3">
        <v>43.34</v>
      </c>
      <c r="H1256" s="3">
        <v>19.260000000000002</v>
      </c>
      <c r="I1256" s="12">
        <v>1</v>
      </c>
      <c r="J1256" s="9" t="s">
        <v>527</v>
      </c>
      <c r="K1256" s="9" t="s">
        <v>49</v>
      </c>
      <c r="L1256" s="13">
        <v>0</v>
      </c>
      <c r="M1256" s="9" t="s">
        <v>34</v>
      </c>
    </row>
    <row r="1257" spans="1:13" ht="20.25" customHeight="1" x14ac:dyDescent="0.25">
      <c r="A1257" s="9" t="s">
        <v>2248</v>
      </c>
      <c r="B1257" s="10">
        <v>45967</v>
      </c>
      <c r="C1257" s="9" t="s">
        <v>41</v>
      </c>
      <c r="D1257" s="9" t="s">
        <v>51</v>
      </c>
      <c r="E1257" s="11" t="s">
        <v>58</v>
      </c>
      <c r="F1257" s="11" t="s">
        <v>59</v>
      </c>
      <c r="G1257" s="3">
        <v>144.46</v>
      </c>
      <c r="H1257" s="3">
        <v>86.67</v>
      </c>
      <c r="I1257" s="12">
        <v>1</v>
      </c>
      <c r="J1257" s="9" t="s">
        <v>2249</v>
      </c>
      <c r="K1257" s="9" t="s">
        <v>49</v>
      </c>
      <c r="L1257" s="13">
        <v>0</v>
      </c>
      <c r="M1257" s="9" t="s">
        <v>34</v>
      </c>
    </row>
    <row r="1258" spans="1:13" ht="20.25" customHeight="1" x14ac:dyDescent="0.25">
      <c r="A1258" s="9" t="s">
        <v>2250</v>
      </c>
      <c r="B1258" s="10">
        <v>45967</v>
      </c>
      <c r="C1258" s="9" t="s">
        <v>28</v>
      </c>
      <c r="D1258" s="9" t="s">
        <v>51</v>
      </c>
      <c r="E1258" s="11" t="s">
        <v>37</v>
      </c>
      <c r="F1258" s="11" t="s">
        <v>55</v>
      </c>
      <c r="G1258" s="3">
        <v>260.02</v>
      </c>
      <c r="H1258" s="3">
        <v>158.9</v>
      </c>
      <c r="I1258" s="12">
        <v>3</v>
      </c>
      <c r="J1258" s="9" t="s">
        <v>1155</v>
      </c>
      <c r="K1258" s="9" t="s">
        <v>49</v>
      </c>
      <c r="L1258" s="13">
        <v>0</v>
      </c>
      <c r="M1258" s="9" t="s">
        <v>34</v>
      </c>
    </row>
    <row r="1259" spans="1:13" ht="20.25" customHeight="1" x14ac:dyDescent="0.25">
      <c r="A1259" s="9" t="s">
        <v>2251</v>
      </c>
      <c r="B1259" s="10">
        <v>45967</v>
      </c>
      <c r="C1259" s="9" t="s">
        <v>36</v>
      </c>
      <c r="D1259" s="9" t="s">
        <v>29</v>
      </c>
      <c r="E1259" s="11" t="s">
        <v>58</v>
      </c>
      <c r="F1259" s="11" t="s">
        <v>59</v>
      </c>
      <c r="G1259" s="3">
        <v>288.91000000000003</v>
      </c>
      <c r="H1259" s="3">
        <v>173.35</v>
      </c>
      <c r="I1259" s="12">
        <v>2</v>
      </c>
      <c r="J1259" s="9" t="s">
        <v>1740</v>
      </c>
      <c r="K1259" s="9" t="s">
        <v>49</v>
      </c>
      <c r="L1259" s="13">
        <v>0</v>
      </c>
      <c r="M1259" s="9" t="s">
        <v>34</v>
      </c>
    </row>
    <row r="1260" spans="1:13" ht="20.25" customHeight="1" x14ac:dyDescent="0.25">
      <c r="A1260" s="9" t="s">
        <v>2252</v>
      </c>
      <c r="B1260" s="10">
        <v>45967</v>
      </c>
      <c r="C1260" s="9" t="s">
        <v>36</v>
      </c>
      <c r="D1260" s="9" t="s">
        <v>29</v>
      </c>
      <c r="E1260" s="11" t="s">
        <v>43</v>
      </c>
      <c r="F1260" s="11" t="s">
        <v>47</v>
      </c>
      <c r="G1260" s="3">
        <v>211.87</v>
      </c>
      <c r="H1260" s="3">
        <v>125.2</v>
      </c>
      <c r="I1260" s="12">
        <v>2</v>
      </c>
      <c r="J1260" s="9" t="s">
        <v>2253</v>
      </c>
      <c r="K1260" s="9" t="s">
        <v>49</v>
      </c>
      <c r="L1260" s="13">
        <v>0</v>
      </c>
      <c r="M1260" s="9" t="s">
        <v>34</v>
      </c>
    </row>
    <row r="1261" spans="1:13" ht="20.25" customHeight="1" x14ac:dyDescent="0.25">
      <c r="A1261" s="9" t="s">
        <v>2254</v>
      </c>
      <c r="B1261" s="10">
        <v>45968</v>
      </c>
      <c r="C1261" s="9" t="s">
        <v>28</v>
      </c>
      <c r="D1261" s="9" t="s">
        <v>29</v>
      </c>
      <c r="E1261" s="11" t="s">
        <v>37</v>
      </c>
      <c r="F1261" s="11" t="s">
        <v>38</v>
      </c>
      <c r="G1261" s="3">
        <v>231.13</v>
      </c>
      <c r="H1261" s="3">
        <v>134.83000000000001</v>
      </c>
      <c r="I1261" s="12">
        <v>2</v>
      </c>
      <c r="J1261" s="9" t="s">
        <v>543</v>
      </c>
      <c r="K1261" s="9" t="s">
        <v>49</v>
      </c>
      <c r="L1261" s="13">
        <v>0</v>
      </c>
      <c r="M1261" s="9" t="s">
        <v>34</v>
      </c>
    </row>
    <row r="1262" spans="1:13" ht="20.25" customHeight="1" x14ac:dyDescent="0.25">
      <c r="A1262" s="9" t="s">
        <v>2255</v>
      </c>
      <c r="B1262" s="10">
        <v>45968</v>
      </c>
      <c r="C1262" s="9" t="s">
        <v>36</v>
      </c>
      <c r="D1262" s="9" t="s">
        <v>29</v>
      </c>
      <c r="E1262" s="11" t="s">
        <v>30</v>
      </c>
      <c r="F1262" s="11" t="s">
        <v>63</v>
      </c>
      <c r="G1262" s="3">
        <v>2311.3000000000002</v>
      </c>
      <c r="H1262" s="3">
        <v>1637.17</v>
      </c>
      <c r="I1262" s="12">
        <v>2</v>
      </c>
      <c r="J1262" s="9" t="s">
        <v>427</v>
      </c>
      <c r="K1262" s="9" t="s">
        <v>33</v>
      </c>
      <c r="L1262" s="13">
        <v>1</v>
      </c>
      <c r="M1262" s="9" t="s">
        <v>34</v>
      </c>
    </row>
    <row r="1263" spans="1:13" ht="20.25" customHeight="1" x14ac:dyDescent="0.25">
      <c r="A1263" s="9" t="s">
        <v>2256</v>
      </c>
      <c r="B1263" s="10">
        <v>45968</v>
      </c>
      <c r="C1263" s="9" t="s">
        <v>62</v>
      </c>
      <c r="D1263" s="9" t="s">
        <v>51</v>
      </c>
      <c r="E1263" s="11" t="s">
        <v>58</v>
      </c>
      <c r="F1263" s="11" t="s">
        <v>87</v>
      </c>
      <c r="G1263" s="3">
        <v>173.35</v>
      </c>
      <c r="H1263" s="3">
        <v>105.93</v>
      </c>
      <c r="I1263" s="12">
        <v>1</v>
      </c>
      <c r="J1263" s="9" t="s">
        <v>2257</v>
      </c>
      <c r="K1263" s="9" t="s">
        <v>49</v>
      </c>
      <c r="L1263" s="13">
        <v>0</v>
      </c>
      <c r="M1263" s="9" t="s">
        <v>34</v>
      </c>
    </row>
    <row r="1264" spans="1:13" ht="20.25" customHeight="1" x14ac:dyDescent="0.25">
      <c r="A1264" s="9" t="s">
        <v>2258</v>
      </c>
      <c r="B1264" s="10">
        <v>45968</v>
      </c>
      <c r="C1264" s="9" t="s">
        <v>28</v>
      </c>
      <c r="D1264" s="9" t="s">
        <v>42</v>
      </c>
      <c r="E1264" s="11" t="s">
        <v>37</v>
      </c>
      <c r="F1264" s="11" t="s">
        <v>55</v>
      </c>
      <c r="G1264" s="3">
        <v>260.02</v>
      </c>
      <c r="H1264" s="3">
        <v>158.9</v>
      </c>
      <c r="I1264" s="12">
        <v>3</v>
      </c>
      <c r="J1264" s="9" t="s">
        <v>107</v>
      </c>
      <c r="K1264" s="9" t="s">
        <v>49</v>
      </c>
      <c r="L1264" s="13">
        <v>0</v>
      </c>
      <c r="M1264" s="9" t="s">
        <v>34</v>
      </c>
    </row>
    <row r="1265" spans="1:13" ht="20.25" customHeight="1" x14ac:dyDescent="0.25">
      <c r="A1265" s="9" t="s">
        <v>2259</v>
      </c>
      <c r="B1265" s="10">
        <v>45970</v>
      </c>
      <c r="C1265" s="9" t="s">
        <v>28</v>
      </c>
      <c r="D1265" s="9" t="s">
        <v>29</v>
      </c>
      <c r="E1265" s="11" t="s">
        <v>30</v>
      </c>
      <c r="F1265" s="11" t="s">
        <v>63</v>
      </c>
      <c r="G1265" s="3">
        <v>1155.6500000000001</v>
      </c>
      <c r="H1265" s="3">
        <v>818.59</v>
      </c>
      <c r="I1265" s="12">
        <v>1</v>
      </c>
      <c r="J1265" s="9" t="s">
        <v>2260</v>
      </c>
      <c r="K1265" s="9" t="s">
        <v>33</v>
      </c>
      <c r="L1265" s="13">
        <v>1</v>
      </c>
      <c r="M1265" s="9" t="s">
        <v>34</v>
      </c>
    </row>
    <row r="1266" spans="1:13" ht="20.25" customHeight="1" x14ac:dyDescent="0.25">
      <c r="A1266" s="9" t="s">
        <v>2261</v>
      </c>
      <c r="B1266" s="10">
        <v>45970</v>
      </c>
      <c r="C1266" s="9" t="s">
        <v>28</v>
      </c>
      <c r="D1266" s="9" t="s">
        <v>29</v>
      </c>
      <c r="E1266" s="11" t="s">
        <v>30</v>
      </c>
      <c r="F1266" s="11" t="s">
        <v>80</v>
      </c>
      <c r="G1266" s="3">
        <v>2455.7600000000002</v>
      </c>
      <c r="H1266" s="3">
        <v>1733.48</v>
      </c>
      <c r="I1266" s="12">
        <v>3</v>
      </c>
      <c r="J1266" s="9" t="s">
        <v>2262</v>
      </c>
      <c r="K1266" s="9" t="s">
        <v>49</v>
      </c>
      <c r="L1266" s="13">
        <v>0</v>
      </c>
      <c r="M1266" s="9" t="s">
        <v>34</v>
      </c>
    </row>
    <row r="1267" spans="1:13" ht="20.25" customHeight="1" x14ac:dyDescent="0.25">
      <c r="A1267" s="9" t="s">
        <v>2263</v>
      </c>
      <c r="B1267" s="10">
        <v>45971</v>
      </c>
      <c r="C1267" s="9" t="s">
        <v>28</v>
      </c>
      <c r="D1267" s="9" t="s">
        <v>51</v>
      </c>
      <c r="E1267" s="11" t="s">
        <v>58</v>
      </c>
      <c r="F1267" s="11" t="s">
        <v>87</v>
      </c>
      <c r="G1267" s="3">
        <v>346.7</v>
      </c>
      <c r="H1267" s="3">
        <v>211.87</v>
      </c>
      <c r="I1267" s="12">
        <v>2</v>
      </c>
      <c r="J1267" s="9" t="s">
        <v>2264</v>
      </c>
      <c r="K1267" s="9" t="s">
        <v>49</v>
      </c>
      <c r="L1267" s="13">
        <v>0</v>
      </c>
      <c r="M1267" s="9" t="s">
        <v>34</v>
      </c>
    </row>
    <row r="1268" spans="1:13" ht="20.25" customHeight="1" x14ac:dyDescent="0.25">
      <c r="A1268" s="9" t="s">
        <v>2265</v>
      </c>
      <c r="B1268" s="10">
        <v>45971</v>
      </c>
      <c r="C1268" s="9" t="s">
        <v>62</v>
      </c>
      <c r="D1268" s="9" t="s">
        <v>42</v>
      </c>
      <c r="E1268" s="11" t="s">
        <v>58</v>
      </c>
      <c r="F1268" s="11" t="s">
        <v>68</v>
      </c>
      <c r="G1268" s="3">
        <v>337.06</v>
      </c>
      <c r="H1268" s="3">
        <v>211.87</v>
      </c>
      <c r="I1268" s="12">
        <v>1</v>
      </c>
      <c r="J1268" s="9" t="s">
        <v>2096</v>
      </c>
      <c r="K1268" s="9" t="s">
        <v>49</v>
      </c>
      <c r="L1268" s="13">
        <v>0</v>
      </c>
      <c r="M1268" s="9" t="s">
        <v>34</v>
      </c>
    </row>
    <row r="1269" spans="1:13" ht="20.25" customHeight="1" x14ac:dyDescent="0.25">
      <c r="A1269" s="9" t="s">
        <v>2266</v>
      </c>
      <c r="B1269" s="10">
        <v>45971</v>
      </c>
      <c r="C1269" s="9" t="s">
        <v>36</v>
      </c>
      <c r="D1269" s="9" t="s">
        <v>29</v>
      </c>
      <c r="E1269" s="11" t="s">
        <v>58</v>
      </c>
      <c r="F1269" s="11" t="s">
        <v>87</v>
      </c>
      <c r="G1269" s="3">
        <v>173.35</v>
      </c>
      <c r="H1269" s="3">
        <v>105.93</v>
      </c>
      <c r="I1269" s="12">
        <v>1</v>
      </c>
      <c r="J1269" s="9" t="s">
        <v>2267</v>
      </c>
      <c r="K1269" s="9" t="s">
        <v>33</v>
      </c>
      <c r="L1269" s="13">
        <v>1</v>
      </c>
      <c r="M1269" s="9" t="s">
        <v>34</v>
      </c>
    </row>
    <row r="1270" spans="1:13" ht="20.25" customHeight="1" x14ac:dyDescent="0.25">
      <c r="A1270" s="9" t="s">
        <v>2268</v>
      </c>
      <c r="B1270" s="10">
        <v>45971</v>
      </c>
      <c r="C1270" s="9" t="s">
        <v>36</v>
      </c>
      <c r="D1270" s="9" t="s">
        <v>29</v>
      </c>
      <c r="E1270" s="11" t="s">
        <v>30</v>
      </c>
      <c r="F1270" s="11" t="s">
        <v>63</v>
      </c>
      <c r="G1270" s="3">
        <v>-1155.6500000000001</v>
      </c>
      <c r="H1270" s="3">
        <v>-818.59</v>
      </c>
      <c r="I1270" s="12">
        <v>-1</v>
      </c>
      <c r="J1270" s="9" t="s">
        <v>604</v>
      </c>
      <c r="K1270" s="9" t="s">
        <v>49</v>
      </c>
      <c r="L1270" s="13">
        <v>0</v>
      </c>
      <c r="M1270" s="9" t="s">
        <v>76</v>
      </c>
    </row>
    <row r="1271" spans="1:13" ht="20.25" customHeight="1" x14ac:dyDescent="0.25">
      <c r="A1271" s="9" t="s">
        <v>2269</v>
      </c>
      <c r="B1271" s="10">
        <v>45972</v>
      </c>
      <c r="C1271" s="9" t="s">
        <v>41</v>
      </c>
      <c r="D1271" s="9" t="s">
        <v>51</v>
      </c>
      <c r="E1271" s="11" t="s">
        <v>30</v>
      </c>
      <c r="F1271" s="11" t="s">
        <v>63</v>
      </c>
      <c r="G1271" s="3">
        <v>1155.6500000000001</v>
      </c>
      <c r="H1271" s="3">
        <v>818.59</v>
      </c>
      <c r="I1271" s="12">
        <v>1</v>
      </c>
      <c r="J1271" s="9" t="s">
        <v>1155</v>
      </c>
      <c r="K1271" s="9" t="s">
        <v>33</v>
      </c>
      <c r="L1271" s="13">
        <v>1</v>
      </c>
      <c r="M1271" s="9" t="s">
        <v>34</v>
      </c>
    </row>
    <row r="1272" spans="1:13" ht="20.25" customHeight="1" x14ac:dyDescent="0.25">
      <c r="A1272" s="9" t="s">
        <v>2270</v>
      </c>
      <c r="B1272" s="10">
        <v>45972</v>
      </c>
      <c r="C1272" s="9" t="s">
        <v>28</v>
      </c>
      <c r="D1272" s="9" t="s">
        <v>29</v>
      </c>
      <c r="E1272" s="11" t="s">
        <v>37</v>
      </c>
      <c r="F1272" s="11" t="s">
        <v>38</v>
      </c>
      <c r="G1272" s="3">
        <v>115.57</v>
      </c>
      <c r="H1272" s="3">
        <v>67.41</v>
      </c>
      <c r="I1272" s="12">
        <v>1</v>
      </c>
      <c r="J1272" s="9" t="s">
        <v>2271</v>
      </c>
      <c r="K1272" s="9" t="s">
        <v>49</v>
      </c>
      <c r="L1272" s="13">
        <v>0</v>
      </c>
      <c r="M1272" s="9" t="s">
        <v>34</v>
      </c>
    </row>
    <row r="1273" spans="1:13" ht="20.25" customHeight="1" x14ac:dyDescent="0.25">
      <c r="A1273" s="9" t="s">
        <v>2272</v>
      </c>
      <c r="B1273" s="10">
        <v>45973</v>
      </c>
      <c r="C1273" s="9" t="s">
        <v>36</v>
      </c>
      <c r="D1273" s="9" t="s">
        <v>29</v>
      </c>
      <c r="E1273" s="11" t="s">
        <v>58</v>
      </c>
      <c r="F1273" s="11" t="s">
        <v>68</v>
      </c>
      <c r="G1273" s="3">
        <v>337.06</v>
      </c>
      <c r="H1273" s="3">
        <v>211.87</v>
      </c>
      <c r="I1273" s="12">
        <v>1</v>
      </c>
      <c r="J1273" s="9" t="s">
        <v>2273</v>
      </c>
      <c r="K1273" s="9" t="s">
        <v>49</v>
      </c>
      <c r="L1273" s="13">
        <v>0</v>
      </c>
      <c r="M1273" s="9" t="s">
        <v>34</v>
      </c>
    </row>
    <row r="1274" spans="1:13" ht="20.25" customHeight="1" x14ac:dyDescent="0.25">
      <c r="A1274" s="9" t="s">
        <v>2274</v>
      </c>
      <c r="B1274" s="10">
        <v>45973</v>
      </c>
      <c r="C1274" s="9" t="s">
        <v>36</v>
      </c>
      <c r="D1274" s="9" t="s">
        <v>51</v>
      </c>
      <c r="E1274" s="11" t="s">
        <v>30</v>
      </c>
      <c r="F1274" s="11" t="s">
        <v>31</v>
      </c>
      <c r="G1274" s="3">
        <v>625.98</v>
      </c>
      <c r="H1274" s="3">
        <v>433.37</v>
      </c>
      <c r="I1274" s="12">
        <v>1</v>
      </c>
      <c r="J1274" s="9" t="s">
        <v>2275</v>
      </c>
      <c r="K1274" s="9" t="s">
        <v>49</v>
      </c>
      <c r="L1274" s="13">
        <v>0</v>
      </c>
      <c r="M1274" s="9" t="s">
        <v>34</v>
      </c>
    </row>
    <row r="1275" spans="1:13" ht="20.25" customHeight="1" x14ac:dyDescent="0.25">
      <c r="A1275" s="9" t="s">
        <v>2276</v>
      </c>
      <c r="B1275" s="10">
        <v>45973</v>
      </c>
      <c r="C1275" s="9" t="s">
        <v>71</v>
      </c>
      <c r="D1275" s="9" t="s">
        <v>51</v>
      </c>
      <c r="E1275" s="11" t="s">
        <v>58</v>
      </c>
      <c r="F1275" s="11" t="s">
        <v>87</v>
      </c>
      <c r="G1275" s="3">
        <v>520.04</v>
      </c>
      <c r="H1275" s="3">
        <v>317.8</v>
      </c>
      <c r="I1275" s="12">
        <v>3</v>
      </c>
      <c r="J1275" s="9" t="s">
        <v>1755</v>
      </c>
      <c r="K1275" s="9" t="s">
        <v>49</v>
      </c>
      <c r="L1275" s="13">
        <v>0</v>
      </c>
      <c r="M1275" s="9" t="s">
        <v>34</v>
      </c>
    </row>
    <row r="1276" spans="1:13" ht="20.25" customHeight="1" x14ac:dyDescent="0.25">
      <c r="A1276" s="9" t="s">
        <v>2277</v>
      </c>
      <c r="B1276" s="10">
        <v>45974</v>
      </c>
      <c r="C1276" s="9" t="s">
        <v>62</v>
      </c>
      <c r="D1276" s="9" t="s">
        <v>51</v>
      </c>
      <c r="E1276" s="11" t="s">
        <v>37</v>
      </c>
      <c r="F1276" s="11" t="s">
        <v>55</v>
      </c>
      <c r="G1276" s="3">
        <v>-173.35</v>
      </c>
      <c r="H1276" s="3">
        <v>-105.93</v>
      </c>
      <c r="I1276" s="12">
        <v>-2</v>
      </c>
      <c r="J1276" s="9" t="s">
        <v>614</v>
      </c>
      <c r="K1276" s="9" t="s">
        <v>49</v>
      </c>
      <c r="L1276" s="13">
        <v>0</v>
      </c>
      <c r="M1276" s="9" t="s">
        <v>76</v>
      </c>
    </row>
    <row r="1277" spans="1:13" ht="20.25" customHeight="1" x14ac:dyDescent="0.25">
      <c r="A1277" s="9" t="s">
        <v>2278</v>
      </c>
      <c r="B1277" s="10">
        <v>45974</v>
      </c>
      <c r="C1277" s="9" t="s">
        <v>41</v>
      </c>
      <c r="D1277" s="9" t="s">
        <v>51</v>
      </c>
      <c r="E1277" s="11" t="s">
        <v>30</v>
      </c>
      <c r="F1277" s="11" t="s">
        <v>80</v>
      </c>
      <c r="G1277" s="3">
        <v>-2455.7600000000002</v>
      </c>
      <c r="H1277" s="3">
        <v>-1733.48</v>
      </c>
      <c r="I1277" s="12">
        <v>-3</v>
      </c>
      <c r="J1277" s="9" t="s">
        <v>2279</v>
      </c>
      <c r="K1277" s="9" t="s">
        <v>49</v>
      </c>
      <c r="L1277" s="13">
        <v>0</v>
      </c>
      <c r="M1277" s="9" t="s">
        <v>76</v>
      </c>
    </row>
    <row r="1278" spans="1:13" ht="20.25" customHeight="1" x14ac:dyDescent="0.25">
      <c r="A1278" s="9" t="s">
        <v>2280</v>
      </c>
      <c r="B1278" s="10">
        <v>45975</v>
      </c>
      <c r="C1278" s="9" t="s">
        <v>36</v>
      </c>
      <c r="D1278" s="9" t="s">
        <v>51</v>
      </c>
      <c r="E1278" s="11" t="s">
        <v>30</v>
      </c>
      <c r="F1278" s="11" t="s">
        <v>31</v>
      </c>
      <c r="G1278" s="3">
        <v>1251.95</v>
      </c>
      <c r="H1278" s="3">
        <v>866.74</v>
      </c>
      <c r="I1278" s="12">
        <v>2</v>
      </c>
      <c r="J1278" s="9" t="s">
        <v>2281</v>
      </c>
      <c r="K1278" s="9" t="s">
        <v>33</v>
      </c>
      <c r="L1278" s="13">
        <v>1</v>
      </c>
      <c r="M1278" s="9" t="s">
        <v>34</v>
      </c>
    </row>
    <row r="1279" spans="1:13" ht="20.25" customHeight="1" x14ac:dyDescent="0.25">
      <c r="A1279" s="9" t="s">
        <v>2282</v>
      </c>
      <c r="B1279" s="10">
        <v>45975</v>
      </c>
      <c r="C1279" s="9" t="s">
        <v>54</v>
      </c>
      <c r="D1279" s="9" t="s">
        <v>29</v>
      </c>
      <c r="E1279" s="11" t="s">
        <v>30</v>
      </c>
      <c r="F1279" s="11" t="s">
        <v>80</v>
      </c>
      <c r="G1279" s="3">
        <v>818.59</v>
      </c>
      <c r="H1279" s="3">
        <v>577.83000000000004</v>
      </c>
      <c r="I1279" s="12">
        <v>1</v>
      </c>
      <c r="J1279" s="9" t="s">
        <v>479</v>
      </c>
      <c r="K1279" s="9" t="s">
        <v>49</v>
      </c>
      <c r="L1279" s="13">
        <v>0</v>
      </c>
      <c r="M1279" s="9" t="s">
        <v>34</v>
      </c>
    </row>
    <row r="1280" spans="1:13" ht="20.25" customHeight="1" x14ac:dyDescent="0.25">
      <c r="A1280" s="9" t="s">
        <v>2283</v>
      </c>
      <c r="B1280" s="10">
        <v>45976</v>
      </c>
      <c r="C1280" s="9" t="s">
        <v>28</v>
      </c>
      <c r="D1280" s="9" t="s">
        <v>29</v>
      </c>
      <c r="E1280" s="11" t="s">
        <v>43</v>
      </c>
      <c r="F1280" s="11" t="s">
        <v>90</v>
      </c>
      <c r="G1280" s="3">
        <v>144.46</v>
      </c>
      <c r="H1280" s="3">
        <v>86.67</v>
      </c>
      <c r="I1280" s="12">
        <v>1</v>
      </c>
      <c r="J1280" s="9" t="s">
        <v>2050</v>
      </c>
      <c r="K1280" s="9" t="s">
        <v>49</v>
      </c>
      <c r="L1280" s="13">
        <v>0</v>
      </c>
      <c r="M1280" s="9" t="s">
        <v>34</v>
      </c>
    </row>
    <row r="1281" spans="1:13" ht="20.25" customHeight="1" x14ac:dyDescent="0.25">
      <c r="A1281" s="9" t="s">
        <v>2284</v>
      </c>
      <c r="B1281" s="10">
        <v>45977</v>
      </c>
      <c r="C1281" s="9" t="s">
        <v>28</v>
      </c>
      <c r="D1281" s="9" t="s">
        <v>29</v>
      </c>
      <c r="E1281" s="11" t="s">
        <v>43</v>
      </c>
      <c r="F1281" s="11" t="s">
        <v>44</v>
      </c>
      <c r="G1281" s="3">
        <v>86.67</v>
      </c>
      <c r="H1281" s="3">
        <v>38.520000000000003</v>
      </c>
      <c r="I1281" s="12">
        <v>2</v>
      </c>
      <c r="J1281" s="9" t="s">
        <v>1858</v>
      </c>
      <c r="K1281" s="9" t="s">
        <v>49</v>
      </c>
      <c r="L1281" s="13">
        <v>0</v>
      </c>
      <c r="M1281" s="9" t="s">
        <v>34</v>
      </c>
    </row>
    <row r="1282" spans="1:13" ht="20.25" customHeight="1" x14ac:dyDescent="0.25">
      <c r="A1282" s="9" t="s">
        <v>2285</v>
      </c>
      <c r="B1282" s="10">
        <v>45977</v>
      </c>
      <c r="C1282" s="9" t="s">
        <v>28</v>
      </c>
      <c r="D1282" s="9" t="s">
        <v>29</v>
      </c>
      <c r="E1282" s="11" t="s">
        <v>43</v>
      </c>
      <c r="F1282" s="11" t="s">
        <v>90</v>
      </c>
      <c r="G1282" s="3">
        <v>577.83000000000004</v>
      </c>
      <c r="H1282" s="3">
        <v>346.7</v>
      </c>
      <c r="I1282" s="12">
        <v>4</v>
      </c>
      <c r="J1282" s="9" t="s">
        <v>2286</v>
      </c>
      <c r="K1282" s="9" t="s">
        <v>33</v>
      </c>
      <c r="L1282" s="13">
        <v>1</v>
      </c>
      <c r="M1282" s="9" t="s">
        <v>34</v>
      </c>
    </row>
    <row r="1283" spans="1:13" ht="20.25" customHeight="1" x14ac:dyDescent="0.25">
      <c r="A1283" s="9" t="s">
        <v>2287</v>
      </c>
      <c r="B1283" s="10">
        <v>45978</v>
      </c>
      <c r="C1283" s="9" t="s">
        <v>36</v>
      </c>
      <c r="D1283" s="9" t="s">
        <v>51</v>
      </c>
      <c r="E1283" s="11" t="s">
        <v>37</v>
      </c>
      <c r="F1283" s="11" t="s">
        <v>55</v>
      </c>
      <c r="G1283" s="3">
        <v>86.67</v>
      </c>
      <c r="H1283" s="3">
        <v>52.97</v>
      </c>
      <c r="I1283" s="12">
        <v>1</v>
      </c>
      <c r="J1283" s="9" t="s">
        <v>2288</v>
      </c>
      <c r="K1283" s="9" t="s">
        <v>49</v>
      </c>
      <c r="L1283" s="13">
        <v>0</v>
      </c>
      <c r="M1283" s="9" t="s">
        <v>34</v>
      </c>
    </row>
    <row r="1284" spans="1:13" ht="20.25" customHeight="1" x14ac:dyDescent="0.25">
      <c r="A1284" s="9" t="s">
        <v>2289</v>
      </c>
      <c r="B1284" s="10">
        <v>45979</v>
      </c>
      <c r="C1284" s="9" t="s">
        <v>71</v>
      </c>
      <c r="D1284" s="9" t="s">
        <v>42</v>
      </c>
      <c r="E1284" s="11" t="s">
        <v>37</v>
      </c>
      <c r="F1284" s="11" t="s">
        <v>55</v>
      </c>
      <c r="G1284" s="3">
        <v>-260.02</v>
      </c>
      <c r="H1284" s="3">
        <v>-158.9</v>
      </c>
      <c r="I1284" s="12">
        <v>-3</v>
      </c>
      <c r="J1284" s="9" t="s">
        <v>1297</v>
      </c>
      <c r="K1284" s="9" t="s">
        <v>33</v>
      </c>
      <c r="L1284" s="13">
        <v>1</v>
      </c>
      <c r="M1284" s="9" t="s">
        <v>76</v>
      </c>
    </row>
    <row r="1285" spans="1:13" ht="20.25" customHeight="1" x14ac:dyDescent="0.25">
      <c r="A1285" s="9" t="s">
        <v>2290</v>
      </c>
      <c r="B1285" s="10">
        <v>45979</v>
      </c>
      <c r="C1285" s="9" t="s">
        <v>71</v>
      </c>
      <c r="D1285" s="9" t="s">
        <v>42</v>
      </c>
      <c r="E1285" s="11" t="s">
        <v>58</v>
      </c>
      <c r="F1285" s="11" t="s">
        <v>59</v>
      </c>
      <c r="G1285" s="3">
        <v>433.37</v>
      </c>
      <c r="H1285" s="3">
        <v>260.02</v>
      </c>
      <c r="I1285" s="12">
        <v>3</v>
      </c>
      <c r="J1285" s="9" t="s">
        <v>894</v>
      </c>
      <c r="K1285" s="9" t="s">
        <v>49</v>
      </c>
      <c r="L1285" s="13">
        <v>0</v>
      </c>
      <c r="M1285" s="9" t="s">
        <v>34</v>
      </c>
    </row>
    <row r="1286" spans="1:13" ht="20.25" customHeight="1" x14ac:dyDescent="0.25">
      <c r="A1286" s="9" t="s">
        <v>2291</v>
      </c>
      <c r="B1286" s="10">
        <v>45979</v>
      </c>
      <c r="C1286" s="9" t="s">
        <v>62</v>
      </c>
      <c r="D1286" s="9" t="s">
        <v>51</v>
      </c>
      <c r="E1286" s="11" t="s">
        <v>37</v>
      </c>
      <c r="F1286" s="11" t="s">
        <v>55</v>
      </c>
      <c r="G1286" s="3">
        <v>173.35</v>
      </c>
      <c r="H1286" s="3">
        <v>105.93</v>
      </c>
      <c r="I1286" s="12">
        <v>2</v>
      </c>
      <c r="J1286" s="9" t="s">
        <v>2292</v>
      </c>
      <c r="K1286" s="9" t="s">
        <v>49</v>
      </c>
      <c r="L1286" s="13">
        <v>0</v>
      </c>
      <c r="M1286" s="9" t="s">
        <v>34</v>
      </c>
    </row>
    <row r="1287" spans="1:13" ht="20.25" customHeight="1" x14ac:dyDescent="0.25">
      <c r="A1287" s="9" t="s">
        <v>2293</v>
      </c>
      <c r="B1287" s="10">
        <v>45979</v>
      </c>
      <c r="C1287" s="9" t="s">
        <v>71</v>
      </c>
      <c r="D1287" s="9" t="s">
        <v>29</v>
      </c>
      <c r="E1287" s="11" t="s">
        <v>30</v>
      </c>
      <c r="F1287" s="11" t="s">
        <v>80</v>
      </c>
      <c r="G1287" s="3">
        <v>2455.7600000000002</v>
      </c>
      <c r="H1287" s="3">
        <v>1733.48</v>
      </c>
      <c r="I1287" s="12">
        <v>3</v>
      </c>
      <c r="J1287" s="9" t="s">
        <v>2294</v>
      </c>
      <c r="K1287" s="9" t="s">
        <v>33</v>
      </c>
      <c r="L1287" s="13">
        <v>1</v>
      </c>
      <c r="M1287" s="9" t="s">
        <v>34</v>
      </c>
    </row>
    <row r="1288" spans="1:13" ht="20.25" customHeight="1" x14ac:dyDescent="0.25">
      <c r="A1288" s="9" t="s">
        <v>2295</v>
      </c>
      <c r="B1288" s="10">
        <v>45980</v>
      </c>
      <c r="C1288" s="9" t="s">
        <v>71</v>
      </c>
      <c r="D1288" s="9" t="s">
        <v>29</v>
      </c>
      <c r="E1288" s="11" t="s">
        <v>37</v>
      </c>
      <c r="F1288" s="11" t="s">
        <v>55</v>
      </c>
      <c r="G1288" s="3">
        <v>86.67</v>
      </c>
      <c r="H1288" s="3">
        <v>52.97</v>
      </c>
      <c r="I1288" s="12">
        <v>1</v>
      </c>
      <c r="J1288" s="9" t="s">
        <v>2296</v>
      </c>
      <c r="K1288" s="9" t="s">
        <v>33</v>
      </c>
      <c r="L1288" s="13">
        <v>1</v>
      </c>
      <c r="M1288" s="9" t="s">
        <v>34</v>
      </c>
    </row>
    <row r="1289" spans="1:13" ht="20.25" customHeight="1" x14ac:dyDescent="0.25">
      <c r="A1289" s="9" t="s">
        <v>2297</v>
      </c>
      <c r="B1289" s="10">
        <v>45981</v>
      </c>
      <c r="C1289" s="9" t="s">
        <v>28</v>
      </c>
      <c r="D1289" s="9" t="s">
        <v>42</v>
      </c>
      <c r="E1289" s="11" t="s">
        <v>43</v>
      </c>
      <c r="F1289" s="11" t="s">
        <v>44</v>
      </c>
      <c r="G1289" s="3">
        <v>-173.35</v>
      </c>
      <c r="H1289" s="3">
        <v>-77.040000000000006</v>
      </c>
      <c r="I1289" s="12">
        <v>-4</v>
      </c>
      <c r="J1289" s="9" t="s">
        <v>2298</v>
      </c>
      <c r="K1289" s="9" t="s">
        <v>49</v>
      </c>
      <c r="L1289" s="13">
        <v>0</v>
      </c>
      <c r="M1289" s="9" t="s">
        <v>76</v>
      </c>
    </row>
    <row r="1290" spans="1:13" ht="20.25" customHeight="1" x14ac:dyDescent="0.25">
      <c r="A1290" s="9" t="s">
        <v>2299</v>
      </c>
      <c r="B1290" s="10">
        <v>45981</v>
      </c>
      <c r="C1290" s="9" t="s">
        <v>28</v>
      </c>
      <c r="D1290" s="9" t="s">
        <v>51</v>
      </c>
      <c r="E1290" s="11" t="s">
        <v>58</v>
      </c>
      <c r="F1290" s="11" t="s">
        <v>59</v>
      </c>
      <c r="G1290" s="3">
        <v>288.91000000000003</v>
      </c>
      <c r="H1290" s="3">
        <v>173.35</v>
      </c>
      <c r="I1290" s="12">
        <v>2</v>
      </c>
      <c r="J1290" s="9" t="s">
        <v>2300</v>
      </c>
      <c r="K1290" s="9" t="s">
        <v>49</v>
      </c>
      <c r="L1290" s="13">
        <v>0</v>
      </c>
      <c r="M1290" s="9" t="s">
        <v>34</v>
      </c>
    </row>
    <row r="1291" spans="1:13" ht="20.25" customHeight="1" x14ac:dyDescent="0.25">
      <c r="A1291" s="9" t="s">
        <v>2301</v>
      </c>
      <c r="B1291" s="10">
        <v>45981</v>
      </c>
      <c r="C1291" s="9" t="s">
        <v>71</v>
      </c>
      <c r="D1291" s="9" t="s">
        <v>51</v>
      </c>
      <c r="E1291" s="11" t="s">
        <v>58</v>
      </c>
      <c r="F1291" s="11" t="s">
        <v>87</v>
      </c>
      <c r="G1291" s="3">
        <v>173.35</v>
      </c>
      <c r="H1291" s="3">
        <v>105.93</v>
      </c>
      <c r="I1291" s="12">
        <v>1</v>
      </c>
      <c r="J1291" s="9" t="s">
        <v>2302</v>
      </c>
      <c r="K1291" s="9" t="s">
        <v>49</v>
      </c>
      <c r="L1291" s="13">
        <v>0</v>
      </c>
      <c r="M1291" s="9" t="s">
        <v>34</v>
      </c>
    </row>
    <row r="1292" spans="1:13" ht="20.25" customHeight="1" x14ac:dyDescent="0.25">
      <c r="A1292" s="9" t="s">
        <v>2303</v>
      </c>
      <c r="B1292" s="10">
        <v>45982</v>
      </c>
      <c r="C1292" s="9" t="s">
        <v>36</v>
      </c>
      <c r="D1292" s="9" t="s">
        <v>51</v>
      </c>
      <c r="E1292" s="11" t="s">
        <v>30</v>
      </c>
      <c r="F1292" s="11" t="s">
        <v>31</v>
      </c>
      <c r="G1292" s="3">
        <v>-1877.93</v>
      </c>
      <c r="H1292" s="3">
        <v>-1300.1099999999999</v>
      </c>
      <c r="I1292" s="12">
        <v>-3</v>
      </c>
      <c r="J1292" s="9" t="s">
        <v>2304</v>
      </c>
      <c r="K1292" s="9" t="s">
        <v>49</v>
      </c>
      <c r="L1292" s="13">
        <v>0</v>
      </c>
      <c r="M1292" s="9" t="s">
        <v>76</v>
      </c>
    </row>
    <row r="1293" spans="1:13" ht="20.25" customHeight="1" x14ac:dyDescent="0.25">
      <c r="A1293" s="9" t="s">
        <v>2305</v>
      </c>
      <c r="B1293" s="10">
        <v>45982</v>
      </c>
      <c r="C1293" s="9" t="s">
        <v>54</v>
      </c>
      <c r="D1293" s="9" t="s">
        <v>51</v>
      </c>
      <c r="E1293" s="11" t="s">
        <v>37</v>
      </c>
      <c r="F1293" s="11" t="s">
        <v>55</v>
      </c>
      <c r="G1293" s="3">
        <v>86.67</v>
      </c>
      <c r="H1293" s="3">
        <v>52.97</v>
      </c>
      <c r="I1293" s="12">
        <v>1</v>
      </c>
      <c r="J1293" s="9" t="s">
        <v>634</v>
      </c>
      <c r="K1293" s="9" t="s">
        <v>33</v>
      </c>
      <c r="L1293" s="13">
        <v>1</v>
      </c>
      <c r="M1293" s="9" t="s">
        <v>34</v>
      </c>
    </row>
    <row r="1294" spans="1:13" ht="20.25" customHeight="1" x14ac:dyDescent="0.25">
      <c r="A1294" s="9" t="s">
        <v>2306</v>
      </c>
      <c r="B1294" s="10">
        <v>45982</v>
      </c>
      <c r="C1294" s="9" t="s">
        <v>28</v>
      </c>
      <c r="D1294" s="9" t="s">
        <v>42</v>
      </c>
      <c r="E1294" s="11" t="s">
        <v>37</v>
      </c>
      <c r="F1294" s="11" t="s">
        <v>55</v>
      </c>
      <c r="G1294" s="3">
        <v>86.67</v>
      </c>
      <c r="H1294" s="3">
        <v>52.97</v>
      </c>
      <c r="I1294" s="12">
        <v>1</v>
      </c>
      <c r="J1294" s="9" t="s">
        <v>2307</v>
      </c>
      <c r="K1294" s="9" t="s">
        <v>49</v>
      </c>
      <c r="L1294" s="13">
        <v>0</v>
      </c>
      <c r="M1294" s="9" t="s">
        <v>34</v>
      </c>
    </row>
    <row r="1295" spans="1:13" ht="20.25" customHeight="1" x14ac:dyDescent="0.25">
      <c r="A1295" s="9" t="s">
        <v>2308</v>
      </c>
      <c r="B1295" s="10">
        <v>45983</v>
      </c>
      <c r="C1295" s="9" t="s">
        <v>28</v>
      </c>
      <c r="D1295" s="9" t="s">
        <v>29</v>
      </c>
      <c r="E1295" s="11" t="s">
        <v>43</v>
      </c>
      <c r="F1295" s="11" t="s">
        <v>90</v>
      </c>
      <c r="G1295" s="3">
        <v>144.46</v>
      </c>
      <c r="H1295" s="3">
        <v>86.67</v>
      </c>
      <c r="I1295" s="12">
        <v>1</v>
      </c>
      <c r="J1295" s="9" t="s">
        <v>1028</v>
      </c>
      <c r="K1295" s="9" t="s">
        <v>49</v>
      </c>
      <c r="L1295" s="13">
        <v>0</v>
      </c>
      <c r="M1295" s="9" t="s">
        <v>34</v>
      </c>
    </row>
    <row r="1296" spans="1:13" ht="20.25" customHeight="1" x14ac:dyDescent="0.25">
      <c r="A1296" s="9" t="s">
        <v>2309</v>
      </c>
      <c r="B1296" s="10">
        <v>45983</v>
      </c>
      <c r="C1296" s="9" t="s">
        <v>36</v>
      </c>
      <c r="D1296" s="9" t="s">
        <v>51</v>
      </c>
      <c r="E1296" s="11" t="s">
        <v>58</v>
      </c>
      <c r="F1296" s="11" t="s">
        <v>87</v>
      </c>
      <c r="G1296" s="3">
        <v>173.35</v>
      </c>
      <c r="H1296" s="3">
        <v>105.93</v>
      </c>
      <c r="I1296" s="12">
        <v>1</v>
      </c>
      <c r="J1296" s="9" t="s">
        <v>2310</v>
      </c>
      <c r="K1296" s="9" t="s">
        <v>49</v>
      </c>
      <c r="L1296" s="13">
        <v>0</v>
      </c>
      <c r="M1296" s="9" t="s">
        <v>34</v>
      </c>
    </row>
    <row r="1297" spans="1:13" ht="20.25" customHeight="1" x14ac:dyDescent="0.25">
      <c r="A1297" s="9" t="s">
        <v>2311</v>
      </c>
      <c r="B1297" s="10">
        <v>45983</v>
      </c>
      <c r="C1297" s="9" t="s">
        <v>28</v>
      </c>
      <c r="D1297" s="9" t="s">
        <v>42</v>
      </c>
      <c r="E1297" s="11" t="s">
        <v>43</v>
      </c>
      <c r="F1297" s="11" t="s">
        <v>47</v>
      </c>
      <c r="G1297" s="3">
        <v>105.93</v>
      </c>
      <c r="H1297" s="3">
        <v>62.6</v>
      </c>
      <c r="I1297" s="12">
        <v>1</v>
      </c>
      <c r="J1297" s="9" t="s">
        <v>1883</v>
      </c>
      <c r="K1297" s="9" t="s">
        <v>33</v>
      </c>
      <c r="L1297" s="13">
        <v>1</v>
      </c>
      <c r="M1297" s="9" t="s">
        <v>34</v>
      </c>
    </row>
    <row r="1298" spans="1:13" ht="20.25" customHeight="1" x14ac:dyDescent="0.25">
      <c r="A1298" s="9" t="s">
        <v>2312</v>
      </c>
      <c r="B1298" s="10">
        <v>45984</v>
      </c>
      <c r="C1298" s="9" t="s">
        <v>28</v>
      </c>
      <c r="D1298" s="9" t="s">
        <v>29</v>
      </c>
      <c r="E1298" s="11" t="s">
        <v>37</v>
      </c>
      <c r="F1298" s="11" t="s">
        <v>72</v>
      </c>
      <c r="G1298" s="3">
        <v>423.74</v>
      </c>
      <c r="H1298" s="3">
        <v>250.39</v>
      </c>
      <c r="I1298" s="12">
        <v>2</v>
      </c>
      <c r="J1298" s="9" t="s">
        <v>1287</v>
      </c>
      <c r="K1298" s="9" t="s">
        <v>49</v>
      </c>
      <c r="L1298" s="13">
        <v>0</v>
      </c>
      <c r="M1298" s="9" t="s">
        <v>34</v>
      </c>
    </row>
    <row r="1299" spans="1:13" ht="20.25" customHeight="1" x14ac:dyDescent="0.25">
      <c r="A1299" s="9" t="s">
        <v>2313</v>
      </c>
      <c r="B1299" s="10">
        <v>45985</v>
      </c>
      <c r="C1299" s="9" t="s">
        <v>41</v>
      </c>
      <c r="D1299" s="9" t="s">
        <v>51</v>
      </c>
      <c r="E1299" s="11" t="s">
        <v>43</v>
      </c>
      <c r="F1299" s="11" t="s">
        <v>47</v>
      </c>
      <c r="G1299" s="3">
        <v>105.93</v>
      </c>
      <c r="H1299" s="3">
        <v>62.6</v>
      </c>
      <c r="I1299" s="12">
        <v>1</v>
      </c>
      <c r="J1299" s="9" t="s">
        <v>718</v>
      </c>
      <c r="K1299" s="9" t="s">
        <v>33</v>
      </c>
      <c r="L1299" s="13">
        <v>1</v>
      </c>
      <c r="M1299" s="9" t="s">
        <v>34</v>
      </c>
    </row>
    <row r="1300" spans="1:13" ht="20.25" customHeight="1" x14ac:dyDescent="0.25">
      <c r="A1300" s="9" t="s">
        <v>2314</v>
      </c>
      <c r="B1300" s="10">
        <v>45985</v>
      </c>
      <c r="C1300" s="9" t="s">
        <v>28</v>
      </c>
      <c r="D1300" s="9" t="s">
        <v>29</v>
      </c>
      <c r="E1300" s="11" t="s">
        <v>58</v>
      </c>
      <c r="F1300" s="11" t="s">
        <v>59</v>
      </c>
      <c r="G1300" s="3">
        <v>144.46</v>
      </c>
      <c r="H1300" s="3">
        <v>86.67</v>
      </c>
      <c r="I1300" s="12">
        <v>1</v>
      </c>
      <c r="J1300" s="9" t="s">
        <v>2315</v>
      </c>
      <c r="K1300" s="9" t="s">
        <v>49</v>
      </c>
      <c r="L1300" s="13">
        <v>0</v>
      </c>
      <c r="M1300" s="9" t="s">
        <v>34</v>
      </c>
    </row>
    <row r="1301" spans="1:13" ht="20.25" customHeight="1" x14ac:dyDescent="0.25">
      <c r="A1301" s="9" t="s">
        <v>2316</v>
      </c>
      <c r="B1301" s="10">
        <v>45985</v>
      </c>
      <c r="C1301" s="9" t="s">
        <v>71</v>
      </c>
      <c r="D1301" s="9" t="s">
        <v>42</v>
      </c>
      <c r="E1301" s="11" t="s">
        <v>58</v>
      </c>
      <c r="F1301" s="11" t="s">
        <v>59</v>
      </c>
      <c r="G1301" s="3">
        <v>144.46</v>
      </c>
      <c r="H1301" s="3">
        <v>86.67</v>
      </c>
      <c r="I1301" s="12">
        <v>1</v>
      </c>
      <c r="J1301" s="9" t="s">
        <v>1975</v>
      </c>
      <c r="K1301" s="9" t="s">
        <v>49</v>
      </c>
      <c r="L1301" s="13">
        <v>0</v>
      </c>
      <c r="M1301" s="9" t="s">
        <v>34</v>
      </c>
    </row>
    <row r="1302" spans="1:13" ht="20.25" customHeight="1" x14ac:dyDescent="0.25">
      <c r="A1302" s="9" t="s">
        <v>2317</v>
      </c>
      <c r="B1302" s="10">
        <v>45985</v>
      </c>
      <c r="C1302" s="9" t="s">
        <v>28</v>
      </c>
      <c r="D1302" s="9" t="s">
        <v>29</v>
      </c>
      <c r="E1302" s="11" t="s">
        <v>37</v>
      </c>
      <c r="F1302" s="11" t="s">
        <v>38</v>
      </c>
      <c r="G1302" s="3">
        <v>115.57</v>
      </c>
      <c r="H1302" s="3">
        <v>67.41</v>
      </c>
      <c r="I1302" s="12">
        <v>1</v>
      </c>
      <c r="J1302" s="9" t="s">
        <v>707</v>
      </c>
      <c r="K1302" s="9" t="s">
        <v>33</v>
      </c>
      <c r="L1302" s="13">
        <v>1</v>
      </c>
      <c r="M1302" s="9" t="s">
        <v>34</v>
      </c>
    </row>
    <row r="1303" spans="1:13" ht="20.25" customHeight="1" x14ac:dyDescent="0.25">
      <c r="A1303" s="9" t="s">
        <v>2318</v>
      </c>
      <c r="B1303" s="10">
        <v>45985</v>
      </c>
      <c r="C1303" s="9" t="s">
        <v>28</v>
      </c>
      <c r="D1303" s="9" t="s">
        <v>51</v>
      </c>
      <c r="E1303" s="11" t="s">
        <v>37</v>
      </c>
      <c r="F1303" s="11" t="s">
        <v>55</v>
      </c>
      <c r="G1303" s="3">
        <v>173.35</v>
      </c>
      <c r="H1303" s="3">
        <v>105.93</v>
      </c>
      <c r="I1303" s="12">
        <v>2</v>
      </c>
      <c r="J1303" s="9" t="s">
        <v>2319</v>
      </c>
      <c r="K1303" s="9" t="s">
        <v>33</v>
      </c>
      <c r="L1303" s="13">
        <v>1</v>
      </c>
      <c r="M1303" s="9" t="s">
        <v>34</v>
      </c>
    </row>
    <row r="1304" spans="1:13" ht="20.25" customHeight="1" x14ac:dyDescent="0.25">
      <c r="A1304" s="9" t="s">
        <v>2320</v>
      </c>
      <c r="B1304" s="10">
        <v>45986</v>
      </c>
      <c r="C1304" s="9" t="s">
        <v>36</v>
      </c>
      <c r="D1304" s="9" t="s">
        <v>29</v>
      </c>
      <c r="E1304" s="11" t="s">
        <v>43</v>
      </c>
      <c r="F1304" s="11" t="s">
        <v>90</v>
      </c>
      <c r="G1304" s="3">
        <v>288.91000000000003</v>
      </c>
      <c r="H1304" s="3">
        <v>173.35</v>
      </c>
      <c r="I1304" s="12">
        <v>2</v>
      </c>
      <c r="J1304" s="9" t="s">
        <v>636</v>
      </c>
      <c r="K1304" s="9" t="s">
        <v>33</v>
      </c>
      <c r="L1304" s="13">
        <v>1</v>
      </c>
      <c r="M1304" s="9" t="s">
        <v>34</v>
      </c>
    </row>
    <row r="1305" spans="1:13" ht="20.25" customHeight="1" x14ac:dyDescent="0.25">
      <c r="A1305" s="9" t="s">
        <v>2321</v>
      </c>
      <c r="B1305" s="10">
        <v>45986</v>
      </c>
      <c r="C1305" s="9" t="s">
        <v>54</v>
      </c>
      <c r="D1305" s="9" t="s">
        <v>51</v>
      </c>
      <c r="E1305" s="11" t="s">
        <v>30</v>
      </c>
      <c r="F1305" s="11" t="s">
        <v>63</v>
      </c>
      <c r="G1305" s="3">
        <v>3466.95</v>
      </c>
      <c r="H1305" s="3">
        <v>2455.7600000000002</v>
      </c>
      <c r="I1305" s="12">
        <v>3</v>
      </c>
      <c r="J1305" s="9" t="s">
        <v>795</v>
      </c>
      <c r="K1305" s="9" t="s">
        <v>33</v>
      </c>
      <c r="L1305" s="13">
        <v>1</v>
      </c>
      <c r="M1305" s="9" t="s">
        <v>34</v>
      </c>
    </row>
    <row r="1306" spans="1:13" ht="20.25" customHeight="1" x14ac:dyDescent="0.25">
      <c r="A1306" s="9" t="s">
        <v>2322</v>
      </c>
      <c r="B1306" s="10">
        <v>45986</v>
      </c>
      <c r="C1306" s="9" t="s">
        <v>36</v>
      </c>
      <c r="D1306" s="9" t="s">
        <v>29</v>
      </c>
      <c r="E1306" s="11" t="s">
        <v>30</v>
      </c>
      <c r="F1306" s="11" t="s">
        <v>63</v>
      </c>
      <c r="G1306" s="3">
        <v>2311.3000000000002</v>
      </c>
      <c r="H1306" s="3">
        <v>1637.17</v>
      </c>
      <c r="I1306" s="12">
        <v>2</v>
      </c>
      <c r="J1306" s="9" t="s">
        <v>512</v>
      </c>
      <c r="K1306" s="9" t="s">
        <v>49</v>
      </c>
      <c r="L1306" s="13">
        <v>0</v>
      </c>
      <c r="M1306" s="9" t="s">
        <v>34</v>
      </c>
    </row>
    <row r="1307" spans="1:13" ht="20.25" customHeight="1" x14ac:dyDescent="0.25">
      <c r="A1307" s="9" t="s">
        <v>2323</v>
      </c>
      <c r="B1307" s="10">
        <v>45986</v>
      </c>
      <c r="C1307" s="9" t="s">
        <v>41</v>
      </c>
      <c r="D1307" s="9" t="s">
        <v>29</v>
      </c>
      <c r="E1307" s="11" t="s">
        <v>43</v>
      </c>
      <c r="F1307" s="11" t="s">
        <v>90</v>
      </c>
      <c r="G1307" s="3">
        <v>144.46</v>
      </c>
      <c r="H1307" s="3">
        <v>86.67</v>
      </c>
      <c r="I1307" s="12">
        <v>1</v>
      </c>
      <c r="J1307" s="9" t="s">
        <v>1020</v>
      </c>
      <c r="K1307" s="9" t="s">
        <v>49</v>
      </c>
      <c r="L1307" s="13">
        <v>0</v>
      </c>
      <c r="M1307" s="9" t="s">
        <v>34</v>
      </c>
    </row>
    <row r="1308" spans="1:13" ht="20.25" customHeight="1" x14ac:dyDescent="0.25">
      <c r="A1308" s="9" t="s">
        <v>2324</v>
      </c>
      <c r="B1308" s="10">
        <v>45986</v>
      </c>
      <c r="C1308" s="9" t="s">
        <v>28</v>
      </c>
      <c r="D1308" s="9" t="s">
        <v>29</v>
      </c>
      <c r="E1308" s="11" t="s">
        <v>58</v>
      </c>
      <c r="F1308" s="11" t="s">
        <v>68</v>
      </c>
      <c r="G1308" s="3">
        <v>1011.19</v>
      </c>
      <c r="H1308" s="3">
        <v>635.61</v>
      </c>
      <c r="I1308" s="12">
        <v>3</v>
      </c>
      <c r="J1308" s="9" t="s">
        <v>2325</v>
      </c>
      <c r="K1308" s="9" t="s">
        <v>49</v>
      </c>
      <c r="L1308" s="13">
        <v>0</v>
      </c>
      <c r="M1308" s="9" t="s">
        <v>34</v>
      </c>
    </row>
    <row r="1309" spans="1:13" ht="20.25" customHeight="1" x14ac:dyDescent="0.25">
      <c r="A1309" s="9" t="s">
        <v>2326</v>
      </c>
      <c r="B1309" s="10">
        <v>45987</v>
      </c>
      <c r="C1309" s="9" t="s">
        <v>41</v>
      </c>
      <c r="D1309" s="9" t="s">
        <v>42</v>
      </c>
      <c r="E1309" s="11" t="s">
        <v>37</v>
      </c>
      <c r="F1309" s="11" t="s">
        <v>38</v>
      </c>
      <c r="G1309" s="3">
        <v>231.13</v>
      </c>
      <c r="H1309" s="3">
        <v>134.83000000000001</v>
      </c>
      <c r="I1309" s="12">
        <v>2</v>
      </c>
      <c r="J1309" s="9" t="s">
        <v>2327</v>
      </c>
      <c r="K1309" s="9" t="s">
        <v>49</v>
      </c>
      <c r="L1309" s="13">
        <v>0</v>
      </c>
      <c r="M1309" s="9" t="s">
        <v>34</v>
      </c>
    </row>
    <row r="1310" spans="1:13" ht="20.25" customHeight="1" x14ac:dyDescent="0.25">
      <c r="A1310" s="9" t="s">
        <v>2328</v>
      </c>
      <c r="B1310" s="10">
        <v>45987</v>
      </c>
      <c r="C1310" s="9" t="s">
        <v>28</v>
      </c>
      <c r="D1310" s="9" t="s">
        <v>29</v>
      </c>
      <c r="E1310" s="11" t="s">
        <v>58</v>
      </c>
      <c r="F1310" s="11" t="s">
        <v>87</v>
      </c>
      <c r="G1310" s="3">
        <v>173.35</v>
      </c>
      <c r="H1310" s="3">
        <v>105.93</v>
      </c>
      <c r="I1310" s="12">
        <v>1</v>
      </c>
      <c r="J1310" s="9" t="s">
        <v>2329</v>
      </c>
      <c r="K1310" s="9" t="s">
        <v>49</v>
      </c>
      <c r="L1310" s="13">
        <v>0</v>
      </c>
      <c r="M1310" s="9" t="s">
        <v>34</v>
      </c>
    </row>
    <row r="1311" spans="1:13" ht="20.25" customHeight="1" x14ac:dyDescent="0.25">
      <c r="A1311" s="9" t="s">
        <v>2330</v>
      </c>
      <c r="B1311" s="10">
        <v>45988</v>
      </c>
      <c r="C1311" s="9" t="s">
        <v>41</v>
      </c>
      <c r="D1311" s="9" t="s">
        <v>29</v>
      </c>
      <c r="E1311" s="11" t="s">
        <v>30</v>
      </c>
      <c r="F1311" s="11" t="s">
        <v>31</v>
      </c>
      <c r="G1311" s="3">
        <v>1251.95</v>
      </c>
      <c r="H1311" s="3">
        <v>866.74</v>
      </c>
      <c r="I1311" s="12">
        <v>2</v>
      </c>
      <c r="J1311" s="9" t="s">
        <v>1467</v>
      </c>
      <c r="K1311" s="9" t="s">
        <v>49</v>
      </c>
      <c r="L1311" s="13">
        <v>0</v>
      </c>
      <c r="M1311" s="9" t="s">
        <v>34</v>
      </c>
    </row>
    <row r="1312" spans="1:13" ht="20.25" customHeight="1" x14ac:dyDescent="0.25">
      <c r="A1312" s="9" t="s">
        <v>2331</v>
      </c>
      <c r="B1312" s="10">
        <v>45989</v>
      </c>
      <c r="C1312" s="9" t="s">
        <v>71</v>
      </c>
      <c r="D1312" s="9" t="s">
        <v>51</v>
      </c>
      <c r="E1312" s="11" t="s">
        <v>43</v>
      </c>
      <c r="F1312" s="11" t="s">
        <v>44</v>
      </c>
      <c r="G1312" s="3">
        <v>-130.01</v>
      </c>
      <c r="H1312" s="3">
        <v>-57.78</v>
      </c>
      <c r="I1312" s="12">
        <v>-3</v>
      </c>
      <c r="J1312" s="9" t="s">
        <v>1829</v>
      </c>
      <c r="K1312" s="9" t="s">
        <v>49</v>
      </c>
      <c r="L1312" s="13">
        <v>0</v>
      </c>
      <c r="M1312" s="9" t="s">
        <v>76</v>
      </c>
    </row>
    <row r="1313" spans="1:13" ht="20.25" customHeight="1" x14ac:dyDescent="0.25">
      <c r="A1313" s="9" t="s">
        <v>2332</v>
      </c>
      <c r="B1313" s="10">
        <v>45989</v>
      </c>
      <c r="C1313" s="9" t="s">
        <v>62</v>
      </c>
      <c r="D1313" s="9" t="s">
        <v>51</v>
      </c>
      <c r="E1313" s="11" t="s">
        <v>37</v>
      </c>
      <c r="F1313" s="11" t="s">
        <v>72</v>
      </c>
      <c r="G1313" s="3">
        <v>423.74</v>
      </c>
      <c r="H1313" s="3">
        <v>250.39</v>
      </c>
      <c r="I1313" s="12">
        <v>2</v>
      </c>
      <c r="J1313" s="9" t="s">
        <v>1413</v>
      </c>
      <c r="K1313" s="9" t="s">
        <v>33</v>
      </c>
      <c r="L1313" s="13">
        <v>1</v>
      </c>
      <c r="M1313" s="9" t="s">
        <v>34</v>
      </c>
    </row>
    <row r="1314" spans="1:13" ht="20.25" customHeight="1" x14ac:dyDescent="0.25">
      <c r="A1314" s="9" t="s">
        <v>2333</v>
      </c>
      <c r="B1314" s="10">
        <v>45989</v>
      </c>
      <c r="C1314" s="9" t="s">
        <v>36</v>
      </c>
      <c r="D1314" s="9" t="s">
        <v>42</v>
      </c>
      <c r="E1314" s="11" t="s">
        <v>58</v>
      </c>
      <c r="F1314" s="11" t="s">
        <v>59</v>
      </c>
      <c r="G1314" s="3">
        <v>144.46</v>
      </c>
      <c r="H1314" s="3">
        <v>86.67</v>
      </c>
      <c r="I1314" s="12">
        <v>1</v>
      </c>
      <c r="J1314" s="9" t="s">
        <v>2334</v>
      </c>
      <c r="K1314" s="9" t="s">
        <v>33</v>
      </c>
      <c r="L1314" s="13">
        <v>1</v>
      </c>
      <c r="M1314" s="9" t="s">
        <v>34</v>
      </c>
    </row>
    <row r="1315" spans="1:13" ht="20.25" customHeight="1" x14ac:dyDescent="0.25">
      <c r="A1315" s="9" t="s">
        <v>2335</v>
      </c>
      <c r="B1315" s="10">
        <v>45989</v>
      </c>
      <c r="C1315" s="9" t="s">
        <v>28</v>
      </c>
      <c r="D1315" s="9" t="s">
        <v>29</v>
      </c>
      <c r="E1315" s="11" t="s">
        <v>58</v>
      </c>
      <c r="F1315" s="11" t="s">
        <v>59</v>
      </c>
      <c r="G1315" s="3">
        <v>288.91000000000003</v>
      </c>
      <c r="H1315" s="3">
        <v>173.35</v>
      </c>
      <c r="I1315" s="12">
        <v>2</v>
      </c>
      <c r="J1315" s="9" t="s">
        <v>1496</v>
      </c>
      <c r="K1315" s="9" t="s">
        <v>49</v>
      </c>
      <c r="L1315" s="13">
        <v>0</v>
      </c>
      <c r="M1315" s="9" t="s">
        <v>34</v>
      </c>
    </row>
    <row r="1316" spans="1:13" ht="20.25" customHeight="1" x14ac:dyDescent="0.25">
      <c r="A1316" s="9" t="s">
        <v>2336</v>
      </c>
      <c r="B1316" s="10">
        <v>45990</v>
      </c>
      <c r="C1316" s="9" t="s">
        <v>28</v>
      </c>
      <c r="D1316" s="9" t="s">
        <v>51</v>
      </c>
      <c r="E1316" s="11" t="s">
        <v>43</v>
      </c>
      <c r="F1316" s="11" t="s">
        <v>47</v>
      </c>
      <c r="G1316" s="3">
        <v>105.93</v>
      </c>
      <c r="H1316" s="3">
        <v>62.6</v>
      </c>
      <c r="I1316" s="12">
        <v>1</v>
      </c>
      <c r="J1316" s="9" t="s">
        <v>2337</v>
      </c>
      <c r="K1316" s="9" t="s">
        <v>49</v>
      </c>
      <c r="L1316" s="13">
        <v>0</v>
      </c>
      <c r="M1316" s="9" t="s">
        <v>34</v>
      </c>
    </row>
    <row r="1317" spans="1:13" ht="20.25" customHeight="1" x14ac:dyDescent="0.25">
      <c r="A1317" s="9" t="s">
        <v>2338</v>
      </c>
      <c r="B1317" s="10">
        <v>45991</v>
      </c>
      <c r="C1317" s="9" t="s">
        <v>54</v>
      </c>
      <c r="D1317" s="9" t="s">
        <v>29</v>
      </c>
      <c r="E1317" s="11" t="s">
        <v>30</v>
      </c>
      <c r="F1317" s="11" t="s">
        <v>31</v>
      </c>
      <c r="G1317" s="3">
        <v>625.98</v>
      </c>
      <c r="H1317" s="3">
        <v>433.37</v>
      </c>
      <c r="I1317" s="12">
        <v>1</v>
      </c>
      <c r="J1317" s="9" t="s">
        <v>2339</v>
      </c>
      <c r="K1317" s="9" t="s">
        <v>49</v>
      </c>
      <c r="L1317" s="13">
        <v>0</v>
      </c>
      <c r="M1317" s="9" t="s">
        <v>34</v>
      </c>
    </row>
    <row r="1318" spans="1:13" ht="20.25" customHeight="1" x14ac:dyDescent="0.25">
      <c r="A1318" s="9" t="s">
        <v>2340</v>
      </c>
      <c r="B1318" s="10">
        <v>45991</v>
      </c>
      <c r="C1318" s="9" t="s">
        <v>71</v>
      </c>
      <c r="D1318" s="9" t="s">
        <v>29</v>
      </c>
      <c r="E1318" s="11" t="s">
        <v>43</v>
      </c>
      <c r="F1318" s="11" t="s">
        <v>90</v>
      </c>
      <c r="G1318" s="3">
        <v>-144.46</v>
      </c>
      <c r="H1318" s="3">
        <v>-86.67</v>
      </c>
      <c r="I1318" s="12">
        <v>-1</v>
      </c>
      <c r="J1318" s="9" t="s">
        <v>1217</v>
      </c>
      <c r="K1318" s="9" t="s">
        <v>33</v>
      </c>
      <c r="L1318" s="13">
        <v>1</v>
      </c>
      <c r="M1318" s="9" t="s">
        <v>76</v>
      </c>
    </row>
    <row r="1319" spans="1:13" ht="20.25" customHeight="1" x14ac:dyDescent="0.25">
      <c r="A1319" s="9" t="s">
        <v>2341</v>
      </c>
      <c r="B1319" s="10">
        <v>45991</v>
      </c>
      <c r="C1319" s="9" t="s">
        <v>41</v>
      </c>
      <c r="D1319" s="9" t="s">
        <v>51</v>
      </c>
      <c r="E1319" s="11" t="s">
        <v>30</v>
      </c>
      <c r="F1319" s="11" t="s">
        <v>80</v>
      </c>
      <c r="G1319" s="3">
        <v>818.59</v>
      </c>
      <c r="H1319" s="3">
        <v>577.83000000000004</v>
      </c>
      <c r="I1319" s="12">
        <v>1</v>
      </c>
      <c r="J1319" s="9" t="s">
        <v>2342</v>
      </c>
      <c r="K1319" s="9" t="s">
        <v>33</v>
      </c>
      <c r="L1319" s="13">
        <v>1</v>
      </c>
      <c r="M1319" s="9" t="s">
        <v>34</v>
      </c>
    </row>
    <row r="1320" spans="1:13" ht="20.25" customHeight="1" x14ac:dyDescent="0.25">
      <c r="A1320" s="9" t="s">
        <v>2343</v>
      </c>
      <c r="B1320" s="10">
        <v>45992</v>
      </c>
      <c r="C1320" s="9" t="s">
        <v>28</v>
      </c>
      <c r="D1320" s="9" t="s">
        <v>51</v>
      </c>
      <c r="E1320" s="11" t="s">
        <v>37</v>
      </c>
      <c r="F1320" s="11" t="s">
        <v>72</v>
      </c>
      <c r="G1320" s="3">
        <v>211.87</v>
      </c>
      <c r="H1320" s="3">
        <v>125.2</v>
      </c>
      <c r="I1320" s="12">
        <v>1</v>
      </c>
      <c r="J1320" s="9" t="s">
        <v>523</v>
      </c>
      <c r="K1320" s="9" t="s">
        <v>33</v>
      </c>
      <c r="L1320" s="13">
        <v>1</v>
      </c>
      <c r="M1320" s="9" t="s">
        <v>34</v>
      </c>
    </row>
    <row r="1321" spans="1:13" ht="20.25" customHeight="1" x14ac:dyDescent="0.25">
      <c r="A1321" s="9" t="s">
        <v>2344</v>
      </c>
      <c r="B1321" s="10">
        <v>45992</v>
      </c>
      <c r="C1321" s="9" t="s">
        <v>36</v>
      </c>
      <c r="D1321" s="9" t="s">
        <v>51</v>
      </c>
      <c r="E1321" s="11" t="s">
        <v>43</v>
      </c>
      <c r="F1321" s="11" t="s">
        <v>47</v>
      </c>
      <c r="G1321" s="3">
        <v>105.93</v>
      </c>
      <c r="H1321" s="3">
        <v>62.6</v>
      </c>
      <c r="I1321" s="12">
        <v>1</v>
      </c>
      <c r="J1321" s="9" t="s">
        <v>1292</v>
      </c>
      <c r="K1321" s="9" t="s">
        <v>49</v>
      </c>
      <c r="L1321" s="13">
        <v>0</v>
      </c>
      <c r="M1321" s="9" t="s">
        <v>34</v>
      </c>
    </row>
    <row r="1322" spans="1:13" ht="20.25" customHeight="1" x14ac:dyDescent="0.25">
      <c r="A1322" s="9" t="s">
        <v>2345</v>
      </c>
      <c r="B1322" s="10">
        <v>45992</v>
      </c>
      <c r="C1322" s="9" t="s">
        <v>28</v>
      </c>
      <c r="D1322" s="9" t="s">
        <v>29</v>
      </c>
      <c r="E1322" s="11" t="s">
        <v>37</v>
      </c>
      <c r="F1322" s="11" t="s">
        <v>38</v>
      </c>
      <c r="G1322" s="3">
        <v>-231.13</v>
      </c>
      <c r="H1322" s="3">
        <v>-134.83000000000001</v>
      </c>
      <c r="I1322" s="12">
        <v>-2</v>
      </c>
      <c r="J1322" s="9" t="s">
        <v>2346</v>
      </c>
      <c r="K1322" s="9" t="s">
        <v>49</v>
      </c>
      <c r="L1322" s="13">
        <v>0</v>
      </c>
      <c r="M1322" s="9" t="s">
        <v>76</v>
      </c>
    </row>
    <row r="1323" spans="1:13" ht="20.25" customHeight="1" x14ac:dyDescent="0.25">
      <c r="A1323" s="9" t="s">
        <v>2347</v>
      </c>
      <c r="B1323" s="10">
        <v>45993</v>
      </c>
      <c r="C1323" s="9" t="s">
        <v>62</v>
      </c>
      <c r="D1323" s="9" t="s">
        <v>29</v>
      </c>
      <c r="E1323" s="11" t="s">
        <v>58</v>
      </c>
      <c r="F1323" s="11" t="s">
        <v>68</v>
      </c>
      <c r="G1323" s="3">
        <v>674.13</v>
      </c>
      <c r="H1323" s="3">
        <v>423.74</v>
      </c>
      <c r="I1323" s="12">
        <v>2</v>
      </c>
      <c r="J1323" s="9" t="s">
        <v>1088</v>
      </c>
      <c r="K1323" s="9" t="s">
        <v>49</v>
      </c>
      <c r="L1323" s="13">
        <v>0</v>
      </c>
      <c r="M1323" s="9" t="s">
        <v>34</v>
      </c>
    </row>
    <row r="1324" spans="1:13" ht="20.25" customHeight="1" x14ac:dyDescent="0.25">
      <c r="A1324" s="9" t="s">
        <v>2348</v>
      </c>
      <c r="B1324" s="10">
        <v>45993</v>
      </c>
      <c r="C1324" s="9" t="s">
        <v>41</v>
      </c>
      <c r="D1324" s="9" t="s">
        <v>29</v>
      </c>
      <c r="E1324" s="11" t="s">
        <v>37</v>
      </c>
      <c r="F1324" s="11" t="s">
        <v>38</v>
      </c>
      <c r="G1324" s="3">
        <v>577.83000000000004</v>
      </c>
      <c r="H1324" s="3">
        <v>337.06</v>
      </c>
      <c r="I1324" s="12">
        <v>5</v>
      </c>
      <c r="J1324" s="9" t="s">
        <v>495</v>
      </c>
      <c r="K1324" s="9" t="s">
        <v>33</v>
      </c>
      <c r="L1324" s="13">
        <v>1</v>
      </c>
      <c r="M1324" s="9" t="s">
        <v>34</v>
      </c>
    </row>
    <row r="1325" spans="1:13" ht="20.25" customHeight="1" x14ac:dyDescent="0.25">
      <c r="A1325" s="9" t="s">
        <v>2349</v>
      </c>
      <c r="B1325" s="10">
        <v>45993</v>
      </c>
      <c r="C1325" s="9" t="s">
        <v>62</v>
      </c>
      <c r="D1325" s="9" t="s">
        <v>42</v>
      </c>
      <c r="E1325" s="11" t="s">
        <v>58</v>
      </c>
      <c r="F1325" s="11" t="s">
        <v>68</v>
      </c>
      <c r="G1325" s="3">
        <v>337.06</v>
      </c>
      <c r="H1325" s="3">
        <v>211.87</v>
      </c>
      <c r="I1325" s="12">
        <v>1</v>
      </c>
      <c r="J1325" s="9" t="s">
        <v>1500</v>
      </c>
      <c r="K1325" s="9" t="s">
        <v>49</v>
      </c>
      <c r="L1325" s="13">
        <v>0</v>
      </c>
      <c r="M1325" s="9" t="s">
        <v>34</v>
      </c>
    </row>
    <row r="1326" spans="1:13" ht="20.25" customHeight="1" x14ac:dyDescent="0.25">
      <c r="A1326" s="9" t="s">
        <v>2350</v>
      </c>
      <c r="B1326" s="10">
        <v>45993</v>
      </c>
      <c r="C1326" s="9" t="s">
        <v>28</v>
      </c>
      <c r="D1326" s="9" t="s">
        <v>29</v>
      </c>
      <c r="E1326" s="11" t="s">
        <v>30</v>
      </c>
      <c r="F1326" s="11" t="s">
        <v>31</v>
      </c>
      <c r="G1326" s="3">
        <v>625.98</v>
      </c>
      <c r="H1326" s="3">
        <v>433.37</v>
      </c>
      <c r="I1326" s="12">
        <v>1</v>
      </c>
      <c r="J1326" s="9" t="s">
        <v>2351</v>
      </c>
      <c r="K1326" s="9" t="s">
        <v>49</v>
      </c>
      <c r="L1326" s="13">
        <v>0</v>
      </c>
      <c r="M1326" s="9" t="s">
        <v>34</v>
      </c>
    </row>
    <row r="1327" spans="1:13" ht="20.25" customHeight="1" x14ac:dyDescent="0.25">
      <c r="A1327" s="9" t="s">
        <v>2352</v>
      </c>
      <c r="B1327" s="10">
        <v>45993</v>
      </c>
      <c r="C1327" s="9" t="s">
        <v>71</v>
      </c>
      <c r="D1327" s="9" t="s">
        <v>29</v>
      </c>
      <c r="E1327" s="11" t="s">
        <v>43</v>
      </c>
      <c r="F1327" s="11" t="s">
        <v>90</v>
      </c>
      <c r="G1327" s="3">
        <v>433.37</v>
      </c>
      <c r="H1327" s="3">
        <v>260.02</v>
      </c>
      <c r="I1327" s="12">
        <v>3</v>
      </c>
      <c r="J1327" s="9" t="s">
        <v>298</v>
      </c>
      <c r="K1327" s="9" t="s">
        <v>33</v>
      </c>
      <c r="L1327" s="13">
        <v>1</v>
      </c>
      <c r="M1327" s="9" t="s">
        <v>34</v>
      </c>
    </row>
    <row r="1328" spans="1:13" ht="20.25" customHeight="1" x14ac:dyDescent="0.25">
      <c r="A1328" s="9" t="s">
        <v>2353</v>
      </c>
      <c r="B1328" s="10">
        <v>45993</v>
      </c>
      <c r="C1328" s="9" t="s">
        <v>41</v>
      </c>
      <c r="D1328" s="9" t="s">
        <v>29</v>
      </c>
      <c r="E1328" s="11" t="s">
        <v>43</v>
      </c>
      <c r="F1328" s="11" t="s">
        <v>44</v>
      </c>
      <c r="G1328" s="3">
        <v>43.34</v>
      </c>
      <c r="H1328" s="3">
        <v>19.260000000000002</v>
      </c>
      <c r="I1328" s="12">
        <v>1</v>
      </c>
      <c r="J1328" s="9" t="s">
        <v>2354</v>
      </c>
      <c r="K1328" s="9" t="s">
        <v>49</v>
      </c>
      <c r="L1328" s="13">
        <v>0</v>
      </c>
      <c r="M1328" s="9" t="s">
        <v>34</v>
      </c>
    </row>
    <row r="1329" spans="1:13" ht="20.25" customHeight="1" x14ac:dyDescent="0.25">
      <c r="A1329" s="9" t="s">
        <v>2355</v>
      </c>
      <c r="B1329" s="10">
        <v>45994</v>
      </c>
      <c r="C1329" s="9" t="s">
        <v>36</v>
      </c>
      <c r="D1329" s="9" t="s">
        <v>51</v>
      </c>
      <c r="E1329" s="11" t="s">
        <v>37</v>
      </c>
      <c r="F1329" s="11" t="s">
        <v>72</v>
      </c>
      <c r="G1329" s="3">
        <v>423.74</v>
      </c>
      <c r="H1329" s="3">
        <v>250.39</v>
      </c>
      <c r="I1329" s="12">
        <v>2</v>
      </c>
      <c r="J1329" s="9" t="s">
        <v>60</v>
      </c>
      <c r="K1329" s="9" t="s">
        <v>33</v>
      </c>
      <c r="L1329" s="13">
        <v>1</v>
      </c>
      <c r="M1329" s="9" t="s">
        <v>34</v>
      </c>
    </row>
    <row r="1330" spans="1:13" ht="20.25" customHeight="1" x14ac:dyDescent="0.25">
      <c r="A1330" s="9" t="s">
        <v>2356</v>
      </c>
      <c r="B1330" s="10">
        <v>45995</v>
      </c>
      <c r="C1330" s="9" t="s">
        <v>54</v>
      </c>
      <c r="D1330" s="9" t="s">
        <v>29</v>
      </c>
      <c r="E1330" s="11" t="s">
        <v>58</v>
      </c>
      <c r="F1330" s="11" t="s">
        <v>68</v>
      </c>
      <c r="G1330" s="3">
        <v>674.13</v>
      </c>
      <c r="H1330" s="3">
        <v>423.74</v>
      </c>
      <c r="I1330" s="12">
        <v>2</v>
      </c>
      <c r="J1330" s="9" t="s">
        <v>910</v>
      </c>
      <c r="K1330" s="9" t="s">
        <v>33</v>
      </c>
      <c r="L1330" s="13">
        <v>1</v>
      </c>
      <c r="M1330" s="9" t="s">
        <v>34</v>
      </c>
    </row>
    <row r="1331" spans="1:13" ht="20.25" customHeight="1" x14ac:dyDescent="0.25">
      <c r="A1331" s="9" t="s">
        <v>2357</v>
      </c>
      <c r="B1331" s="10">
        <v>45996</v>
      </c>
      <c r="C1331" s="9" t="s">
        <v>62</v>
      </c>
      <c r="D1331" s="9" t="s">
        <v>42</v>
      </c>
      <c r="E1331" s="11" t="s">
        <v>30</v>
      </c>
      <c r="F1331" s="11" t="s">
        <v>31</v>
      </c>
      <c r="G1331" s="3">
        <v>625.98</v>
      </c>
      <c r="H1331" s="3">
        <v>433.37</v>
      </c>
      <c r="I1331" s="12">
        <v>1</v>
      </c>
      <c r="J1331" s="9" t="s">
        <v>833</v>
      </c>
      <c r="K1331" s="9" t="s">
        <v>49</v>
      </c>
      <c r="L1331" s="13">
        <v>0</v>
      </c>
      <c r="M1331" s="9" t="s">
        <v>34</v>
      </c>
    </row>
    <row r="1332" spans="1:13" ht="20.25" customHeight="1" x14ac:dyDescent="0.25">
      <c r="A1332" s="9" t="s">
        <v>2358</v>
      </c>
      <c r="B1332" s="10">
        <v>45996</v>
      </c>
      <c r="C1332" s="9" t="s">
        <v>54</v>
      </c>
      <c r="D1332" s="9" t="s">
        <v>29</v>
      </c>
      <c r="E1332" s="11" t="s">
        <v>30</v>
      </c>
      <c r="F1332" s="11" t="s">
        <v>31</v>
      </c>
      <c r="G1332" s="3">
        <v>1877.93</v>
      </c>
      <c r="H1332" s="3">
        <v>1300.1099999999999</v>
      </c>
      <c r="I1332" s="12">
        <v>3</v>
      </c>
      <c r="J1332" s="9" t="s">
        <v>1927</v>
      </c>
      <c r="K1332" s="9" t="s">
        <v>33</v>
      </c>
      <c r="L1332" s="13">
        <v>1</v>
      </c>
      <c r="M1332" s="9" t="s">
        <v>34</v>
      </c>
    </row>
    <row r="1333" spans="1:13" ht="20.25" customHeight="1" x14ac:dyDescent="0.25">
      <c r="A1333" s="9" t="s">
        <v>2359</v>
      </c>
      <c r="B1333" s="10">
        <v>45996</v>
      </c>
      <c r="C1333" s="9" t="s">
        <v>41</v>
      </c>
      <c r="D1333" s="9" t="s">
        <v>42</v>
      </c>
      <c r="E1333" s="11" t="s">
        <v>37</v>
      </c>
      <c r="F1333" s="11" t="s">
        <v>55</v>
      </c>
      <c r="G1333" s="3">
        <v>-173.35</v>
      </c>
      <c r="H1333" s="3">
        <v>-105.93</v>
      </c>
      <c r="I1333" s="12">
        <v>-2</v>
      </c>
      <c r="J1333" s="9" t="s">
        <v>1112</v>
      </c>
      <c r="K1333" s="9" t="s">
        <v>33</v>
      </c>
      <c r="L1333" s="13">
        <v>1</v>
      </c>
      <c r="M1333" s="9" t="s">
        <v>76</v>
      </c>
    </row>
    <row r="1334" spans="1:13" ht="20.25" customHeight="1" x14ac:dyDescent="0.25">
      <c r="A1334" s="9" t="s">
        <v>2360</v>
      </c>
      <c r="B1334" s="10">
        <v>45996</v>
      </c>
      <c r="C1334" s="9" t="s">
        <v>28</v>
      </c>
      <c r="D1334" s="9" t="s">
        <v>29</v>
      </c>
      <c r="E1334" s="11" t="s">
        <v>43</v>
      </c>
      <c r="F1334" s="11" t="s">
        <v>44</v>
      </c>
      <c r="G1334" s="3">
        <v>43.34</v>
      </c>
      <c r="H1334" s="3">
        <v>19.260000000000002</v>
      </c>
      <c r="I1334" s="12">
        <v>1</v>
      </c>
      <c r="J1334" s="9" t="s">
        <v>1652</v>
      </c>
      <c r="K1334" s="9" t="s">
        <v>49</v>
      </c>
      <c r="L1334" s="13">
        <v>0</v>
      </c>
      <c r="M1334" s="9" t="s">
        <v>34</v>
      </c>
    </row>
    <row r="1335" spans="1:13" ht="20.25" customHeight="1" x14ac:dyDescent="0.25">
      <c r="A1335" s="9" t="s">
        <v>2361</v>
      </c>
      <c r="B1335" s="10">
        <v>45997</v>
      </c>
      <c r="C1335" s="9" t="s">
        <v>28</v>
      </c>
      <c r="D1335" s="9" t="s">
        <v>51</v>
      </c>
      <c r="E1335" s="11" t="s">
        <v>58</v>
      </c>
      <c r="F1335" s="11" t="s">
        <v>68</v>
      </c>
      <c r="G1335" s="3">
        <v>337.06</v>
      </c>
      <c r="H1335" s="3">
        <v>211.87</v>
      </c>
      <c r="I1335" s="12">
        <v>1</v>
      </c>
      <c r="J1335" s="9" t="s">
        <v>990</v>
      </c>
      <c r="K1335" s="9" t="s">
        <v>33</v>
      </c>
      <c r="L1335" s="13">
        <v>1</v>
      </c>
      <c r="M1335" s="9" t="s">
        <v>34</v>
      </c>
    </row>
    <row r="1336" spans="1:13" ht="20.25" customHeight="1" x14ac:dyDescent="0.25">
      <c r="A1336" s="9" t="s">
        <v>2362</v>
      </c>
      <c r="B1336" s="10">
        <v>45997</v>
      </c>
      <c r="C1336" s="9" t="s">
        <v>62</v>
      </c>
      <c r="D1336" s="9" t="s">
        <v>42</v>
      </c>
      <c r="E1336" s="11" t="s">
        <v>43</v>
      </c>
      <c r="F1336" s="11" t="s">
        <v>90</v>
      </c>
      <c r="G1336" s="3">
        <v>144.46</v>
      </c>
      <c r="H1336" s="3">
        <v>86.67</v>
      </c>
      <c r="I1336" s="12">
        <v>1</v>
      </c>
      <c r="J1336" s="9" t="s">
        <v>2363</v>
      </c>
      <c r="K1336" s="9" t="s">
        <v>49</v>
      </c>
      <c r="L1336" s="13">
        <v>0</v>
      </c>
      <c r="M1336" s="9" t="s">
        <v>34</v>
      </c>
    </row>
    <row r="1337" spans="1:13" ht="20.25" customHeight="1" x14ac:dyDescent="0.25">
      <c r="A1337" s="9" t="s">
        <v>2364</v>
      </c>
      <c r="B1337" s="10">
        <v>45998</v>
      </c>
      <c r="C1337" s="9" t="s">
        <v>28</v>
      </c>
      <c r="D1337" s="9" t="s">
        <v>29</v>
      </c>
      <c r="E1337" s="11" t="s">
        <v>30</v>
      </c>
      <c r="F1337" s="11" t="s">
        <v>31</v>
      </c>
      <c r="G1337" s="3">
        <v>625.98</v>
      </c>
      <c r="H1337" s="3">
        <v>433.37</v>
      </c>
      <c r="I1337" s="12">
        <v>1</v>
      </c>
      <c r="J1337" s="9" t="s">
        <v>894</v>
      </c>
      <c r="K1337" s="9" t="s">
        <v>49</v>
      </c>
      <c r="L1337" s="13">
        <v>0</v>
      </c>
      <c r="M1337" s="9" t="s">
        <v>34</v>
      </c>
    </row>
    <row r="1338" spans="1:13" ht="20.25" customHeight="1" x14ac:dyDescent="0.25">
      <c r="A1338" s="9" t="s">
        <v>2365</v>
      </c>
      <c r="B1338" s="10">
        <v>45998</v>
      </c>
      <c r="C1338" s="9" t="s">
        <v>41</v>
      </c>
      <c r="D1338" s="9" t="s">
        <v>42</v>
      </c>
      <c r="E1338" s="11" t="s">
        <v>58</v>
      </c>
      <c r="F1338" s="11" t="s">
        <v>59</v>
      </c>
      <c r="G1338" s="3">
        <v>144.46</v>
      </c>
      <c r="H1338" s="3">
        <v>86.67</v>
      </c>
      <c r="I1338" s="12">
        <v>1</v>
      </c>
      <c r="J1338" s="9" t="s">
        <v>2366</v>
      </c>
      <c r="K1338" s="9" t="s">
        <v>49</v>
      </c>
      <c r="L1338" s="13">
        <v>0</v>
      </c>
      <c r="M1338" s="9" t="s">
        <v>34</v>
      </c>
    </row>
    <row r="1339" spans="1:13" ht="20.25" customHeight="1" x14ac:dyDescent="0.25">
      <c r="A1339" s="9" t="s">
        <v>2367</v>
      </c>
      <c r="B1339" s="10">
        <v>45998</v>
      </c>
      <c r="C1339" s="9" t="s">
        <v>41</v>
      </c>
      <c r="D1339" s="9" t="s">
        <v>29</v>
      </c>
      <c r="E1339" s="11" t="s">
        <v>30</v>
      </c>
      <c r="F1339" s="11" t="s">
        <v>31</v>
      </c>
      <c r="G1339" s="3">
        <v>625.98</v>
      </c>
      <c r="H1339" s="3">
        <v>433.37</v>
      </c>
      <c r="I1339" s="12">
        <v>1</v>
      </c>
      <c r="J1339" s="9" t="s">
        <v>300</v>
      </c>
      <c r="K1339" s="9" t="s">
        <v>33</v>
      </c>
      <c r="L1339" s="13">
        <v>1</v>
      </c>
      <c r="M1339" s="9" t="s">
        <v>34</v>
      </c>
    </row>
    <row r="1340" spans="1:13" ht="20.25" customHeight="1" x14ac:dyDescent="0.25">
      <c r="A1340" s="9" t="s">
        <v>2368</v>
      </c>
      <c r="B1340" s="10">
        <v>45998</v>
      </c>
      <c r="C1340" s="9" t="s">
        <v>71</v>
      </c>
      <c r="D1340" s="9" t="s">
        <v>42</v>
      </c>
      <c r="E1340" s="11" t="s">
        <v>58</v>
      </c>
      <c r="F1340" s="11" t="s">
        <v>68</v>
      </c>
      <c r="G1340" s="3">
        <v>337.06</v>
      </c>
      <c r="H1340" s="3">
        <v>211.87</v>
      </c>
      <c r="I1340" s="12">
        <v>1</v>
      </c>
      <c r="J1340" s="9" t="s">
        <v>2369</v>
      </c>
      <c r="K1340" s="9" t="s">
        <v>49</v>
      </c>
      <c r="L1340" s="13">
        <v>0</v>
      </c>
      <c r="M1340" s="9" t="s">
        <v>34</v>
      </c>
    </row>
    <row r="1341" spans="1:13" ht="20.25" customHeight="1" x14ac:dyDescent="0.25">
      <c r="A1341" s="9" t="s">
        <v>2370</v>
      </c>
      <c r="B1341" s="10">
        <v>46000</v>
      </c>
      <c r="C1341" s="9" t="s">
        <v>62</v>
      </c>
      <c r="D1341" s="9" t="s">
        <v>51</v>
      </c>
      <c r="E1341" s="11" t="s">
        <v>30</v>
      </c>
      <c r="F1341" s="11" t="s">
        <v>80</v>
      </c>
      <c r="G1341" s="3">
        <v>2455.7600000000002</v>
      </c>
      <c r="H1341" s="3">
        <v>1733.48</v>
      </c>
      <c r="I1341" s="12">
        <v>3</v>
      </c>
      <c r="J1341" s="9" t="s">
        <v>631</v>
      </c>
      <c r="K1341" s="9" t="s">
        <v>49</v>
      </c>
      <c r="L1341" s="13">
        <v>0</v>
      </c>
      <c r="M1341" s="9" t="s">
        <v>34</v>
      </c>
    </row>
    <row r="1342" spans="1:13" ht="20.25" customHeight="1" x14ac:dyDescent="0.25">
      <c r="A1342" s="9" t="s">
        <v>2371</v>
      </c>
      <c r="B1342" s="10">
        <v>46000</v>
      </c>
      <c r="C1342" s="9" t="s">
        <v>36</v>
      </c>
      <c r="D1342" s="9" t="s">
        <v>29</v>
      </c>
      <c r="E1342" s="11" t="s">
        <v>43</v>
      </c>
      <c r="F1342" s="11" t="s">
        <v>47</v>
      </c>
      <c r="G1342" s="3">
        <v>105.93</v>
      </c>
      <c r="H1342" s="3">
        <v>62.6</v>
      </c>
      <c r="I1342" s="12">
        <v>1</v>
      </c>
      <c r="J1342" s="9" t="s">
        <v>2372</v>
      </c>
      <c r="K1342" s="9" t="s">
        <v>49</v>
      </c>
      <c r="L1342" s="13">
        <v>0</v>
      </c>
      <c r="M1342" s="9" t="s">
        <v>34</v>
      </c>
    </row>
    <row r="1343" spans="1:13" ht="20.25" customHeight="1" x14ac:dyDescent="0.25">
      <c r="A1343" s="9" t="s">
        <v>2373</v>
      </c>
      <c r="B1343" s="10">
        <v>46001</v>
      </c>
      <c r="C1343" s="9" t="s">
        <v>36</v>
      </c>
      <c r="D1343" s="9" t="s">
        <v>29</v>
      </c>
      <c r="E1343" s="11" t="s">
        <v>30</v>
      </c>
      <c r="F1343" s="11" t="s">
        <v>31</v>
      </c>
      <c r="G1343" s="3">
        <v>625.98</v>
      </c>
      <c r="H1343" s="3">
        <v>433.37</v>
      </c>
      <c r="I1343" s="12">
        <v>1</v>
      </c>
      <c r="J1343" s="9" t="s">
        <v>701</v>
      </c>
      <c r="K1343" s="9" t="s">
        <v>49</v>
      </c>
      <c r="L1343" s="13">
        <v>0</v>
      </c>
      <c r="M1343" s="9" t="s">
        <v>34</v>
      </c>
    </row>
    <row r="1344" spans="1:13" ht="20.25" customHeight="1" x14ac:dyDescent="0.25">
      <c r="A1344" s="9" t="s">
        <v>2374</v>
      </c>
      <c r="B1344" s="10">
        <v>46001</v>
      </c>
      <c r="C1344" s="9" t="s">
        <v>28</v>
      </c>
      <c r="D1344" s="9" t="s">
        <v>29</v>
      </c>
      <c r="E1344" s="11" t="s">
        <v>43</v>
      </c>
      <c r="F1344" s="11" t="s">
        <v>90</v>
      </c>
      <c r="G1344" s="3">
        <v>-144.46</v>
      </c>
      <c r="H1344" s="3">
        <v>-86.67</v>
      </c>
      <c r="I1344" s="12">
        <v>-1</v>
      </c>
      <c r="J1344" s="9" t="s">
        <v>2375</v>
      </c>
      <c r="K1344" s="9" t="s">
        <v>49</v>
      </c>
      <c r="L1344" s="13">
        <v>0</v>
      </c>
      <c r="M1344" s="9" t="s">
        <v>76</v>
      </c>
    </row>
    <row r="1345" spans="1:13" ht="20.25" customHeight="1" x14ac:dyDescent="0.25">
      <c r="A1345" s="9" t="s">
        <v>2376</v>
      </c>
      <c r="B1345" s="10">
        <v>46001</v>
      </c>
      <c r="C1345" s="9" t="s">
        <v>36</v>
      </c>
      <c r="D1345" s="9" t="s">
        <v>29</v>
      </c>
      <c r="E1345" s="11" t="s">
        <v>58</v>
      </c>
      <c r="F1345" s="11" t="s">
        <v>68</v>
      </c>
      <c r="G1345" s="3">
        <v>337.06</v>
      </c>
      <c r="H1345" s="3">
        <v>211.87</v>
      </c>
      <c r="I1345" s="12">
        <v>1</v>
      </c>
      <c r="J1345" s="9" t="s">
        <v>1393</v>
      </c>
      <c r="K1345" s="9" t="s">
        <v>49</v>
      </c>
      <c r="L1345" s="13">
        <v>0</v>
      </c>
      <c r="M1345" s="9" t="s">
        <v>34</v>
      </c>
    </row>
    <row r="1346" spans="1:13" ht="20.25" customHeight="1" x14ac:dyDescent="0.25">
      <c r="A1346" s="9" t="s">
        <v>2377</v>
      </c>
      <c r="B1346" s="10">
        <v>46001</v>
      </c>
      <c r="C1346" s="9" t="s">
        <v>28</v>
      </c>
      <c r="D1346" s="9" t="s">
        <v>29</v>
      </c>
      <c r="E1346" s="11" t="s">
        <v>43</v>
      </c>
      <c r="F1346" s="11" t="s">
        <v>90</v>
      </c>
      <c r="G1346" s="3">
        <v>144.46</v>
      </c>
      <c r="H1346" s="3">
        <v>86.67</v>
      </c>
      <c r="I1346" s="12">
        <v>1</v>
      </c>
      <c r="J1346" s="9" t="s">
        <v>1767</v>
      </c>
      <c r="K1346" s="9" t="s">
        <v>33</v>
      </c>
      <c r="L1346" s="13">
        <v>1</v>
      </c>
      <c r="M1346" s="9" t="s">
        <v>34</v>
      </c>
    </row>
    <row r="1347" spans="1:13" ht="20.25" customHeight="1" x14ac:dyDescent="0.25">
      <c r="A1347" s="9" t="s">
        <v>2378</v>
      </c>
      <c r="B1347" s="10">
        <v>46002</v>
      </c>
      <c r="C1347" s="9" t="s">
        <v>36</v>
      </c>
      <c r="D1347" s="9" t="s">
        <v>29</v>
      </c>
      <c r="E1347" s="11" t="s">
        <v>37</v>
      </c>
      <c r="F1347" s="11" t="s">
        <v>38</v>
      </c>
      <c r="G1347" s="3">
        <v>115.57</v>
      </c>
      <c r="H1347" s="3">
        <v>67.41</v>
      </c>
      <c r="I1347" s="12">
        <v>1</v>
      </c>
      <c r="J1347" s="9" t="s">
        <v>2114</v>
      </c>
      <c r="K1347" s="9" t="s">
        <v>49</v>
      </c>
      <c r="L1347" s="13">
        <v>0</v>
      </c>
      <c r="M1347" s="9" t="s">
        <v>34</v>
      </c>
    </row>
    <row r="1348" spans="1:13" ht="20.25" customHeight="1" x14ac:dyDescent="0.25">
      <c r="A1348" s="9" t="s">
        <v>2379</v>
      </c>
      <c r="B1348" s="10">
        <v>46002</v>
      </c>
      <c r="C1348" s="9" t="s">
        <v>54</v>
      </c>
      <c r="D1348" s="9" t="s">
        <v>29</v>
      </c>
      <c r="E1348" s="11" t="s">
        <v>43</v>
      </c>
      <c r="F1348" s="11" t="s">
        <v>44</v>
      </c>
      <c r="G1348" s="3">
        <v>43.34</v>
      </c>
      <c r="H1348" s="3">
        <v>19.260000000000002</v>
      </c>
      <c r="I1348" s="12">
        <v>1</v>
      </c>
      <c r="J1348" s="9" t="s">
        <v>2380</v>
      </c>
      <c r="K1348" s="9" t="s">
        <v>49</v>
      </c>
      <c r="L1348" s="13">
        <v>0</v>
      </c>
      <c r="M1348" s="9" t="s">
        <v>34</v>
      </c>
    </row>
    <row r="1349" spans="1:13" ht="20.25" customHeight="1" x14ac:dyDescent="0.25">
      <c r="A1349" s="9" t="s">
        <v>2381</v>
      </c>
      <c r="B1349" s="10">
        <v>46003</v>
      </c>
      <c r="C1349" s="9" t="s">
        <v>62</v>
      </c>
      <c r="D1349" s="9" t="s">
        <v>51</v>
      </c>
      <c r="E1349" s="11" t="s">
        <v>30</v>
      </c>
      <c r="F1349" s="11" t="s">
        <v>63</v>
      </c>
      <c r="G1349" s="3">
        <v>2311.3000000000002</v>
      </c>
      <c r="H1349" s="3">
        <v>1637.17</v>
      </c>
      <c r="I1349" s="12">
        <v>2</v>
      </c>
      <c r="J1349" s="9" t="s">
        <v>1437</v>
      </c>
      <c r="K1349" s="9" t="s">
        <v>49</v>
      </c>
      <c r="L1349" s="13">
        <v>0</v>
      </c>
      <c r="M1349" s="9" t="s">
        <v>34</v>
      </c>
    </row>
    <row r="1350" spans="1:13" ht="20.25" customHeight="1" x14ac:dyDescent="0.25">
      <c r="A1350" s="9" t="s">
        <v>2382</v>
      </c>
      <c r="B1350" s="10">
        <v>46003</v>
      </c>
      <c r="C1350" s="9" t="s">
        <v>28</v>
      </c>
      <c r="D1350" s="9" t="s">
        <v>29</v>
      </c>
      <c r="E1350" s="11" t="s">
        <v>37</v>
      </c>
      <c r="F1350" s="11" t="s">
        <v>72</v>
      </c>
      <c r="G1350" s="3">
        <v>1059.3499999999999</v>
      </c>
      <c r="H1350" s="3">
        <v>625.98</v>
      </c>
      <c r="I1350" s="12">
        <v>5</v>
      </c>
      <c r="J1350" s="9" t="s">
        <v>157</v>
      </c>
      <c r="K1350" s="9" t="s">
        <v>49</v>
      </c>
      <c r="L1350" s="13">
        <v>0</v>
      </c>
      <c r="M1350" s="9" t="s">
        <v>34</v>
      </c>
    </row>
    <row r="1351" spans="1:13" ht="20.25" customHeight="1" x14ac:dyDescent="0.25">
      <c r="A1351" s="9" t="s">
        <v>2383</v>
      </c>
      <c r="B1351" s="10">
        <v>46003</v>
      </c>
      <c r="C1351" s="9" t="s">
        <v>36</v>
      </c>
      <c r="D1351" s="9" t="s">
        <v>29</v>
      </c>
      <c r="E1351" s="11" t="s">
        <v>43</v>
      </c>
      <c r="F1351" s="11" t="s">
        <v>90</v>
      </c>
      <c r="G1351" s="3">
        <v>144.46</v>
      </c>
      <c r="H1351" s="3">
        <v>86.67</v>
      </c>
      <c r="I1351" s="12">
        <v>1</v>
      </c>
      <c r="J1351" s="9" t="s">
        <v>351</v>
      </c>
      <c r="K1351" s="9" t="s">
        <v>33</v>
      </c>
      <c r="L1351" s="13">
        <v>1</v>
      </c>
      <c r="M1351" s="9" t="s">
        <v>34</v>
      </c>
    </row>
    <row r="1352" spans="1:13" ht="20.25" customHeight="1" x14ac:dyDescent="0.25">
      <c r="A1352" s="9" t="s">
        <v>2384</v>
      </c>
      <c r="B1352" s="10">
        <v>46005</v>
      </c>
      <c r="C1352" s="9" t="s">
        <v>62</v>
      </c>
      <c r="D1352" s="9" t="s">
        <v>51</v>
      </c>
      <c r="E1352" s="11" t="s">
        <v>30</v>
      </c>
      <c r="F1352" s="11" t="s">
        <v>63</v>
      </c>
      <c r="G1352" s="3">
        <v>1155.6500000000001</v>
      </c>
      <c r="H1352" s="3">
        <v>818.59</v>
      </c>
      <c r="I1352" s="12">
        <v>1</v>
      </c>
      <c r="J1352" s="9" t="s">
        <v>2385</v>
      </c>
      <c r="K1352" s="9" t="s">
        <v>49</v>
      </c>
      <c r="L1352" s="13">
        <v>0</v>
      </c>
      <c r="M1352" s="9" t="s">
        <v>34</v>
      </c>
    </row>
    <row r="1353" spans="1:13" ht="20.25" customHeight="1" x14ac:dyDescent="0.25">
      <c r="A1353" s="9" t="s">
        <v>2386</v>
      </c>
      <c r="B1353" s="10">
        <v>46005</v>
      </c>
      <c r="C1353" s="9" t="s">
        <v>28</v>
      </c>
      <c r="D1353" s="9" t="s">
        <v>29</v>
      </c>
      <c r="E1353" s="11" t="s">
        <v>30</v>
      </c>
      <c r="F1353" s="11" t="s">
        <v>80</v>
      </c>
      <c r="G1353" s="3">
        <v>1637.17</v>
      </c>
      <c r="H1353" s="3">
        <v>1155.6500000000001</v>
      </c>
      <c r="I1353" s="12">
        <v>2</v>
      </c>
      <c r="J1353" s="9" t="s">
        <v>694</v>
      </c>
      <c r="K1353" s="9" t="s">
        <v>49</v>
      </c>
      <c r="L1353" s="13">
        <v>0</v>
      </c>
      <c r="M1353" s="9" t="s">
        <v>34</v>
      </c>
    </row>
    <row r="1354" spans="1:13" ht="20.25" customHeight="1" x14ac:dyDescent="0.25">
      <c r="A1354" s="9" t="s">
        <v>2387</v>
      </c>
      <c r="B1354" s="10">
        <v>46006</v>
      </c>
      <c r="C1354" s="9" t="s">
        <v>28</v>
      </c>
      <c r="D1354" s="9" t="s">
        <v>29</v>
      </c>
      <c r="E1354" s="11" t="s">
        <v>58</v>
      </c>
      <c r="F1354" s="11" t="s">
        <v>59</v>
      </c>
      <c r="G1354" s="3">
        <v>288.91000000000003</v>
      </c>
      <c r="H1354" s="3">
        <v>173.35</v>
      </c>
      <c r="I1354" s="12">
        <v>2</v>
      </c>
      <c r="J1354" s="9" t="s">
        <v>1329</v>
      </c>
      <c r="K1354" s="9" t="s">
        <v>49</v>
      </c>
      <c r="L1354" s="13">
        <v>0</v>
      </c>
      <c r="M1354" s="9" t="s">
        <v>34</v>
      </c>
    </row>
    <row r="1355" spans="1:13" ht="20.25" customHeight="1" x14ac:dyDescent="0.25">
      <c r="A1355" s="9" t="s">
        <v>2388</v>
      </c>
      <c r="B1355" s="10">
        <v>46006</v>
      </c>
      <c r="C1355" s="9" t="s">
        <v>28</v>
      </c>
      <c r="D1355" s="9" t="s">
        <v>29</v>
      </c>
      <c r="E1355" s="11" t="s">
        <v>43</v>
      </c>
      <c r="F1355" s="11" t="s">
        <v>47</v>
      </c>
      <c r="G1355" s="3">
        <v>105.93</v>
      </c>
      <c r="H1355" s="3">
        <v>62.6</v>
      </c>
      <c r="I1355" s="12">
        <v>1</v>
      </c>
      <c r="J1355" s="9" t="s">
        <v>193</v>
      </c>
      <c r="K1355" s="9" t="s">
        <v>33</v>
      </c>
      <c r="L1355" s="13">
        <v>1</v>
      </c>
      <c r="M1355" s="9" t="s">
        <v>34</v>
      </c>
    </row>
    <row r="1356" spans="1:13" ht="20.25" customHeight="1" x14ac:dyDescent="0.25">
      <c r="A1356" s="9" t="s">
        <v>2389</v>
      </c>
      <c r="B1356" s="10">
        <v>46007</v>
      </c>
      <c r="C1356" s="9" t="s">
        <v>71</v>
      </c>
      <c r="D1356" s="9" t="s">
        <v>42</v>
      </c>
      <c r="E1356" s="11" t="s">
        <v>58</v>
      </c>
      <c r="F1356" s="11" t="s">
        <v>68</v>
      </c>
      <c r="G1356" s="3">
        <v>1011.19</v>
      </c>
      <c r="H1356" s="3">
        <v>635.61</v>
      </c>
      <c r="I1356" s="12">
        <v>3</v>
      </c>
      <c r="J1356" s="9" t="s">
        <v>497</v>
      </c>
      <c r="K1356" s="9" t="s">
        <v>49</v>
      </c>
      <c r="L1356" s="13">
        <v>0</v>
      </c>
      <c r="M1356" s="9" t="s">
        <v>34</v>
      </c>
    </row>
    <row r="1357" spans="1:13" ht="20.25" customHeight="1" x14ac:dyDescent="0.25">
      <c r="A1357" s="9" t="s">
        <v>2390</v>
      </c>
      <c r="B1357" s="10">
        <v>46007</v>
      </c>
      <c r="C1357" s="9" t="s">
        <v>28</v>
      </c>
      <c r="D1357" s="9" t="s">
        <v>42</v>
      </c>
      <c r="E1357" s="11" t="s">
        <v>58</v>
      </c>
      <c r="F1357" s="11" t="s">
        <v>87</v>
      </c>
      <c r="G1357" s="3">
        <v>-173.35</v>
      </c>
      <c r="H1357" s="3">
        <v>-105.93</v>
      </c>
      <c r="I1357" s="12">
        <v>-1</v>
      </c>
      <c r="J1357" s="9" t="s">
        <v>2391</v>
      </c>
      <c r="K1357" s="9" t="s">
        <v>33</v>
      </c>
      <c r="L1357" s="13">
        <v>1</v>
      </c>
      <c r="M1357" s="9" t="s">
        <v>76</v>
      </c>
    </row>
    <row r="1358" spans="1:13" ht="20.25" customHeight="1" x14ac:dyDescent="0.25">
      <c r="A1358" s="9" t="s">
        <v>2392</v>
      </c>
      <c r="B1358" s="10">
        <v>46007</v>
      </c>
      <c r="C1358" s="9" t="s">
        <v>62</v>
      </c>
      <c r="D1358" s="9" t="s">
        <v>29</v>
      </c>
      <c r="E1358" s="11" t="s">
        <v>30</v>
      </c>
      <c r="F1358" s="11" t="s">
        <v>31</v>
      </c>
      <c r="G1358" s="3">
        <v>625.98</v>
      </c>
      <c r="H1358" s="3">
        <v>433.37</v>
      </c>
      <c r="I1358" s="12">
        <v>1</v>
      </c>
      <c r="J1358" s="9" t="s">
        <v>250</v>
      </c>
      <c r="K1358" s="9" t="s">
        <v>49</v>
      </c>
      <c r="L1358" s="13">
        <v>0</v>
      </c>
      <c r="M1358" s="9" t="s">
        <v>34</v>
      </c>
    </row>
    <row r="1359" spans="1:13" ht="20.25" customHeight="1" x14ac:dyDescent="0.25">
      <c r="A1359" s="9" t="s">
        <v>2393</v>
      </c>
      <c r="B1359" s="10">
        <v>46007</v>
      </c>
      <c r="C1359" s="9" t="s">
        <v>36</v>
      </c>
      <c r="D1359" s="9" t="s">
        <v>51</v>
      </c>
      <c r="E1359" s="11" t="s">
        <v>30</v>
      </c>
      <c r="F1359" s="11" t="s">
        <v>31</v>
      </c>
      <c r="G1359" s="3">
        <v>1251.95</v>
      </c>
      <c r="H1359" s="3">
        <v>866.74</v>
      </c>
      <c r="I1359" s="12">
        <v>2</v>
      </c>
      <c r="J1359" s="9" t="s">
        <v>2394</v>
      </c>
      <c r="K1359" s="9" t="s">
        <v>49</v>
      </c>
      <c r="L1359" s="13">
        <v>0</v>
      </c>
      <c r="M1359" s="9" t="s">
        <v>34</v>
      </c>
    </row>
    <row r="1360" spans="1:13" ht="20.25" customHeight="1" x14ac:dyDescent="0.25">
      <c r="A1360" s="9" t="s">
        <v>2395</v>
      </c>
      <c r="B1360" s="10">
        <v>46008</v>
      </c>
      <c r="C1360" s="9" t="s">
        <v>71</v>
      </c>
      <c r="D1360" s="9" t="s">
        <v>51</v>
      </c>
      <c r="E1360" s="11" t="s">
        <v>43</v>
      </c>
      <c r="F1360" s="11" t="s">
        <v>44</v>
      </c>
      <c r="G1360" s="3">
        <v>173.35</v>
      </c>
      <c r="H1360" s="3">
        <v>77.040000000000006</v>
      </c>
      <c r="I1360" s="12">
        <v>4</v>
      </c>
      <c r="J1360" s="9" t="s">
        <v>1878</v>
      </c>
      <c r="K1360" s="9" t="s">
        <v>33</v>
      </c>
      <c r="L1360" s="13">
        <v>1</v>
      </c>
      <c r="M1360" s="9" t="s">
        <v>34</v>
      </c>
    </row>
    <row r="1361" spans="1:13" ht="20.25" customHeight="1" x14ac:dyDescent="0.25">
      <c r="A1361" s="9" t="s">
        <v>2396</v>
      </c>
      <c r="B1361" s="10">
        <v>46008</v>
      </c>
      <c r="C1361" s="9" t="s">
        <v>28</v>
      </c>
      <c r="D1361" s="9" t="s">
        <v>51</v>
      </c>
      <c r="E1361" s="11" t="s">
        <v>30</v>
      </c>
      <c r="F1361" s="11" t="s">
        <v>80</v>
      </c>
      <c r="G1361" s="3">
        <v>1637.17</v>
      </c>
      <c r="H1361" s="3">
        <v>1155.6500000000001</v>
      </c>
      <c r="I1361" s="12">
        <v>2</v>
      </c>
      <c r="J1361" s="9" t="s">
        <v>2397</v>
      </c>
      <c r="K1361" s="9" t="s">
        <v>49</v>
      </c>
      <c r="L1361" s="13">
        <v>0</v>
      </c>
      <c r="M1361" s="9" t="s">
        <v>34</v>
      </c>
    </row>
    <row r="1362" spans="1:13" ht="20.25" customHeight="1" x14ac:dyDescent="0.25">
      <c r="A1362" s="9" t="s">
        <v>2398</v>
      </c>
      <c r="B1362" s="10">
        <v>46008</v>
      </c>
      <c r="C1362" s="9" t="s">
        <v>36</v>
      </c>
      <c r="D1362" s="9" t="s">
        <v>51</v>
      </c>
      <c r="E1362" s="11" t="s">
        <v>37</v>
      </c>
      <c r="F1362" s="11" t="s">
        <v>55</v>
      </c>
      <c r="G1362" s="3">
        <v>86.67</v>
      </c>
      <c r="H1362" s="3">
        <v>52.97</v>
      </c>
      <c r="I1362" s="12">
        <v>1</v>
      </c>
      <c r="J1362" s="9" t="s">
        <v>955</v>
      </c>
      <c r="K1362" s="9" t="s">
        <v>49</v>
      </c>
      <c r="L1362" s="13">
        <v>0</v>
      </c>
      <c r="M1362" s="9" t="s">
        <v>34</v>
      </c>
    </row>
    <row r="1363" spans="1:13" ht="20.25" customHeight="1" x14ac:dyDescent="0.25">
      <c r="A1363" s="9" t="s">
        <v>2399</v>
      </c>
      <c r="B1363" s="10">
        <v>46008</v>
      </c>
      <c r="C1363" s="9" t="s">
        <v>41</v>
      </c>
      <c r="D1363" s="9" t="s">
        <v>51</v>
      </c>
      <c r="E1363" s="11" t="s">
        <v>43</v>
      </c>
      <c r="F1363" s="11" t="s">
        <v>47</v>
      </c>
      <c r="G1363" s="3">
        <v>105.93</v>
      </c>
      <c r="H1363" s="3">
        <v>62.6</v>
      </c>
      <c r="I1363" s="12">
        <v>1</v>
      </c>
      <c r="J1363" s="9" t="s">
        <v>2400</v>
      </c>
      <c r="K1363" s="9" t="s">
        <v>49</v>
      </c>
      <c r="L1363" s="13">
        <v>0</v>
      </c>
      <c r="M1363" s="9" t="s">
        <v>34</v>
      </c>
    </row>
    <row r="1364" spans="1:13" ht="20.25" customHeight="1" x14ac:dyDescent="0.25">
      <c r="A1364" s="9" t="s">
        <v>2401</v>
      </c>
      <c r="B1364" s="10">
        <v>46009</v>
      </c>
      <c r="C1364" s="9" t="s">
        <v>41</v>
      </c>
      <c r="D1364" s="9" t="s">
        <v>29</v>
      </c>
      <c r="E1364" s="11" t="s">
        <v>30</v>
      </c>
      <c r="F1364" s="11" t="s">
        <v>80</v>
      </c>
      <c r="G1364" s="3">
        <v>818.59</v>
      </c>
      <c r="H1364" s="3">
        <v>577.83000000000004</v>
      </c>
      <c r="I1364" s="12">
        <v>1</v>
      </c>
      <c r="J1364" s="9" t="s">
        <v>1650</v>
      </c>
      <c r="K1364" s="9" t="s">
        <v>49</v>
      </c>
      <c r="L1364" s="13">
        <v>0</v>
      </c>
      <c r="M1364" s="9" t="s">
        <v>34</v>
      </c>
    </row>
    <row r="1365" spans="1:13" ht="20.25" customHeight="1" x14ac:dyDescent="0.25">
      <c r="A1365" s="9" t="s">
        <v>2402</v>
      </c>
      <c r="B1365" s="10">
        <v>46009</v>
      </c>
      <c r="C1365" s="9" t="s">
        <v>41</v>
      </c>
      <c r="D1365" s="9" t="s">
        <v>29</v>
      </c>
      <c r="E1365" s="11" t="s">
        <v>37</v>
      </c>
      <c r="F1365" s="11" t="s">
        <v>38</v>
      </c>
      <c r="G1365" s="3">
        <v>-115.57</v>
      </c>
      <c r="H1365" s="3">
        <v>-67.41</v>
      </c>
      <c r="I1365" s="12">
        <v>-1</v>
      </c>
      <c r="J1365" s="9" t="s">
        <v>2403</v>
      </c>
      <c r="K1365" s="9" t="s">
        <v>49</v>
      </c>
      <c r="L1365" s="13">
        <v>0</v>
      </c>
      <c r="M1365" s="9" t="s">
        <v>76</v>
      </c>
    </row>
    <row r="1366" spans="1:13" ht="20.25" customHeight="1" x14ac:dyDescent="0.25">
      <c r="A1366" s="9" t="s">
        <v>2404</v>
      </c>
      <c r="B1366" s="10">
        <v>46010</v>
      </c>
      <c r="C1366" s="9" t="s">
        <v>71</v>
      </c>
      <c r="D1366" s="9" t="s">
        <v>29</v>
      </c>
      <c r="E1366" s="11" t="s">
        <v>30</v>
      </c>
      <c r="F1366" s="11" t="s">
        <v>63</v>
      </c>
      <c r="G1366" s="3">
        <v>2311.3000000000002</v>
      </c>
      <c r="H1366" s="3">
        <v>1637.17</v>
      </c>
      <c r="I1366" s="12">
        <v>2</v>
      </c>
      <c r="J1366" s="9" t="s">
        <v>1396</v>
      </c>
      <c r="K1366" s="9" t="s">
        <v>49</v>
      </c>
      <c r="L1366" s="13">
        <v>0</v>
      </c>
      <c r="M1366" s="9" t="s">
        <v>34</v>
      </c>
    </row>
    <row r="1367" spans="1:13" ht="20.25" customHeight="1" x14ac:dyDescent="0.25">
      <c r="A1367" s="9" t="s">
        <v>2405</v>
      </c>
      <c r="B1367" s="10">
        <v>46010</v>
      </c>
      <c r="C1367" s="9" t="s">
        <v>62</v>
      </c>
      <c r="D1367" s="9" t="s">
        <v>42</v>
      </c>
      <c r="E1367" s="11" t="s">
        <v>37</v>
      </c>
      <c r="F1367" s="11" t="s">
        <v>72</v>
      </c>
      <c r="G1367" s="3">
        <v>423.74</v>
      </c>
      <c r="H1367" s="3">
        <v>250.39</v>
      </c>
      <c r="I1367" s="12">
        <v>2</v>
      </c>
      <c r="J1367" s="9" t="s">
        <v>608</v>
      </c>
      <c r="K1367" s="9" t="s">
        <v>33</v>
      </c>
      <c r="L1367" s="13">
        <v>1</v>
      </c>
      <c r="M1367" s="9" t="s">
        <v>34</v>
      </c>
    </row>
    <row r="1368" spans="1:13" ht="20.25" customHeight="1" x14ac:dyDescent="0.25">
      <c r="A1368" s="9" t="s">
        <v>2406</v>
      </c>
      <c r="B1368" s="10">
        <v>46010</v>
      </c>
      <c r="C1368" s="9" t="s">
        <v>54</v>
      </c>
      <c r="D1368" s="9" t="s">
        <v>51</v>
      </c>
      <c r="E1368" s="11" t="s">
        <v>30</v>
      </c>
      <c r="F1368" s="11" t="s">
        <v>80</v>
      </c>
      <c r="G1368" s="3">
        <v>1637.17</v>
      </c>
      <c r="H1368" s="3">
        <v>1155.6500000000001</v>
      </c>
      <c r="I1368" s="12">
        <v>2</v>
      </c>
      <c r="J1368" s="9" t="s">
        <v>1601</v>
      </c>
      <c r="K1368" s="9" t="s">
        <v>49</v>
      </c>
      <c r="L1368" s="13">
        <v>0</v>
      </c>
      <c r="M1368" s="9" t="s">
        <v>34</v>
      </c>
    </row>
    <row r="1369" spans="1:13" ht="20.25" customHeight="1" x14ac:dyDescent="0.25">
      <c r="A1369" s="9" t="s">
        <v>2407</v>
      </c>
      <c r="B1369" s="10">
        <v>46011</v>
      </c>
      <c r="C1369" s="9" t="s">
        <v>41</v>
      </c>
      <c r="D1369" s="9" t="s">
        <v>42</v>
      </c>
      <c r="E1369" s="11" t="s">
        <v>37</v>
      </c>
      <c r="F1369" s="11" t="s">
        <v>38</v>
      </c>
      <c r="G1369" s="3">
        <v>577.83000000000004</v>
      </c>
      <c r="H1369" s="3">
        <v>337.06</v>
      </c>
      <c r="I1369" s="12">
        <v>5</v>
      </c>
      <c r="J1369" s="9" t="s">
        <v>1315</v>
      </c>
      <c r="K1369" s="9" t="s">
        <v>33</v>
      </c>
      <c r="L1369" s="13">
        <v>1</v>
      </c>
      <c r="M1369" s="9" t="s">
        <v>34</v>
      </c>
    </row>
    <row r="1370" spans="1:13" ht="20.25" customHeight="1" x14ac:dyDescent="0.25">
      <c r="A1370" s="9" t="s">
        <v>2408</v>
      </c>
      <c r="B1370" s="10">
        <v>46012</v>
      </c>
      <c r="C1370" s="9" t="s">
        <v>28</v>
      </c>
      <c r="D1370" s="9" t="s">
        <v>42</v>
      </c>
      <c r="E1370" s="11" t="s">
        <v>58</v>
      </c>
      <c r="F1370" s="11" t="s">
        <v>68</v>
      </c>
      <c r="G1370" s="3">
        <v>337.06</v>
      </c>
      <c r="H1370" s="3">
        <v>211.87</v>
      </c>
      <c r="I1370" s="12">
        <v>1</v>
      </c>
      <c r="J1370" s="9" t="s">
        <v>433</v>
      </c>
      <c r="K1370" s="9" t="s">
        <v>49</v>
      </c>
      <c r="L1370" s="13">
        <v>0</v>
      </c>
      <c r="M1370" s="9" t="s">
        <v>34</v>
      </c>
    </row>
    <row r="1371" spans="1:13" ht="20.25" customHeight="1" x14ac:dyDescent="0.25">
      <c r="A1371" s="9" t="s">
        <v>2409</v>
      </c>
      <c r="B1371" s="10">
        <v>46012</v>
      </c>
      <c r="C1371" s="9" t="s">
        <v>28</v>
      </c>
      <c r="D1371" s="9" t="s">
        <v>29</v>
      </c>
      <c r="E1371" s="11" t="s">
        <v>58</v>
      </c>
      <c r="F1371" s="11" t="s">
        <v>59</v>
      </c>
      <c r="G1371" s="3">
        <v>433.37</v>
      </c>
      <c r="H1371" s="3">
        <v>260.02</v>
      </c>
      <c r="I1371" s="12">
        <v>3</v>
      </c>
      <c r="J1371" s="9" t="s">
        <v>608</v>
      </c>
      <c r="K1371" s="9" t="s">
        <v>33</v>
      </c>
      <c r="L1371" s="13">
        <v>1</v>
      </c>
      <c r="M1371" s="9" t="s">
        <v>34</v>
      </c>
    </row>
    <row r="1372" spans="1:13" ht="20.25" customHeight="1" x14ac:dyDescent="0.25">
      <c r="A1372" s="9" t="s">
        <v>2410</v>
      </c>
      <c r="B1372" s="10">
        <v>46012</v>
      </c>
      <c r="C1372" s="9" t="s">
        <v>28</v>
      </c>
      <c r="D1372" s="9" t="s">
        <v>51</v>
      </c>
      <c r="E1372" s="11" t="s">
        <v>37</v>
      </c>
      <c r="F1372" s="11" t="s">
        <v>55</v>
      </c>
      <c r="G1372" s="3">
        <v>173.35</v>
      </c>
      <c r="H1372" s="3">
        <v>105.93</v>
      </c>
      <c r="I1372" s="12">
        <v>2</v>
      </c>
      <c r="J1372" s="9" t="s">
        <v>143</v>
      </c>
      <c r="K1372" s="9" t="s">
        <v>49</v>
      </c>
      <c r="L1372" s="13">
        <v>0</v>
      </c>
      <c r="M1372" s="9" t="s">
        <v>34</v>
      </c>
    </row>
    <row r="1373" spans="1:13" ht="20.25" customHeight="1" x14ac:dyDescent="0.25">
      <c r="A1373" s="9" t="s">
        <v>2411</v>
      </c>
      <c r="B1373" s="10">
        <v>46012</v>
      </c>
      <c r="C1373" s="9" t="s">
        <v>41</v>
      </c>
      <c r="D1373" s="9" t="s">
        <v>51</v>
      </c>
      <c r="E1373" s="11" t="s">
        <v>30</v>
      </c>
      <c r="F1373" s="11" t="s">
        <v>80</v>
      </c>
      <c r="G1373" s="3">
        <v>818.59</v>
      </c>
      <c r="H1373" s="3">
        <v>577.83000000000004</v>
      </c>
      <c r="I1373" s="12">
        <v>1</v>
      </c>
      <c r="J1373" s="9" t="s">
        <v>2202</v>
      </c>
      <c r="K1373" s="9" t="s">
        <v>49</v>
      </c>
      <c r="L1373" s="13">
        <v>0</v>
      </c>
      <c r="M1373" s="9" t="s">
        <v>34</v>
      </c>
    </row>
    <row r="1374" spans="1:13" ht="20.25" customHeight="1" x14ac:dyDescent="0.25">
      <c r="A1374" s="9" t="s">
        <v>2412</v>
      </c>
      <c r="B1374" s="10">
        <v>46012</v>
      </c>
      <c r="C1374" s="9" t="s">
        <v>36</v>
      </c>
      <c r="D1374" s="9" t="s">
        <v>42</v>
      </c>
      <c r="E1374" s="11" t="s">
        <v>37</v>
      </c>
      <c r="F1374" s="11" t="s">
        <v>55</v>
      </c>
      <c r="G1374" s="3">
        <v>173.35</v>
      </c>
      <c r="H1374" s="3">
        <v>105.93</v>
      </c>
      <c r="I1374" s="12">
        <v>2</v>
      </c>
      <c r="J1374" s="9" t="s">
        <v>908</v>
      </c>
      <c r="K1374" s="9" t="s">
        <v>49</v>
      </c>
      <c r="L1374" s="13">
        <v>0</v>
      </c>
      <c r="M1374" s="9" t="s">
        <v>34</v>
      </c>
    </row>
    <row r="1375" spans="1:13" ht="20.25" customHeight="1" x14ac:dyDescent="0.25">
      <c r="A1375" s="9" t="s">
        <v>2413</v>
      </c>
      <c r="B1375" s="10">
        <v>46013</v>
      </c>
      <c r="C1375" s="9" t="s">
        <v>36</v>
      </c>
      <c r="D1375" s="9" t="s">
        <v>42</v>
      </c>
      <c r="E1375" s="11" t="s">
        <v>58</v>
      </c>
      <c r="F1375" s="11" t="s">
        <v>68</v>
      </c>
      <c r="G1375" s="3">
        <v>337.06</v>
      </c>
      <c r="H1375" s="3">
        <v>211.87</v>
      </c>
      <c r="I1375" s="12">
        <v>1</v>
      </c>
      <c r="J1375" s="9" t="s">
        <v>66</v>
      </c>
      <c r="K1375" s="9" t="s">
        <v>33</v>
      </c>
      <c r="L1375" s="13">
        <v>1</v>
      </c>
      <c r="M1375" s="9" t="s">
        <v>34</v>
      </c>
    </row>
    <row r="1376" spans="1:13" ht="20.25" customHeight="1" x14ac:dyDescent="0.25">
      <c r="A1376" s="9" t="s">
        <v>2414</v>
      </c>
      <c r="B1376" s="10">
        <v>46013</v>
      </c>
      <c r="C1376" s="9" t="s">
        <v>54</v>
      </c>
      <c r="D1376" s="9" t="s">
        <v>51</v>
      </c>
      <c r="E1376" s="11" t="s">
        <v>37</v>
      </c>
      <c r="F1376" s="11" t="s">
        <v>55</v>
      </c>
      <c r="G1376" s="3">
        <v>173.35</v>
      </c>
      <c r="H1376" s="3">
        <v>105.93</v>
      </c>
      <c r="I1376" s="12">
        <v>2</v>
      </c>
      <c r="J1376" s="9" t="s">
        <v>2110</v>
      </c>
      <c r="K1376" s="9" t="s">
        <v>49</v>
      </c>
      <c r="L1376" s="13">
        <v>0</v>
      </c>
      <c r="M1376" s="9" t="s">
        <v>34</v>
      </c>
    </row>
    <row r="1377" spans="1:13" ht="20.25" customHeight="1" x14ac:dyDescent="0.25">
      <c r="A1377" s="9" t="s">
        <v>2415</v>
      </c>
      <c r="B1377" s="10">
        <v>46013</v>
      </c>
      <c r="C1377" s="9" t="s">
        <v>54</v>
      </c>
      <c r="D1377" s="9" t="s">
        <v>29</v>
      </c>
      <c r="E1377" s="11" t="s">
        <v>30</v>
      </c>
      <c r="F1377" s="11" t="s">
        <v>31</v>
      </c>
      <c r="G1377" s="3">
        <v>625.98</v>
      </c>
      <c r="H1377" s="3">
        <v>433.37</v>
      </c>
      <c r="I1377" s="12">
        <v>1</v>
      </c>
      <c r="J1377" s="9" t="s">
        <v>237</v>
      </c>
      <c r="K1377" s="9" t="s">
        <v>49</v>
      </c>
      <c r="L1377" s="13">
        <v>0</v>
      </c>
      <c r="M1377" s="9" t="s">
        <v>34</v>
      </c>
    </row>
    <row r="1378" spans="1:13" ht="20.25" customHeight="1" x14ac:dyDescent="0.25">
      <c r="A1378" s="9" t="s">
        <v>2416</v>
      </c>
      <c r="B1378" s="10">
        <v>46013</v>
      </c>
      <c r="C1378" s="9" t="s">
        <v>62</v>
      </c>
      <c r="D1378" s="9" t="s">
        <v>51</v>
      </c>
      <c r="E1378" s="11" t="s">
        <v>37</v>
      </c>
      <c r="F1378" s="11" t="s">
        <v>55</v>
      </c>
      <c r="G1378" s="3">
        <v>-86.67</v>
      </c>
      <c r="H1378" s="3">
        <v>-52.97</v>
      </c>
      <c r="I1378" s="12">
        <v>-1</v>
      </c>
      <c r="J1378" s="9" t="s">
        <v>2417</v>
      </c>
      <c r="K1378" s="9" t="s">
        <v>49</v>
      </c>
      <c r="L1378" s="13">
        <v>0</v>
      </c>
      <c r="M1378" s="9" t="s">
        <v>76</v>
      </c>
    </row>
    <row r="1379" spans="1:13" ht="20.25" customHeight="1" x14ac:dyDescent="0.25">
      <c r="A1379" s="9" t="s">
        <v>2418</v>
      </c>
      <c r="B1379" s="10">
        <v>46014</v>
      </c>
      <c r="C1379" s="9" t="s">
        <v>36</v>
      </c>
      <c r="D1379" s="9" t="s">
        <v>29</v>
      </c>
      <c r="E1379" s="11" t="s">
        <v>30</v>
      </c>
      <c r="F1379" s="11" t="s">
        <v>31</v>
      </c>
      <c r="G1379" s="3">
        <v>1251.95</v>
      </c>
      <c r="H1379" s="3">
        <v>866.74</v>
      </c>
      <c r="I1379" s="12">
        <v>2</v>
      </c>
      <c r="J1379" s="9" t="s">
        <v>2419</v>
      </c>
      <c r="K1379" s="9" t="s">
        <v>49</v>
      </c>
      <c r="L1379" s="13">
        <v>0</v>
      </c>
      <c r="M1379" s="9" t="s">
        <v>34</v>
      </c>
    </row>
    <row r="1380" spans="1:13" ht="20.25" customHeight="1" x14ac:dyDescent="0.25">
      <c r="A1380" s="9" t="s">
        <v>2420</v>
      </c>
      <c r="B1380" s="10">
        <v>46014</v>
      </c>
      <c r="C1380" s="9" t="s">
        <v>41</v>
      </c>
      <c r="D1380" s="9" t="s">
        <v>51</v>
      </c>
      <c r="E1380" s="11" t="s">
        <v>58</v>
      </c>
      <c r="F1380" s="11" t="s">
        <v>87</v>
      </c>
      <c r="G1380" s="3">
        <v>346.7</v>
      </c>
      <c r="H1380" s="3">
        <v>211.87</v>
      </c>
      <c r="I1380" s="12">
        <v>2</v>
      </c>
      <c r="J1380" s="9" t="s">
        <v>948</v>
      </c>
      <c r="K1380" s="9" t="s">
        <v>33</v>
      </c>
      <c r="L1380" s="13">
        <v>1</v>
      </c>
      <c r="M1380" s="9" t="s">
        <v>34</v>
      </c>
    </row>
    <row r="1381" spans="1:13" ht="20.25" customHeight="1" x14ac:dyDescent="0.25">
      <c r="A1381" s="9" t="s">
        <v>2421</v>
      </c>
      <c r="B1381" s="10">
        <v>46015</v>
      </c>
      <c r="C1381" s="9" t="s">
        <v>28</v>
      </c>
      <c r="D1381" s="9" t="s">
        <v>42</v>
      </c>
      <c r="E1381" s="11" t="s">
        <v>30</v>
      </c>
      <c r="F1381" s="11" t="s">
        <v>80</v>
      </c>
      <c r="G1381" s="3">
        <v>818.59</v>
      </c>
      <c r="H1381" s="3">
        <v>577.83000000000004</v>
      </c>
      <c r="I1381" s="12">
        <v>1</v>
      </c>
      <c r="J1381" s="9" t="s">
        <v>2422</v>
      </c>
      <c r="K1381" s="9" t="s">
        <v>33</v>
      </c>
      <c r="L1381" s="13">
        <v>1</v>
      </c>
      <c r="M1381" s="9" t="s">
        <v>34</v>
      </c>
    </row>
    <row r="1382" spans="1:13" ht="20.25" customHeight="1" x14ac:dyDescent="0.25">
      <c r="A1382" s="9" t="s">
        <v>2423</v>
      </c>
      <c r="B1382" s="10">
        <v>46015</v>
      </c>
      <c r="C1382" s="9" t="s">
        <v>28</v>
      </c>
      <c r="D1382" s="9" t="s">
        <v>29</v>
      </c>
      <c r="E1382" s="11" t="s">
        <v>37</v>
      </c>
      <c r="F1382" s="11" t="s">
        <v>38</v>
      </c>
      <c r="G1382" s="3">
        <v>115.57</v>
      </c>
      <c r="H1382" s="3">
        <v>67.41</v>
      </c>
      <c r="I1382" s="12">
        <v>1</v>
      </c>
      <c r="J1382" s="9" t="s">
        <v>1526</v>
      </c>
      <c r="K1382" s="9" t="s">
        <v>49</v>
      </c>
      <c r="L1382" s="13">
        <v>0</v>
      </c>
      <c r="M1382" s="9" t="s">
        <v>34</v>
      </c>
    </row>
    <row r="1383" spans="1:13" ht="20.25" customHeight="1" x14ac:dyDescent="0.25">
      <c r="A1383" s="9" t="s">
        <v>2424</v>
      </c>
      <c r="B1383" s="10">
        <v>46015</v>
      </c>
      <c r="C1383" s="9" t="s">
        <v>28</v>
      </c>
      <c r="D1383" s="9" t="s">
        <v>51</v>
      </c>
      <c r="E1383" s="11" t="s">
        <v>30</v>
      </c>
      <c r="F1383" s="11" t="s">
        <v>63</v>
      </c>
      <c r="G1383" s="3">
        <v>1155.6500000000001</v>
      </c>
      <c r="H1383" s="3">
        <v>818.59</v>
      </c>
      <c r="I1383" s="12">
        <v>1</v>
      </c>
      <c r="J1383" s="9" t="s">
        <v>1142</v>
      </c>
      <c r="K1383" s="9" t="s">
        <v>33</v>
      </c>
      <c r="L1383" s="13">
        <v>1</v>
      </c>
      <c r="M1383" s="9" t="s">
        <v>34</v>
      </c>
    </row>
    <row r="1384" spans="1:13" ht="20.25" customHeight="1" x14ac:dyDescent="0.25">
      <c r="A1384" s="9" t="s">
        <v>2425</v>
      </c>
      <c r="B1384" s="10">
        <v>46015</v>
      </c>
      <c r="C1384" s="9" t="s">
        <v>36</v>
      </c>
      <c r="D1384" s="9" t="s">
        <v>29</v>
      </c>
      <c r="E1384" s="11" t="s">
        <v>43</v>
      </c>
      <c r="F1384" s="11" t="s">
        <v>47</v>
      </c>
      <c r="G1384" s="3">
        <v>105.93</v>
      </c>
      <c r="H1384" s="3">
        <v>62.6</v>
      </c>
      <c r="I1384" s="12">
        <v>1</v>
      </c>
      <c r="J1384" s="9" t="s">
        <v>2426</v>
      </c>
      <c r="K1384" s="9" t="s">
        <v>33</v>
      </c>
      <c r="L1384" s="13">
        <v>1</v>
      </c>
      <c r="M1384" s="9" t="s">
        <v>34</v>
      </c>
    </row>
    <row r="1385" spans="1:13" ht="20.25" customHeight="1" x14ac:dyDescent="0.25">
      <c r="A1385" s="9" t="s">
        <v>2427</v>
      </c>
      <c r="B1385" s="10">
        <v>46015</v>
      </c>
      <c r="C1385" s="9" t="s">
        <v>36</v>
      </c>
      <c r="D1385" s="9" t="s">
        <v>29</v>
      </c>
      <c r="E1385" s="11" t="s">
        <v>43</v>
      </c>
      <c r="F1385" s="11" t="s">
        <v>44</v>
      </c>
      <c r="G1385" s="3">
        <v>130.01</v>
      </c>
      <c r="H1385" s="3">
        <v>57.78</v>
      </c>
      <c r="I1385" s="12">
        <v>3</v>
      </c>
      <c r="J1385" s="9" t="s">
        <v>724</v>
      </c>
      <c r="K1385" s="9" t="s">
        <v>49</v>
      </c>
      <c r="L1385" s="13">
        <v>0</v>
      </c>
      <c r="M1385" s="9" t="s">
        <v>34</v>
      </c>
    </row>
    <row r="1386" spans="1:13" ht="20.25" customHeight="1" x14ac:dyDescent="0.25">
      <c r="A1386" s="9" t="s">
        <v>2428</v>
      </c>
      <c r="B1386" s="10">
        <v>46015</v>
      </c>
      <c r="C1386" s="9" t="s">
        <v>54</v>
      </c>
      <c r="D1386" s="9" t="s">
        <v>29</v>
      </c>
      <c r="E1386" s="11" t="s">
        <v>30</v>
      </c>
      <c r="F1386" s="11" t="s">
        <v>80</v>
      </c>
      <c r="G1386" s="3">
        <v>2455.7600000000002</v>
      </c>
      <c r="H1386" s="3">
        <v>1733.48</v>
      </c>
      <c r="I1386" s="12">
        <v>3</v>
      </c>
      <c r="J1386" s="9" t="s">
        <v>2429</v>
      </c>
      <c r="K1386" s="9" t="s">
        <v>33</v>
      </c>
      <c r="L1386" s="13">
        <v>1</v>
      </c>
      <c r="M1386" s="9" t="s">
        <v>34</v>
      </c>
    </row>
    <row r="1387" spans="1:13" ht="20.25" customHeight="1" x14ac:dyDescent="0.25">
      <c r="A1387" s="9" t="s">
        <v>2430</v>
      </c>
      <c r="B1387" s="10">
        <v>46016</v>
      </c>
      <c r="C1387" s="9" t="s">
        <v>28</v>
      </c>
      <c r="D1387" s="9" t="s">
        <v>51</v>
      </c>
      <c r="E1387" s="11" t="s">
        <v>37</v>
      </c>
      <c r="F1387" s="11" t="s">
        <v>38</v>
      </c>
      <c r="G1387" s="3">
        <v>115.57</v>
      </c>
      <c r="H1387" s="3">
        <v>67.41</v>
      </c>
      <c r="I1387" s="12">
        <v>1</v>
      </c>
      <c r="J1387" s="9" t="s">
        <v>2431</v>
      </c>
      <c r="K1387" s="9" t="s">
        <v>33</v>
      </c>
      <c r="L1387" s="13">
        <v>1</v>
      </c>
      <c r="M1387" s="9" t="s">
        <v>34</v>
      </c>
    </row>
    <row r="1388" spans="1:13" ht="20.25" customHeight="1" x14ac:dyDescent="0.25">
      <c r="A1388" s="9" t="s">
        <v>2432</v>
      </c>
      <c r="B1388" s="10">
        <v>46016</v>
      </c>
      <c r="C1388" s="9" t="s">
        <v>41</v>
      </c>
      <c r="D1388" s="9" t="s">
        <v>42</v>
      </c>
      <c r="E1388" s="11" t="s">
        <v>30</v>
      </c>
      <c r="F1388" s="11" t="s">
        <v>63</v>
      </c>
      <c r="G1388" s="3">
        <v>-2311.3000000000002</v>
      </c>
      <c r="H1388" s="3">
        <v>-1637.17</v>
      </c>
      <c r="I1388" s="12">
        <v>-2</v>
      </c>
      <c r="J1388" s="9" t="s">
        <v>2433</v>
      </c>
      <c r="K1388" s="9" t="s">
        <v>33</v>
      </c>
      <c r="L1388" s="13">
        <v>1</v>
      </c>
      <c r="M1388" s="9" t="s">
        <v>76</v>
      </c>
    </row>
    <row r="1389" spans="1:13" ht="20.25" customHeight="1" x14ac:dyDescent="0.25">
      <c r="A1389" s="9" t="s">
        <v>2434</v>
      </c>
      <c r="B1389" s="10">
        <v>46016</v>
      </c>
      <c r="C1389" s="9" t="s">
        <v>71</v>
      </c>
      <c r="D1389" s="9" t="s">
        <v>42</v>
      </c>
      <c r="E1389" s="11" t="s">
        <v>58</v>
      </c>
      <c r="F1389" s="11" t="s">
        <v>59</v>
      </c>
      <c r="G1389" s="3">
        <v>144.46</v>
      </c>
      <c r="H1389" s="3">
        <v>86.67</v>
      </c>
      <c r="I1389" s="12">
        <v>1</v>
      </c>
      <c r="J1389" s="9" t="s">
        <v>1626</v>
      </c>
      <c r="K1389" s="9" t="s">
        <v>49</v>
      </c>
      <c r="L1389" s="13">
        <v>0</v>
      </c>
      <c r="M1389" s="9" t="s">
        <v>34</v>
      </c>
    </row>
    <row r="1390" spans="1:13" ht="20.25" customHeight="1" x14ac:dyDescent="0.25">
      <c r="A1390" s="9" t="s">
        <v>2435</v>
      </c>
      <c r="B1390" s="10">
        <v>46016</v>
      </c>
      <c r="C1390" s="9" t="s">
        <v>28</v>
      </c>
      <c r="D1390" s="9" t="s">
        <v>29</v>
      </c>
      <c r="E1390" s="11" t="s">
        <v>37</v>
      </c>
      <c r="F1390" s="11" t="s">
        <v>38</v>
      </c>
      <c r="G1390" s="3">
        <v>231.13</v>
      </c>
      <c r="H1390" s="3">
        <v>134.83000000000001</v>
      </c>
      <c r="I1390" s="12">
        <v>2</v>
      </c>
      <c r="J1390" s="9" t="s">
        <v>2436</v>
      </c>
      <c r="K1390" s="9" t="s">
        <v>49</v>
      </c>
      <c r="L1390" s="13">
        <v>0</v>
      </c>
      <c r="M1390" s="9" t="s">
        <v>34</v>
      </c>
    </row>
    <row r="1391" spans="1:13" ht="20.25" customHeight="1" x14ac:dyDescent="0.25">
      <c r="A1391" s="9" t="s">
        <v>2437</v>
      </c>
      <c r="B1391" s="10">
        <v>46016</v>
      </c>
      <c r="C1391" s="9" t="s">
        <v>36</v>
      </c>
      <c r="D1391" s="9" t="s">
        <v>42</v>
      </c>
      <c r="E1391" s="11" t="s">
        <v>37</v>
      </c>
      <c r="F1391" s="11" t="s">
        <v>38</v>
      </c>
      <c r="G1391" s="3">
        <v>115.57</v>
      </c>
      <c r="H1391" s="3">
        <v>67.41</v>
      </c>
      <c r="I1391" s="12">
        <v>1</v>
      </c>
      <c r="J1391" s="9" t="s">
        <v>1764</v>
      </c>
      <c r="K1391" s="9" t="s">
        <v>49</v>
      </c>
      <c r="L1391" s="13">
        <v>0</v>
      </c>
      <c r="M1391" s="9" t="s">
        <v>34</v>
      </c>
    </row>
    <row r="1392" spans="1:13" ht="20.25" customHeight="1" x14ac:dyDescent="0.25">
      <c r="A1392" s="9" t="s">
        <v>2438</v>
      </c>
      <c r="B1392" s="10">
        <v>46017</v>
      </c>
      <c r="C1392" s="9" t="s">
        <v>28</v>
      </c>
      <c r="D1392" s="9" t="s">
        <v>51</v>
      </c>
      <c r="E1392" s="11" t="s">
        <v>37</v>
      </c>
      <c r="F1392" s="11" t="s">
        <v>38</v>
      </c>
      <c r="G1392" s="3">
        <v>115.57</v>
      </c>
      <c r="H1392" s="3">
        <v>67.41</v>
      </c>
      <c r="I1392" s="12">
        <v>1</v>
      </c>
      <c r="J1392" s="9" t="s">
        <v>2439</v>
      </c>
      <c r="K1392" s="9" t="s">
        <v>49</v>
      </c>
      <c r="L1392" s="13">
        <v>0</v>
      </c>
      <c r="M1392" s="9" t="s">
        <v>34</v>
      </c>
    </row>
    <row r="1393" spans="1:13" ht="20.25" customHeight="1" x14ac:dyDescent="0.25">
      <c r="A1393" s="9" t="s">
        <v>2440</v>
      </c>
      <c r="B1393" s="10">
        <v>46017</v>
      </c>
      <c r="C1393" s="9" t="s">
        <v>71</v>
      </c>
      <c r="D1393" s="9" t="s">
        <v>29</v>
      </c>
      <c r="E1393" s="11" t="s">
        <v>30</v>
      </c>
      <c r="F1393" s="11" t="s">
        <v>63</v>
      </c>
      <c r="G1393" s="3">
        <v>2311.3000000000002</v>
      </c>
      <c r="H1393" s="3">
        <v>1637.17</v>
      </c>
      <c r="I1393" s="12">
        <v>2</v>
      </c>
      <c r="J1393" s="9" t="s">
        <v>2441</v>
      </c>
      <c r="K1393" s="9" t="s">
        <v>49</v>
      </c>
      <c r="L1393" s="13">
        <v>0</v>
      </c>
      <c r="M1393" s="9" t="s">
        <v>34</v>
      </c>
    </row>
    <row r="1394" spans="1:13" ht="20.25" customHeight="1" x14ac:dyDescent="0.25">
      <c r="A1394" s="9" t="s">
        <v>2442</v>
      </c>
      <c r="B1394" s="10">
        <v>46017</v>
      </c>
      <c r="C1394" s="9" t="s">
        <v>36</v>
      </c>
      <c r="D1394" s="9" t="s">
        <v>29</v>
      </c>
      <c r="E1394" s="11" t="s">
        <v>58</v>
      </c>
      <c r="F1394" s="11" t="s">
        <v>59</v>
      </c>
      <c r="G1394" s="3">
        <v>144.46</v>
      </c>
      <c r="H1394" s="3">
        <v>86.67</v>
      </c>
      <c r="I1394" s="12">
        <v>1</v>
      </c>
      <c r="J1394" s="9" t="s">
        <v>2443</v>
      </c>
      <c r="K1394" s="9" t="s">
        <v>49</v>
      </c>
      <c r="L1394" s="13">
        <v>0</v>
      </c>
      <c r="M1394" s="9" t="s">
        <v>34</v>
      </c>
    </row>
    <row r="1395" spans="1:13" ht="20.25" customHeight="1" x14ac:dyDescent="0.25">
      <c r="A1395" s="9" t="s">
        <v>2444</v>
      </c>
      <c r="B1395" s="10">
        <v>46017</v>
      </c>
      <c r="C1395" s="9" t="s">
        <v>28</v>
      </c>
      <c r="D1395" s="9" t="s">
        <v>29</v>
      </c>
      <c r="E1395" s="11" t="s">
        <v>30</v>
      </c>
      <c r="F1395" s="11" t="s">
        <v>63</v>
      </c>
      <c r="G1395" s="3">
        <v>2311.3000000000002</v>
      </c>
      <c r="H1395" s="3">
        <v>1637.17</v>
      </c>
      <c r="I1395" s="12">
        <v>2</v>
      </c>
      <c r="J1395" s="9" t="s">
        <v>1185</v>
      </c>
      <c r="K1395" s="9" t="s">
        <v>49</v>
      </c>
      <c r="L1395" s="13">
        <v>0</v>
      </c>
      <c r="M1395" s="9" t="s">
        <v>34</v>
      </c>
    </row>
    <row r="1396" spans="1:13" ht="20.25" customHeight="1" x14ac:dyDescent="0.25">
      <c r="A1396" s="9" t="s">
        <v>2445</v>
      </c>
      <c r="B1396" s="10">
        <v>46019</v>
      </c>
      <c r="C1396" s="9" t="s">
        <v>28</v>
      </c>
      <c r="D1396" s="9" t="s">
        <v>42</v>
      </c>
      <c r="E1396" s="11" t="s">
        <v>37</v>
      </c>
      <c r="F1396" s="11" t="s">
        <v>72</v>
      </c>
      <c r="G1396" s="3">
        <v>423.74</v>
      </c>
      <c r="H1396" s="3">
        <v>250.39</v>
      </c>
      <c r="I1396" s="12">
        <v>2</v>
      </c>
      <c r="J1396" s="9" t="s">
        <v>2239</v>
      </c>
      <c r="K1396" s="9" t="s">
        <v>49</v>
      </c>
      <c r="L1396" s="13">
        <v>0</v>
      </c>
      <c r="M1396" s="9" t="s">
        <v>34</v>
      </c>
    </row>
    <row r="1397" spans="1:13" ht="20.25" customHeight="1" x14ac:dyDescent="0.25">
      <c r="A1397" s="9" t="s">
        <v>2446</v>
      </c>
      <c r="B1397" s="10">
        <v>46020</v>
      </c>
      <c r="C1397" s="9" t="s">
        <v>71</v>
      </c>
      <c r="D1397" s="9" t="s">
        <v>51</v>
      </c>
      <c r="E1397" s="11" t="s">
        <v>58</v>
      </c>
      <c r="F1397" s="11" t="s">
        <v>59</v>
      </c>
      <c r="G1397" s="3">
        <v>144.46</v>
      </c>
      <c r="H1397" s="3">
        <v>86.67</v>
      </c>
      <c r="I1397" s="12">
        <v>1</v>
      </c>
      <c r="J1397" s="9" t="s">
        <v>2447</v>
      </c>
      <c r="K1397" s="9" t="s">
        <v>49</v>
      </c>
      <c r="L1397" s="13">
        <v>0</v>
      </c>
      <c r="M1397" s="9" t="s">
        <v>34</v>
      </c>
    </row>
    <row r="1398" spans="1:13" ht="20.25" customHeight="1" x14ac:dyDescent="0.25">
      <c r="A1398" s="9" t="s">
        <v>2448</v>
      </c>
      <c r="B1398" s="10">
        <v>46020</v>
      </c>
      <c r="C1398" s="9" t="s">
        <v>62</v>
      </c>
      <c r="D1398" s="9" t="s">
        <v>51</v>
      </c>
      <c r="E1398" s="11" t="s">
        <v>37</v>
      </c>
      <c r="F1398" s="11" t="s">
        <v>55</v>
      </c>
      <c r="G1398" s="3">
        <v>86.67</v>
      </c>
      <c r="H1398" s="3">
        <v>52.97</v>
      </c>
      <c r="I1398" s="12">
        <v>1</v>
      </c>
      <c r="J1398" s="9" t="s">
        <v>1799</v>
      </c>
      <c r="K1398" s="9" t="s">
        <v>49</v>
      </c>
      <c r="L1398" s="13">
        <v>0</v>
      </c>
      <c r="M1398" s="9" t="s">
        <v>34</v>
      </c>
    </row>
    <row r="1399" spans="1:13" ht="20.25" customHeight="1" x14ac:dyDescent="0.25">
      <c r="A1399" s="9" t="s">
        <v>2449</v>
      </c>
      <c r="B1399" s="10">
        <v>46020</v>
      </c>
      <c r="C1399" s="9" t="s">
        <v>36</v>
      </c>
      <c r="D1399" s="9" t="s">
        <v>29</v>
      </c>
      <c r="E1399" s="11" t="s">
        <v>30</v>
      </c>
      <c r="F1399" s="11" t="s">
        <v>80</v>
      </c>
      <c r="G1399" s="3">
        <v>2455.7600000000002</v>
      </c>
      <c r="H1399" s="3">
        <v>1733.48</v>
      </c>
      <c r="I1399" s="12">
        <v>3</v>
      </c>
      <c r="J1399" s="9" t="s">
        <v>718</v>
      </c>
      <c r="K1399" s="9" t="s">
        <v>49</v>
      </c>
      <c r="L1399" s="13">
        <v>0</v>
      </c>
      <c r="M1399" s="9" t="s">
        <v>34</v>
      </c>
    </row>
    <row r="1400" spans="1:13" ht="20.25" customHeight="1" x14ac:dyDescent="0.25">
      <c r="A1400" s="9" t="s">
        <v>2450</v>
      </c>
      <c r="B1400" s="10">
        <v>46020</v>
      </c>
      <c r="C1400" s="9" t="s">
        <v>41</v>
      </c>
      <c r="D1400" s="9" t="s">
        <v>51</v>
      </c>
      <c r="E1400" s="11" t="s">
        <v>58</v>
      </c>
      <c r="F1400" s="11" t="s">
        <v>68</v>
      </c>
      <c r="G1400" s="3">
        <v>674.13</v>
      </c>
      <c r="H1400" s="3">
        <v>423.74</v>
      </c>
      <c r="I1400" s="12">
        <v>2</v>
      </c>
      <c r="J1400" s="9" t="s">
        <v>2451</v>
      </c>
      <c r="K1400" s="9" t="s">
        <v>49</v>
      </c>
      <c r="L1400" s="13">
        <v>0</v>
      </c>
      <c r="M1400" s="9" t="s">
        <v>34</v>
      </c>
    </row>
    <row r="1401" spans="1:13" ht="20.25" customHeight="1" x14ac:dyDescent="0.25">
      <c r="A1401" s="9" t="s">
        <v>2452</v>
      </c>
      <c r="B1401" s="10">
        <v>46022</v>
      </c>
      <c r="C1401" s="9" t="s">
        <v>41</v>
      </c>
      <c r="D1401" s="9" t="s">
        <v>29</v>
      </c>
      <c r="E1401" s="11" t="s">
        <v>58</v>
      </c>
      <c r="F1401" s="11" t="s">
        <v>68</v>
      </c>
      <c r="G1401" s="3">
        <v>337.06</v>
      </c>
      <c r="H1401" s="3">
        <v>211.87</v>
      </c>
      <c r="I1401" s="12">
        <v>1</v>
      </c>
      <c r="J1401" s="9" t="s">
        <v>2453</v>
      </c>
      <c r="K1401" s="9" t="s">
        <v>49</v>
      </c>
      <c r="L1401" s="13">
        <v>0</v>
      </c>
      <c r="M1401" s="9" t="s">
        <v>34</v>
      </c>
    </row>
    <row r="1402" spans="1:13" ht="20.25" customHeight="1" x14ac:dyDescent="0.25">
      <c r="A1402" s="9" t="s">
        <v>2454</v>
      </c>
      <c r="B1402" s="10">
        <v>46023</v>
      </c>
      <c r="C1402" s="9" t="s">
        <v>62</v>
      </c>
      <c r="D1402" s="9" t="s">
        <v>29</v>
      </c>
      <c r="E1402" s="11" t="s">
        <v>30</v>
      </c>
      <c r="F1402" s="11" t="s">
        <v>80</v>
      </c>
      <c r="G1402" s="3">
        <v>818.59</v>
      </c>
      <c r="H1402" s="3">
        <v>577.83000000000004</v>
      </c>
      <c r="I1402" s="12">
        <v>1</v>
      </c>
      <c r="J1402" s="9" t="s">
        <v>1986</v>
      </c>
      <c r="K1402" s="9" t="s">
        <v>33</v>
      </c>
      <c r="L1402" s="13">
        <v>1</v>
      </c>
      <c r="M1402" s="9" t="s">
        <v>34</v>
      </c>
    </row>
    <row r="1403" spans="1:13" ht="20.25" customHeight="1" x14ac:dyDescent="0.25">
      <c r="A1403" s="9" t="s">
        <v>2455</v>
      </c>
      <c r="B1403" s="10">
        <v>46024</v>
      </c>
      <c r="C1403" s="9" t="s">
        <v>54</v>
      </c>
      <c r="D1403" s="9" t="s">
        <v>51</v>
      </c>
      <c r="E1403" s="11" t="s">
        <v>58</v>
      </c>
      <c r="F1403" s="11" t="s">
        <v>68</v>
      </c>
      <c r="G1403" s="3">
        <v>674.13</v>
      </c>
      <c r="H1403" s="3">
        <v>423.74</v>
      </c>
      <c r="I1403" s="12">
        <v>2</v>
      </c>
      <c r="J1403" s="9" t="s">
        <v>2456</v>
      </c>
      <c r="K1403" s="9" t="s">
        <v>49</v>
      </c>
      <c r="L1403" s="13">
        <v>0</v>
      </c>
      <c r="M1403" s="9" t="s">
        <v>34</v>
      </c>
    </row>
    <row r="1404" spans="1:13" ht="20.25" customHeight="1" x14ac:dyDescent="0.25">
      <c r="A1404" s="9" t="s">
        <v>2457</v>
      </c>
      <c r="B1404" s="10">
        <v>46024</v>
      </c>
      <c r="C1404" s="9" t="s">
        <v>71</v>
      </c>
      <c r="D1404" s="9" t="s">
        <v>29</v>
      </c>
      <c r="E1404" s="11" t="s">
        <v>43</v>
      </c>
      <c r="F1404" s="11" t="s">
        <v>90</v>
      </c>
      <c r="G1404" s="3">
        <v>144.46</v>
      </c>
      <c r="H1404" s="3">
        <v>86.67</v>
      </c>
      <c r="I1404" s="12">
        <v>1</v>
      </c>
      <c r="J1404" s="9" t="s">
        <v>95</v>
      </c>
      <c r="K1404" s="9" t="s">
        <v>49</v>
      </c>
      <c r="L1404" s="13">
        <v>0</v>
      </c>
      <c r="M1404" s="9" t="s">
        <v>34</v>
      </c>
    </row>
    <row r="1405" spans="1:13" ht="20.25" customHeight="1" x14ac:dyDescent="0.25">
      <c r="A1405" s="9" t="s">
        <v>2458</v>
      </c>
      <c r="B1405" s="10">
        <v>46025</v>
      </c>
      <c r="C1405" s="9" t="s">
        <v>41</v>
      </c>
      <c r="D1405" s="9" t="s">
        <v>42</v>
      </c>
      <c r="E1405" s="11" t="s">
        <v>43</v>
      </c>
      <c r="F1405" s="11" t="s">
        <v>44</v>
      </c>
      <c r="G1405" s="3">
        <v>-43.34</v>
      </c>
      <c r="H1405" s="3">
        <v>-19.260000000000002</v>
      </c>
      <c r="I1405" s="12">
        <v>-1</v>
      </c>
      <c r="J1405" s="9" t="s">
        <v>2459</v>
      </c>
      <c r="K1405" s="9" t="s">
        <v>33</v>
      </c>
      <c r="L1405" s="13">
        <v>1</v>
      </c>
      <c r="M1405" s="9" t="s">
        <v>76</v>
      </c>
    </row>
    <row r="1406" spans="1:13" ht="20.25" customHeight="1" x14ac:dyDescent="0.25">
      <c r="A1406" s="9" t="s">
        <v>2460</v>
      </c>
      <c r="B1406" s="10">
        <v>46025</v>
      </c>
      <c r="C1406" s="9" t="s">
        <v>54</v>
      </c>
      <c r="D1406" s="9" t="s">
        <v>29</v>
      </c>
      <c r="E1406" s="11" t="s">
        <v>58</v>
      </c>
      <c r="F1406" s="11" t="s">
        <v>87</v>
      </c>
      <c r="G1406" s="3">
        <v>173.35</v>
      </c>
      <c r="H1406" s="3">
        <v>105.93</v>
      </c>
      <c r="I1406" s="12">
        <v>1</v>
      </c>
      <c r="J1406" s="9" t="s">
        <v>2461</v>
      </c>
      <c r="K1406" s="9" t="s">
        <v>49</v>
      </c>
      <c r="L1406" s="13">
        <v>0</v>
      </c>
      <c r="M1406" s="9" t="s">
        <v>34</v>
      </c>
    </row>
    <row r="1407" spans="1:13" ht="20.25" customHeight="1" x14ac:dyDescent="0.25">
      <c r="A1407" s="9" t="s">
        <v>2462</v>
      </c>
      <c r="B1407" s="10">
        <v>46025</v>
      </c>
      <c r="C1407" s="9" t="s">
        <v>36</v>
      </c>
      <c r="D1407" s="9" t="s">
        <v>51</v>
      </c>
      <c r="E1407" s="11" t="s">
        <v>58</v>
      </c>
      <c r="F1407" s="11" t="s">
        <v>87</v>
      </c>
      <c r="G1407" s="3">
        <v>520.04</v>
      </c>
      <c r="H1407" s="3">
        <v>317.8</v>
      </c>
      <c r="I1407" s="12">
        <v>3</v>
      </c>
      <c r="J1407" s="9" t="s">
        <v>310</v>
      </c>
      <c r="K1407" s="9" t="s">
        <v>49</v>
      </c>
      <c r="L1407" s="13">
        <v>0</v>
      </c>
      <c r="M1407" s="9" t="s">
        <v>34</v>
      </c>
    </row>
    <row r="1408" spans="1:13" ht="20.25" customHeight="1" x14ac:dyDescent="0.25">
      <c r="A1408" s="9" t="s">
        <v>2463</v>
      </c>
      <c r="B1408" s="10">
        <v>46025</v>
      </c>
      <c r="C1408" s="9" t="s">
        <v>36</v>
      </c>
      <c r="D1408" s="9" t="s">
        <v>29</v>
      </c>
      <c r="E1408" s="11" t="s">
        <v>30</v>
      </c>
      <c r="F1408" s="11" t="s">
        <v>31</v>
      </c>
      <c r="G1408" s="3">
        <v>1251.95</v>
      </c>
      <c r="H1408" s="3">
        <v>866.74</v>
      </c>
      <c r="I1408" s="12">
        <v>2</v>
      </c>
      <c r="J1408" s="9" t="s">
        <v>2242</v>
      </c>
      <c r="K1408" s="9" t="s">
        <v>49</v>
      </c>
      <c r="L1408" s="13">
        <v>0</v>
      </c>
      <c r="M1408" s="9" t="s">
        <v>34</v>
      </c>
    </row>
    <row r="1409" spans="1:13" ht="20.25" customHeight="1" x14ac:dyDescent="0.25">
      <c r="A1409" s="9" t="s">
        <v>2464</v>
      </c>
      <c r="B1409" s="10">
        <v>46026</v>
      </c>
      <c r="C1409" s="9" t="s">
        <v>28</v>
      </c>
      <c r="D1409" s="9" t="s">
        <v>51</v>
      </c>
      <c r="E1409" s="11" t="s">
        <v>43</v>
      </c>
      <c r="F1409" s="11" t="s">
        <v>47</v>
      </c>
      <c r="G1409" s="3">
        <v>529.66999999999996</v>
      </c>
      <c r="H1409" s="3">
        <v>312.99</v>
      </c>
      <c r="I1409" s="12">
        <v>5</v>
      </c>
      <c r="J1409" s="9" t="s">
        <v>1107</v>
      </c>
      <c r="K1409" s="9" t="s">
        <v>49</v>
      </c>
      <c r="L1409" s="13">
        <v>0</v>
      </c>
      <c r="M1409" s="9" t="s">
        <v>34</v>
      </c>
    </row>
    <row r="1410" spans="1:13" ht="20.25" customHeight="1" x14ac:dyDescent="0.25">
      <c r="A1410" s="9" t="s">
        <v>2465</v>
      </c>
      <c r="B1410" s="10">
        <v>46026</v>
      </c>
      <c r="C1410" s="9" t="s">
        <v>54</v>
      </c>
      <c r="D1410" s="9" t="s">
        <v>29</v>
      </c>
      <c r="E1410" s="11" t="s">
        <v>30</v>
      </c>
      <c r="F1410" s="11" t="s">
        <v>80</v>
      </c>
      <c r="G1410" s="3">
        <v>-1637.17</v>
      </c>
      <c r="H1410" s="3">
        <v>-1155.6500000000001</v>
      </c>
      <c r="I1410" s="12">
        <v>-2</v>
      </c>
      <c r="J1410" s="9" t="s">
        <v>2466</v>
      </c>
      <c r="K1410" s="9" t="s">
        <v>49</v>
      </c>
      <c r="L1410" s="13">
        <v>0</v>
      </c>
      <c r="M1410" s="9" t="s">
        <v>76</v>
      </c>
    </row>
    <row r="1411" spans="1:13" ht="20.25" customHeight="1" x14ac:dyDescent="0.25">
      <c r="A1411" s="9" t="s">
        <v>2467</v>
      </c>
      <c r="B1411" s="10">
        <v>46027</v>
      </c>
      <c r="C1411" s="9" t="s">
        <v>54</v>
      </c>
      <c r="D1411" s="9" t="s">
        <v>29</v>
      </c>
      <c r="E1411" s="11" t="s">
        <v>43</v>
      </c>
      <c r="F1411" s="11" t="s">
        <v>47</v>
      </c>
      <c r="G1411" s="3">
        <v>317.8</v>
      </c>
      <c r="H1411" s="3">
        <v>187.79</v>
      </c>
      <c r="I1411" s="12">
        <v>3</v>
      </c>
      <c r="J1411" s="9" t="s">
        <v>527</v>
      </c>
      <c r="K1411" s="9" t="s">
        <v>49</v>
      </c>
      <c r="L1411" s="13">
        <v>0</v>
      </c>
      <c r="M1411" s="9" t="s">
        <v>34</v>
      </c>
    </row>
    <row r="1412" spans="1:13" ht="20.25" customHeight="1" x14ac:dyDescent="0.25">
      <c r="A1412" s="9" t="s">
        <v>2468</v>
      </c>
      <c r="B1412" s="10">
        <v>46027</v>
      </c>
      <c r="C1412" s="9" t="s">
        <v>28</v>
      </c>
      <c r="D1412" s="9" t="s">
        <v>42</v>
      </c>
      <c r="E1412" s="11" t="s">
        <v>58</v>
      </c>
      <c r="F1412" s="11" t="s">
        <v>68</v>
      </c>
      <c r="G1412" s="3">
        <v>337.06</v>
      </c>
      <c r="H1412" s="3">
        <v>211.87</v>
      </c>
      <c r="I1412" s="12">
        <v>1</v>
      </c>
      <c r="J1412" s="9" t="s">
        <v>1725</v>
      </c>
      <c r="K1412" s="9" t="s">
        <v>49</v>
      </c>
      <c r="L1412" s="13">
        <v>0</v>
      </c>
      <c r="M1412" s="9" t="s">
        <v>34</v>
      </c>
    </row>
    <row r="1413" spans="1:13" ht="20.25" customHeight="1" x14ac:dyDescent="0.25">
      <c r="A1413" s="9" t="s">
        <v>2469</v>
      </c>
      <c r="B1413" s="10">
        <v>46028</v>
      </c>
      <c r="C1413" s="9" t="s">
        <v>71</v>
      </c>
      <c r="D1413" s="9" t="s">
        <v>29</v>
      </c>
      <c r="E1413" s="11" t="s">
        <v>58</v>
      </c>
      <c r="F1413" s="11" t="s">
        <v>68</v>
      </c>
      <c r="G1413" s="3">
        <v>674.13</v>
      </c>
      <c r="H1413" s="3">
        <v>423.74</v>
      </c>
      <c r="I1413" s="12">
        <v>2</v>
      </c>
      <c r="J1413" s="9" t="s">
        <v>2470</v>
      </c>
      <c r="K1413" s="9" t="s">
        <v>49</v>
      </c>
      <c r="L1413" s="13">
        <v>0</v>
      </c>
      <c r="M1413" s="9" t="s">
        <v>34</v>
      </c>
    </row>
    <row r="1414" spans="1:13" ht="20.25" customHeight="1" x14ac:dyDescent="0.25">
      <c r="A1414" s="9" t="s">
        <v>2471</v>
      </c>
      <c r="B1414" s="10">
        <v>46028</v>
      </c>
      <c r="C1414" s="9" t="s">
        <v>36</v>
      </c>
      <c r="D1414" s="9" t="s">
        <v>42</v>
      </c>
      <c r="E1414" s="11" t="s">
        <v>43</v>
      </c>
      <c r="F1414" s="11" t="s">
        <v>47</v>
      </c>
      <c r="G1414" s="3">
        <v>105.93</v>
      </c>
      <c r="H1414" s="3">
        <v>62.6</v>
      </c>
      <c r="I1414" s="12">
        <v>1</v>
      </c>
      <c r="J1414" s="9" t="s">
        <v>2472</v>
      </c>
      <c r="K1414" s="9" t="s">
        <v>49</v>
      </c>
      <c r="L1414" s="13">
        <v>0</v>
      </c>
      <c r="M1414" s="9" t="s">
        <v>34</v>
      </c>
    </row>
    <row r="1415" spans="1:13" ht="20.25" customHeight="1" x14ac:dyDescent="0.25">
      <c r="A1415" s="9" t="s">
        <v>2473</v>
      </c>
      <c r="B1415" s="10">
        <v>46028</v>
      </c>
      <c r="C1415" s="9" t="s">
        <v>28</v>
      </c>
      <c r="D1415" s="9" t="s">
        <v>42</v>
      </c>
      <c r="E1415" s="11" t="s">
        <v>30</v>
      </c>
      <c r="F1415" s="11" t="s">
        <v>31</v>
      </c>
      <c r="G1415" s="3">
        <v>1251.95</v>
      </c>
      <c r="H1415" s="3">
        <v>866.74</v>
      </c>
      <c r="I1415" s="12">
        <v>2</v>
      </c>
      <c r="J1415" s="9" t="s">
        <v>2474</v>
      </c>
      <c r="K1415" s="9" t="s">
        <v>33</v>
      </c>
      <c r="L1415" s="13">
        <v>1</v>
      </c>
      <c r="M1415" s="9" t="s">
        <v>34</v>
      </c>
    </row>
    <row r="1416" spans="1:13" ht="20.25" customHeight="1" x14ac:dyDescent="0.25">
      <c r="A1416" s="9" t="s">
        <v>2475</v>
      </c>
      <c r="B1416" s="10">
        <v>46029</v>
      </c>
      <c r="C1416" s="9" t="s">
        <v>62</v>
      </c>
      <c r="D1416" s="9" t="s">
        <v>29</v>
      </c>
      <c r="E1416" s="11" t="s">
        <v>37</v>
      </c>
      <c r="F1416" s="11" t="s">
        <v>55</v>
      </c>
      <c r="G1416" s="3">
        <v>86.67</v>
      </c>
      <c r="H1416" s="3">
        <v>52.97</v>
      </c>
      <c r="I1416" s="12">
        <v>1</v>
      </c>
      <c r="J1416" s="9" t="s">
        <v>2476</v>
      </c>
      <c r="K1416" s="9" t="s">
        <v>33</v>
      </c>
      <c r="L1416" s="13">
        <v>1</v>
      </c>
      <c r="M1416" s="9" t="s">
        <v>34</v>
      </c>
    </row>
    <row r="1417" spans="1:13" ht="20.25" customHeight="1" x14ac:dyDescent="0.25">
      <c r="A1417" s="9" t="s">
        <v>2477</v>
      </c>
      <c r="B1417" s="10">
        <v>46029</v>
      </c>
      <c r="C1417" s="9" t="s">
        <v>28</v>
      </c>
      <c r="D1417" s="9" t="s">
        <v>29</v>
      </c>
      <c r="E1417" s="11" t="s">
        <v>58</v>
      </c>
      <c r="F1417" s="11" t="s">
        <v>59</v>
      </c>
      <c r="G1417" s="3">
        <v>144.46</v>
      </c>
      <c r="H1417" s="3">
        <v>86.67</v>
      </c>
      <c r="I1417" s="12">
        <v>1</v>
      </c>
      <c r="J1417" s="9" t="s">
        <v>2478</v>
      </c>
      <c r="K1417" s="9" t="s">
        <v>49</v>
      </c>
      <c r="L1417" s="13">
        <v>0</v>
      </c>
      <c r="M1417" s="9" t="s">
        <v>34</v>
      </c>
    </row>
    <row r="1418" spans="1:13" ht="20.25" customHeight="1" x14ac:dyDescent="0.25">
      <c r="A1418" s="9" t="s">
        <v>2479</v>
      </c>
      <c r="B1418" s="10">
        <v>46029</v>
      </c>
      <c r="C1418" s="9" t="s">
        <v>28</v>
      </c>
      <c r="D1418" s="9" t="s">
        <v>51</v>
      </c>
      <c r="E1418" s="11" t="s">
        <v>30</v>
      </c>
      <c r="F1418" s="11" t="s">
        <v>80</v>
      </c>
      <c r="G1418" s="3">
        <v>2455.7600000000002</v>
      </c>
      <c r="H1418" s="3">
        <v>1733.48</v>
      </c>
      <c r="I1418" s="12">
        <v>3</v>
      </c>
      <c r="J1418" s="9" t="s">
        <v>2480</v>
      </c>
      <c r="K1418" s="9" t="s">
        <v>49</v>
      </c>
      <c r="L1418" s="13">
        <v>0</v>
      </c>
      <c r="M1418" s="9" t="s">
        <v>34</v>
      </c>
    </row>
    <row r="1419" spans="1:13" ht="20.25" customHeight="1" x14ac:dyDescent="0.25">
      <c r="A1419" s="9" t="s">
        <v>2481</v>
      </c>
      <c r="B1419" s="10">
        <v>46030</v>
      </c>
      <c r="C1419" s="9" t="s">
        <v>71</v>
      </c>
      <c r="D1419" s="9" t="s">
        <v>42</v>
      </c>
      <c r="E1419" s="11" t="s">
        <v>58</v>
      </c>
      <c r="F1419" s="11" t="s">
        <v>68</v>
      </c>
      <c r="G1419" s="3">
        <v>1011.19</v>
      </c>
      <c r="H1419" s="3">
        <v>635.61</v>
      </c>
      <c r="I1419" s="12">
        <v>3</v>
      </c>
      <c r="J1419" s="9" t="s">
        <v>2482</v>
      </c>
      <c r="K1419" s="9" t="s">
        <v>33</v>
      </c>
      <c r="L1419" s="13">
        <v>1</v>
      </c>
      <c r="M1419" s="9" t="s">
        <v>34</v>
      </c>
    </row>
    <row r="1420" spans="1:13" ht="20.25" customHeight="1" x14ac:dyDescent="0.25">
      <c r="A1420" s="9" t="s">
        <v>2483</v>
      </c>
      <c r="B1420" s="10">
        <v>46030</v>
      </c>
      <c r="C1420" s="9" t="s">
        <v>41</v>
      </c>
      <c r="D1420" s="9" t="s">
        <v>42</v>
      </c>
      <c r="E1420" s="11" t="s">
        <v>37</v>
      </c>
      <c r="F1420" s="11" t="s">
        <v>72</v>
      </c>
      <c r="G1420" s="3">
        <v>211.87</v>
      </c>
      <c r="H1420" s="3">
        <v>125.2</v>
      </c>
      <c r="I1420" s="12">
        <v>1</v>
      </c>
      <c r="J1420" s="9" t="s">
        <v>2484</v>
      </c>
      <c r="K1420" s="9" t="s">
        <v>49</v>
      </c>
      <c r="L1420" s="13">
        <v>0</v>
      </c>
      <c r="M1420" s="9" t="s">
        <v>34</v>
      </c>
    </row>
    <row r="1421" spans="1:13" ht="20.25" customHeight="1" x14ac:dyDescent="0.25">
      <c r="A1421" s="9" t="s">
        <v>2485</v>
      </c>
      <c r="B1421" s="10">
        <v>46030</v>
      </c>
      <c r="C1421" s="9" t="s">
        <v>28</v>
      </c>
      <c r="D1421" s="9" t="s">
        <v>51</v>
      </c>
      <c r="E1421" s="11" t="s">
        <v>37</v>
      </c>
      <c r="F1421" s="11" t="s">
        <v>38</v>
      </c>
      <c r="G1421" s="3">
        <v>231.13</v>
      </c>
      <c r="H1421" s="3">
        <v>134.83000000000001</v>
      </c>
      <c r="I1421" s="12">
        <v>2</v>
      </c>
      <c r="J1421" s="9" t="s">
        <v>1127</v>
      </c>
      <c r="K1421" s="9" t="s">
        <v>49</v>
      </c>
      <c r="L1421" s="13">
        <v>0</v>
      </c>
      <c r="M1421" s="9" t="s">
        <v>34</v>
      </c>
    </row>
    <row r="1422" spans="1:13" ht="20.25" customHeight="1" x14ac:dyDescent="0.25">
      <c r="A1422" s="9" t="s">
        <v>2486</v>
      </c>
      <c r="B1422" s="10">
        <v>46030</v>
      </c>
      <c r="C1422" s="9" t="s">
        <v>41</v>
      </c>
      <c r="D1422" s="9" t="s">
        <v>51</v>
      </c>
      <c r="E1422" s="11" t="s">
        <v>30</v>
      </c>
      <c r="F1422" s="11" t="s">
        <v>63</v>
      </c>
      <c r="G1422" s="3">
        <v>1155.6500000000001</v>
      </c>
      <c r="H1422" s="3">
        <v>818.59</v>
      </c>
      <c r="I1422" s="12">
        <v>1</v>
      </c>
      <c r="J1422" s="9" t="s">
        <v>167</v>
      </c>
      <c r="K1422" s="9" t="s">
        <v>49</v>
      </c>
      <c r="L1422" s="13">
        <v>0</v>
      </c>
      <c r="M1422" s="9" t="s">
        <v>34</v>
      </c>
    </row>
    <row r="1423" spans="1:13" ht="20.25" customHeight="1" x14ac:dyDescent="0.25">
      <c r="A1423" s="9" t="s">
        <v>2487</v>
      </c>
      <c r="B1423" s="10">
        <v>46030</v>
      </c>
      <c r="C1423" s="9" t="s">
        <v>71</v>
      </c>
      <c r="D1423" s="9" t="s">
        <v>29</v>
      </c>
      <c r="E1423" s="11" t="s">
        <v>43</v>
      </c>
      <c r="F1423" s="11" t="s">
        <v>47</v>
      </c>
      <c r="G1423" s="3">
        <v>105.93</v>
      </c>
      <c r="H1423" s="3">
        <v>62.6</v>
      </c>
      <c r="I1423" s="12">
        <v>1</v>
      </c>
      <c r="J1423" s="9" t="s">
        <v>2327</v>
      </c>
      <c r="K1423" s="9" t="s">
        <v>49</v>
      </c>
      <c r="L1423" s="13">
        <v>0</v>
      </c>
      <c r="M1423" s="9" t="s">
        <v>34</v>
      </c>
    </row>
    <row r="1424" spans="1:13" ht="20.25" customHeight="1" x14ac:dyDescent="0.25">
      <c r="A1424" s="9" t="s">
        <v>2488</v>
      </c>
      <c r="B1424" s="10">
        <v>46030</v>
      </c>
      <c r="C1424" s="9" t="s">
        <v>28</v>
      </c>
      <c r="D1424" s="9" t="s">
        <v>42</v>
      </c>
      <c r="E1424" s="11" t="s">
        <v>30</v>
      </c>
      <c r="F1424" s="11" t="s">
        <v>31</v>
      </c>
      <c r="G1424" s="3">
        <v>1251.95</v>
      </c>
      <c r="H1424" s="3">
        <v>866.74</v>
      </c>
      <c r="I1424" s="12">
        <v>2</v>
      </c>
      <c r="J1424" s="9" t="s">
        <v>2022</v>
      </c>
      <c r="K1424" s="9" t="s">
        <v>33</v>
      </c>
      <c r="L1424" s="13">
        <v>1</v>
      </c>
      <c r="M1424" s="9" t="s">
        <v>34</v>
      </c>
    </row>
    <row r="1425" spans="1:13" ht="20.25" customHeight="1" x14ac:dyDescent="0.25">
      <c r="A1425" s="9" t="s">
        <v>2489</v>
      </c>
      <c r="B1425" s="10">
        <v>46030</v>
      </c>
      <c r="C1425" s="9" t="s">
        <v>28</v>
      </c>
      <c r="D1425" s="9" t="s">
        <v>42</v>
      </c>
      <c r="E1425" s="11" t="s">
        <v>30</v>
      </c>
      <c r="F1425" s="11" t="s">
        <v>63</v>
      </c>
      <c r="G1425" s="3">
        <v>1155.6500000000001</v>
      </c>
      <c r="H1425" s="3">
        <v>818.59</v>
      </c>
      <c r="I1425" s="12">
        <v>1</v>
      </c>
      <c r="J1425" s="9" t="s">
        <v>2490</v>
      </c>
      <c r="K1425" s="9" t="s">
        <v>49</v>
      </c>
      <c r="L1425" s="13">
        <v>0</v>
      </c>
      <c r="M1425" s="9" t="s">
        <v>34</v>
      </c>
    </row>
    <row r="1426" spans="1:13" ht="20.25" customHeight="1" x14ac:dyDescent="0.25">
      <c r="A1426" s="9" t="s">
        <v>2491</v>
      </c>
      <c r="B1426" s="10">
        <v>46031</v>
      </c>
      <c r="C1426" s="9" t="s">
        <v>71</v>
      </c>
      <c r="D1426" s="9" t="s">
        <v>29</v>
      </c>
      <c r="E1426" s="11" t="s">
        <v>30</v>
      </c>
      <c r="F1426" s="11" t="s">
        <v>63</v>
      </c>
      <c r="G1426" s="3">
        <v>3466.95</v>
      </c>
      <c r="H1426" s="3">
        <v>2455.7600000000002</v>
      </c>
      <c r="I1426" s="12">
        <v>3</v>
      </c>
      <c r="J1426" s="9" t="s">
        <v>1107</v>
      </c>
      <c r="K1426" s="9" t="s">
        <v>49</v>
      </c>
      <c r="L1426" s="13">
        <v>0</v>
      </c>
      <c r="M1426" s="9" t="s">
        <v>34</v>
      </c>
    </row>
    <row r="1427" spans="1:13" ht="20.25" customHeight="1" x14ac:dyDescent="0.25">
      <c r="A1427" s="9" t="s">
        <v>2492</v>
      </c>
      <c r="B1427" s="10">
        <v>46031</v>
      </c>
      <c r="C1427" s="9" t="s">
        <v>28</v>
      </c>
      <c r="D1427" s="9" t="s">
        <v>29</v>
      </c>
      <c r="E1427" s="11" t="s">
        <v>30</v>
      </c>
      <c r="F1427" s="11" t="s">
        <v>80</v>
      </c>
      <c r="G1427" s="3">
        <v>818.59</v>
      </c>
      <c r="H1427" s="3">
        <v>577.83000000000004</v>
      </c>
      <c r="I1427" s="12">
        <v>1</v>
      </c>
      <c r="J1427" s="9" t="s">
        <v>2039</v>
      </c>
      <c r="K1427" s="9" t="s">
        <v>49</v>
      </c>
      <c r="L1427" s="13">
        <v>0</v>
      </c>
      <c r="M1427" s="9" t="s">
        <v>34</v>
      </c>
    </row>
    <row r="1428" spans="1:13" ht="20.25" customHeight="1" x14ac:dyDescent="0.25">
      <c r="A1428" s="9" t="s">
        <v>2493</v>
      </c>
      <c r="B1428" s="10">
        <v>46031</v>
      </c>
      <c r="C1428" s="9" t="s">
        <v>62</v>
      </c>
      <c r="D1428" s="9" t="s">
        <v>29</v>
      </c>
      <c r="E1428" s="11" t="s">
        <v>30</v>
      </c>
      <c r="F1428" s="11" t="s">
        <v>31</v>
      </c>
      <c r="G1428" s="3">
        <v>1251.95</v>
      </c>
      <c r="H1428" s="3">
        <v>866.74</v>
      </c>
      <c r="I1428" s="12">
        <v>2</v>
      </c>
      <c r="J1428" s="9" t="s">
        <v>2494</v>
      </c>
      <c r="K1428" s="9" t="s">
        <v>33</v>
      </c>
      <c r="L1428" s="13">
        <v>1</v>
      </c>
      <c r="M1428" s="9" t="s">
        <v>34</v>
      </c>
    </row>
    <row r="1429" spans="1:13" ht="20.25" customHeight="1" x14ac:dyDescent="0.25">
      <c r="A1429" s="9" t="s">
        <v>2495</v>
      </c>
      <c r="B1429" s="10">
        <v>46032</v>
      </c>
      <c r="C1429" s="9" t="s">
        <v>54</v>
      </c>
      <c r="D1429" s="9" t="s">
        <v>29</v>
      </c>
      <c r="E1429" s="11" t="s">
        <v>43</v>
      </c>
      <c r="F1429" s="11" t="s">
        <v>90</v>
      </c>
      <c r="G1429" s="3">
        <v>288.91000000000003</v>
      </c>
      <c r="H1429" s="3">
        <v>173.35</v>
      </c>
      <c r="I1429" s="12">
        <v>2</v>
      </c>
      <c r="J1429" s="9" t="s">
        <v>685</v>
      </c>
      <c r="K1429" s="9" t="s">
        <v>49</v>
      </c>
      <c r="L1429" s="13">
        <v>0</v>
      </c>
      <c r="M1429" s="9" t="s">
        <v>34</v>
      </c>
    </row>
    <row r="1430" spans="1:13" ht="20.25" customHeight="1" x14ac:dyDescent="0.25">
      <c r="A1430" s="9" t="s">
        <v>2496</v>
      </c>
      <c r="B1430" s="10">
        <v>46032</v>
      </c>
      <c r="C1430" s="9" t="s">
        <v>62</v>
      </c>
      <c r="D1430" s="9" t="s">
        <v>42</v>
      </c>
      <c r="E1430" s="11" t="s">
        <v>58</v>
      </c>
      <c r="F1430" s="11" t="s">
        <v>87</v>
      </c>
      <c r="G1430" s="3">
        <v>173.35</v>
      </c>
      <c r="H1430" s="3">
        <v>105.93</v>
      </c>
      <c r="I1430" s="12">
        <v>1</v>
      </c>
      <c r="J1430" s="9" t="s">
        <v>322</v>
      </c>
      <c r="K1430" s="9" t="s">
        <v>49</v>
      </c>
      <c r="L1430" s="13">
        <v>0</v>
      </c>
      <c r="M1430" s="9" t="s">
        <v>34</v>
      </c>
    </row>
    <row r="1431" spans="1:13" ht="20.25" customHeight="1" x14ac:dyDescent="0.25">
      <c r="A1431" s="9" t="s">
        <v>2497</v>
      </c>
      <c r="B1431" s="10">
        <v>46032</v>
      </c>
      <c r="C1431" s="9" t="s">
        <v>28</v>
      </c>
      <c r="D1431" s="9" t="s">
        <v>29</v>
      </c>
      <c r="E1431" s="11" t="s">
        <v>30</v>
      </c>
      <c r="F1431" s="11" t="s">
        <v>80</v>
      </c>
      <c r="G1431" s="3">
        <v>818.59</v>
      </c>
      <c r="H1431" s="3">
        <v>577.83000000000004</v>
      </c>
      <c r="I1431" s="12">
        <v>1</v>
      </c>
      <c r="J1431" s="9" t="s">
        <v>1737</v>
      </c>
      <c r="K1431" s="9" t="s">
        <v>49</v>
      </c>
      <c r="L1431" s="13">
        <v>0</v>
      </c>
      <c r="M1431" s="9" t="s">
        <v>34</v>
      </c>
    </row>
    <row r="1432" spans="1:13" ht="20.25" customHeight="1" x14ac:dyDescent="0.25">
      <c r="A1432" s="9" t="s">
        <v>2498</v>
      </c>
      <c r="B1432" s="10">
        <v>46032</v>
      </c>
      <c r="C1432" s="9" t="s">
        <v>62</v>
      </c>
      <c r="D1432" s="9" t="s">
        <v>29</v>
      </c>
      <c r="E1432" s="11" t="s">
        <v>30</v>
      </c>
      <c r="F1432" s="11" t="s">
        <v>63</v>
      </c>
      <c r="G1432" s="3">
        <v>2311.3000000000002</v>
      </c>
      <c r="H1432" s="3">
        <v>1637.17</v>
      </c>
      <c r="I1432" s="12">
        <v>2</v>
      </c>
      <c r="J1432" s="9" t="s">
        <v>2499</v>
      </c>
      <c r="K1432" s="9" t="s">
        <v>33</v>
      </c>
      <c r="L1432" s="13">
        <v>1</v>
      </c>
      <c r="M1432" s="9" t="s">
        <v>34</v>
      </c>
    </row>
    <row r="1433" spans="1:13" ht="20.25" customHeight="1" x14ac:dyDescent="0.25">
      <c r="A1433" s="9" t="s">
        <v>2500</v>
      </c>
      <c r="B1433" s="10">
        <v>46033</v>
      </c>
      <c r="C1433" s="9" t="s">
        <v>36</v>
      </c>
      <c r="D1433" s="9" t="s">
        <v>29</v>
      </c>
      <c r="E1433" s="11" t="s">
        <v>37</v>
      </c>
      <c r="F1433" s="11" t="s">
        <v>38</v>
      </c>
      <c r="G1433" s="3">
        <v>231.13</v>
      </c>
      <c r="H1433" s="3">
        <v>134.83000000000001</v>
      </c>
      <c r="I1433" s="12">
        <v>2</v>
      </c>
      <c r="J1433" s="9" t="s">
        <v>2501</v>
      </c>
      <c r="K1433" s="9" t="s">
        <v>49</v>
      </c>
      <c r="L1433" s="13">
        <v>0</v>
      </c>
      <c r="M1433" s="9" t="s">
        <v>34</v>
      </c>
    </row>
    <row r="1434" spans="1:13" ht="20.25" customHeight="1" x14ac:dyDescent="0.25">
      <c r="A1434" s="9" t="s">
        <v>2502</v>
      </c>
      <c r="B1434" s="10">
        <v>46033</v>
      </c>
      <c r="C1434" s="9" t="s">
        <v>36</v>
      </c>
      <c r="D1434" s="9" t="s">
        <v>42</v>
      </c>
      <c r="E1434" s="11" t="s">
        <v>43</v>
      </c>
      <c r="F1434" s="11" t="s">
        <v>44</v>
      </c>
      <c r="G1434" s="3">
        <v>43.34</v>
      </c>
      <c r="H1434" s="3">
        <v>19.260000000000002</v>
      </c>
      <c r="I1434" s="12">
        <v>1</v>
      </c>
      <c r="J1434" s="9" t="s">
        <v>1779</v>
      </c>
      <c r="K1434" s="9" t="s">
        <v>49</v>
      </c>
      <c r="L1434" s="13">
        <v>0</v>
      </c>
      <c r="M1434" s="9" t="s">
        <v>34</v>
      </c>
    </row>
    <row r="1435" spans="1:13" ht="20.25" customHeight="1" x14ac:dyDescent="0.25">
      <c r="A1435" s="9" t="s">
        <v>2503</v>
      </c>
      <c r="B1435" s="10">
        <v>46034</v>
      </c>
      <c r="C1435" s="9" t="s">
        <v>28</v>
      </c>
      <c r="D1435" s="9" t="s">
        <v>51</v>
      </c>
      <c r="E1435" s="11" t="s">
        <v>30</v>
      </c>
      <c r="F1435" s="11" t="s">
        <v>80</v>
      </c>
      <c r="G1435" s="3">
        <v>818.59</v>
      </c>
      <c r="H1435" s="3">
        <v>577.83000000000004</v>
      </c>
      <c r="I1435" s="12">
        <v>1</v>
      </c>
      <c r="J1435" s="9" t="s">
        <v>1547</v>
      </c>
      <c r="K1435" s="9" t="s">
        <v>33</v>
      </c>
      <c r="L1435" s="13">
        <v>1</v>
      </c>
      <c r="M1435" s="9" t="s">
        <v>34</v>
      </c>
    </row>
    <row r="1436" spans="1:13" ht="20.25" customHeight="1" x14ac:dyDescent="0.25">
      <c r="A1436" s="9" t="s">
        <v>2504</v>
      </c>
      <c r="B1436" s="10">
        <v>46034</v>
      </c>
      <c r="C1436" s="9" t="s">
        <v>28</v>
      </c>
      <c r="D1436" s="9" t="s">
        <v>29</v>
      </c>
      <c r="E1436" s="11" t="s">
        <v>30</v>
      </c>
      <c r="F1436" s="11" t="s">
        <v>31</v>
      </c>
      <c r="G1436" s="3">
        <v>625.98</v>
      </c>
      <c r="H1436" s="3">
        <v>433.37</v>
      </c>
      <c r="I1436" s="12">
        <v>1</v>
      </c>
      <c r="J1436" s="9" t="s">
        <v>2505</v>
      </c>
      <c r="K1436" s="9" t="s">
        <v>49</v>
      </c>
      <c r="L1436" s="13">
        <v>0</v>
      </c>
      <c r="M1436" s="9" t="s">
        <v>34</v>
      </c>
    </row>
    <row r="1437" spans="1:13" ht="20.25" customHeight="1" x14ac:dyDescent="0.25">
      <c r="A1437" s="9" t="s">
        <v>2506</v>
      </c>
      <c r="B1437" s="10">
        <v>46034</v>
      </c>
      <c r="C1437" s="9" t="s">
        <v>41</v>
      </c>
      <c r="D1437" s="9" t="s">
        <v>29</v>
      </c>
      <c r="E1437" s="11" t="s">
        <v>30</v>
      </c>
      <c r="F1437" s="11" t="s">
        <v>63</v>
      </c>
      <c r="G1437" s="3">
        <v>1155.6500000000001</v>
      </c>
      <c r="H1437" s="3">
        <v>818.59</v>
      </c>
      <c r="I1437" s="12">
        <v>1</v>
      </c>
      <c r="J1437" s="9" t="s">
        <v>941</v>
      </c>
      <c r="K1437" s="9" t="s">
        <v>49</v>
      </c>
      <c r="L1437" s="13">
        <v>0</v>
      </c>
      <c r="M1437" s="9" t="s">
        <v>34</v>
      </c>
    </row>
    <row r="1438" spans="1:13" ht="20.25" customHeight="1" x14ac:dyDescent="0.25">
      <c r="A1438" s="9" t="s">
        <v>2507</v>
      </c>
      <c r="B1438" s="10">
        <v>46035</v>
      </c>
      <c r="C1438" s="9" t="s">
        <v>36</v>
      </c>
      <c r="D1438" s="9" t="s">
        <v>42</v>
      </c>
      <c r="E1438" s="11" t="s">
        <v>30</v>
      </c>
      <c r="F1438" s="11" t="s">
        <v>63</v>
      </c>
      <c r="G1438" s="3">
        <v>1155.6500000000001</v>
      </c>
      <c r="H1438" s="3">
        <v>818.59</v>
      </c>
      <c r="I1438" s="12">
        <v>1</v>
      </c>
      <c r="J1438" s="9" t="s">
        <v>2508</v>
      </c>
      <c r="K1438" s="9" t="s">
        <v>33</v>
      </c>
      <c r="L1438" s="13">
        <v>1</v>
      </c>
      <c r="M1438" s="9" t="s">
        <v>34</v>
      </c>
    </row>
    <row r="1439" spans="1:13" ht="20.25" customHeight="1" x14ac:dyDescent="0.25">
      <c r="A1439" s="9" t="s">
        <v>2509</v>
      </c>
      <c r="B1439" s="10">
        <v>46036</v>
      </c>
      <c r="C1439" s="9" t="s">
        <v>28</v>
      </c>
      <c r="D1439" s="9" t="s">
        <v>42</v>
      </c>
      <c r="E1439" s="11" t="s">
        <v>30</v>
      </c>
      <c r="F1439" s="11" t="s">
        <v>63</v>
      </c>
      <c r="G1439" s="3">
        <v>1155.6500000000001</v>
      </c>
      <c r="H1439" s="3">
        <v>818.59</v>
      </c>
      <c r="I1439" s="12">
        <v>1</v>
      </c>
      <c r="J1439" s="9" t="s">
        <v>247</v>
      </c>
      <c r="K1439" s="9" t="s">
        <v>49</v>
      </c>
      <c r="L1439" s="13">
        <v>0</v>
      </c>
      <c r="M1439" s="9" t="s">
        <v>34</v>
      </c>
    </row>
    <row r="1440" spans="1:13" ht="20.25" customHeight="1" x14ac:dyDescent="0.25">
      <c r="A1440" s="9" t="s">
        <v>2510</v>
      </c>
      <c r="B1440" s="10">
        <v>46036</v>
      </c>
      <c r="C1440" s="9" t="s">
        <v>71</v>
      </c>
      <c r="D1440" s="9" t="s">
        <v>29</v>
      </c>
      <c r="E1440" s="11" t="s">
        <v>58</v>
      </c>
      <c r="F1440" s="11" t="s">
        <v>68</v>
      </c>
      <c r="G1440" s="3">
        <v>674.13</v>
      </c>
      <c r="H1440" s="3">
        <v>423.74</v>
      </c>
      <c r="I1440" s="12">
        <v>2</v>
      </c>
      <c r="J1440" s="9" t="s">
        <v>874</v>
      </c>
      <c r="K1440" s="9" t="s">
        <v>33</v>
      </c>
      <c r="L1440" s="13">
        <v>1</v>
      </c>
      <c r="M1440" s="9" t="s">
        <v>34</v>
      </c>
    </row>
    <row r="1441" spans="1:13" ht="20.25" customHeight="1" x14ac:dyDescent="0.25">
      <c r="A1441" s="9" t="s">
        <v>2511</v>
      </c>
      <c r="B1441" s="10">
        <v>46036</v>
      </c>
      <c r="C1441" s="9" t="s">
        <v>28</v>
      </c>
      <c r="D1441" s="9" t="s">
        <v>29</v>
      </c>
      <c r="E1441" s="11" t="s">
        <v>30</v>
      </c>
      <c r="F1441" s="11" t="s">
        <v>31</v>
      </c>
      <c r="G1441" s="3">
        <v>1251.95</v>
      </c>
      <c r="H1441" s="3">
        <v>866.74</v>
      </c>
      <c r="I1441" s="12">
        <v>2</v>
      </c>
      <c r="J1441" s="9" t="s">
        <v>2512</v>
      </c>
      <c r="K1441" s="9" t="s">
        <v>49</v>
      </c>
      <c r="L1441" s="13">
        <v>0</v>
      </c>
      <c r="M1441" s="9" t="s">
        <v>34</v>
      </c>
    </row>
    <row r="1442" spans="1:13" ht="20.25" customHeight="1" x14ac:dyDescent="0.25">
      <c r="A1442" s="9" t="s">
        <v>2513</v>
      </c>
      <c r="B1442" s="10">
        <v>46037</v>
      </c>
      <c r="C1442" s="9" t="s">
        <v>71</v>
      </c>
      <c r="D1442" s="9" t="s">
        <v>29</v>
      </c>
      <c r="E1442" s="11" t="s">
        <v>58</v>
      </c>
      <c r="F1442" s="11" t="s">
        <v>68</v>
      </c>
      <c r="G1442" s="3">
        <v>1011.19</v>
      </c>
      <c r="H1442" s="3">
        <v>635.61</v>
      </c>
      <c r="I1442" s="12">
        <v>3</v>
      </c>
      <c r="J1442" s="9" t="s">
        <v>2514</v>
      </c>
      <c r="K1442" s="9" t="s">
        <v>33</v>
      </c>
      <c r="L1442" s="13">
        <v>1</v>
      </c>
      <c r="M1442" s="9" t="s">
        <v>34</v>
      </c>
    </row>
    <row r="1443" spans="1:13" ht="20.25" customHeight="1" x14ac:dyDescent="0.25">
      <c r="A1443" s="9" t="s">
        <v>2515</v>
      </c>
      <c r="B1443" s="10">
        <v>46037</v>
      </c>
      <c r="C1443" s="9" t="s">
        <v>36</v>
      </c>
      <c r="D1443" s="9" t="s">
        <v>29</v>
      </c>
      <c r="E1443" s="11" t="s">
        <v>30</v>
      </c>
      <c r="F1443" s="11" t="s">
        <v>63</v>
      </c>
      <c r="G1443" s="3">
        <v>2311.3000000000002</v>
      </c>
      <c r="H1443" s="3">
        <v>1637.17</v>
      </c>
      <c r="I1443" s="12">
        <v>2</v>
      </c>
      <c r="J1443" s="9" t="s">
        <v>2194</v>
      </c>
      <c r="K1443" s="9" t="s">
        <v>49</v>
      </c>
      <c r="L1443" s="13">
        <v>0</v>
      </c>
      <c r="M1443" s="9" t="s">
        <v>34</v>
      </c>
    </row>
    <row r="1444" spans="1:13" ht="20.25" customHeight="1" x14ac:dyDescent="0.25">
      <c r="A1444" s="9" t="s">
        <v>2516</v>
      </c>
      <c r="B1444" s="10">
        <v>46037</v>
      </c>
      <c r="C1444" s="9" t="s">
        <v>54</v>
      </c>
      <c r="D1444" s="9" t="s">
        <v>51</v>
      </c>
      <c r="E1444" s="11" t="s">
        <v>43</v>
      </c>
      <c r="F1444" s="11" t="s">
        <v>44</v>
      </c>
      <c r="G1444" s="3">
        <v>130.01</v>
      </c>
      <c r="H1444" s="3">
        <v>57.78</v>
      </c>
      <c r="I1444" s="12">
        <v>3</v>
      </c>
      <c r="J1444" s="9" t="s">
        <v>2517</v>
      </c>
      <c r="K1444" s="9" t="s">
        <v>49</v>
      </c>
      <c r="L1444" s="13">
        <v>0</v>
      </c>
      <c r="M1444" s="9" t="s">
        <v>34</v>
      </c>
    </row>
    <row r="1445" spans="1:13" ht="20.25" customHeight="1" x14ac:dyDescent="0.25">
      <c r="A1445" s="9" t="s">
        <v>2518</v>
      </c>
      <c r="B1445" s="10">
        <v>46037</v>
      </c>
      <c r="C1445" s="9" t="s">
        <v>54</v>
      </c>
      <c r="D1445" s="9" t="s">
        <v>42</v>
      </c>
      <c r="E1445" s="11" t="s">
        <v>43</v>
      </c>
      <c r="F1445" s="11" t="s">
        <v>47</v>
      </c>
      <c r="G1445" s="3">
        <v>105.93</v>
      </c>
      <c r="H1445" s="3">
        <v>62.6</v>
      </c>
      <c r="I1445" s="12">
        <v>1</v>
      </c>
      <c r="J1445" s="9" t="s">
        <v>1100</v>
      </c>
      <c r="K1445" s="9" t="s">
        <v>49</v>
      </c>
      <c r="L1445" s="13">
        <v>0</v>
      </c>
      <c r="M1445" s="9" t="s">
        <v>34</v>
      </c>
    </row>
    <row r="1446" spans="1:13" ht="20.25" customHeight="1" x14ac:dyDescent="0.25">
      <c r="A1446" s="9" t="s">
        <v>2519</v>
      </c>
      <c r="B1446" s="10">
        <v>46038</v>
      </c>
      <c r="C1446" s="9" t="s">
        <v>36</v>
      </c>
      <c r="D1446" s="9" t="s">
        <v>29</v>
      </c>
      <c r="E1446" s="11" t="s">
        <v>37</v>
      </c>
      <c r="F1446" s="11" t="s">
        <v>38</v>
      </c>
      <c r="G1446" s="3">
        <v>231.13</v>
      </c>
      <c r="H1446" s="3">
        <v>134.83000000000001</v>
      </c>
      <c r="I1446" s="12">
        <v>2</v>
      </c>
      <c r="J1446" s="9" t="s">
        <v>60</v>
      </c>
      <c r="K1446" s="9" t="s">
        <v>49</v>
      </c>
      <c r="L1446" s="13">
        <v>0</v>
      </c>
      <c r="M1446" s="9" t="s">
        <v>34</v>
      </c>
    </row>
    <row r="1447" spans="1:13" ht="20.25" customHeight="1" x14ac:dyDescent="0.25">
      <c r="A1447" s="9" t="s">
        <v>2520</v>
      </c>
      <c r="B1447" s="10">
        <v>46038</v>
      </c>
      <c r="C1447" s="9" t="s">
        <v>36</v>
      </c>
      <c r="D1447" s="9" t="s">
        <v>42</v>
      </c>
      <c r="E1447" s="11" t="s">
        <v>58</v>
      </c>
      <c r="F1447" s="11" t="s">
        <v>87</v>
      </c>
      <c r="G1447" s="3">
        <v>693.39</v>
      </c>
      <c r="H1447" s="3">
        <v>423.74</v>
      </c>
      <c r="I1447" s="12">
        <v>4</v>
      </c>
      <c r="J1447" s="9" t="s">
        <v>2185</v>
      </c>
      <c r="K1447" s="9" t="s">
        <v>49</v>
      </c>
      <c r="L1447" s="13">
        <v>0</v>
      </c>
      <c r="M1447" s="9" t="s">
        <v>34</v>
      </c>
    </row>
    <row r="1448" spans="1:13" ht="20.25" customHeight="1" x14ac:dyDescent="0.25">
      <c r="A1448" s="9" t="s">
        <v>2521</v>
      </c>
      <c r="B1448" s="10">
        <v>46039</v>
      </c>
      <c r="C1448" s="9" t="s">
        <v>36</v>
      </c>
      <c r="D1448" s="9" t="s">
        <v>29</v>
      </c>
      <c r="E1448" s="11" t="s">
        <v>58</v>
      </c>
      <c r="F1448" s="11" t="s">
        <v>68</v>
      </c>
      <c r="G1448" s="3">
        <v>674.13</v>
      </c>
      <c r="H1448" s="3">
        <v>423.74</v>
      </c>
      <c r="I1448" s="12">
        <v>2</v>
      </c>
      <c r="J1448" s="9" t="s">
        <v>2522</v>
      </c>
      <c r="K1448" s="9" t="s">
        <v>49</v>
      </c>
      <c r="L1448" s="13">
        <v>0</v>
      </c>
      <c r="M1448" s="9" t="s">
        <v>34</v>
      </c>
    </row>
    <row r="1449" spans="1:13" ht="20.25" customHeight="1" x14ac:dyDescent="0.25">
      <c r="A1449" s="9" t="s">
        <v>2523</v>
      </c>
      <c r="B1449" s="10">
        <v>46039</v>
      </c>
      <c r="C1449" s="9" t="s">
        <v>54</v>
      </c>
      <c r="D1449" s="9" t="s">
        <v>51</v>
      </c>
      <c r="E1449" s="11" t="s">
        <v>58</v>
      </c>
      <c r="F1449" s="11" t="s">
        <v>87</v>
      </c>
      <c r="G1449" s="3">
        <v>173.35</v>
      </c>
      <c r="H1449" s="3">
        <v>105.93</v>
      </c>
      <c r="I1449" s="12">
        <v>1</v>
      </c>
      <c r="J1449" s="9" t="s">
        <v>1471</v>
      </c>
      <c r="K1449" s="9" t="s">
        <v>49</v>
      </c>
      <c r="L1449" s="13">
        <v>0</v>
      </c>
      <c r="M1449" s="9" t="s">
        <v>34</v>
      </c>
    </row>
    <row r="1450" spans="1:13" ht="20.25" customHeight="1" x14ac:dyDescent="0.25">
      <c r="A1450" s="9" t="s">
        <v>2524</v>
      </c>
      <c r="B1450" s="10">
        <v>46040</v>
      </c>
      <c r="C1450" s="9" t="s">
        <v>36</v>
      </c>
      <c r="D1450" s="9" t="s">
        <v>51</v>
      </c>
      <c r="E1450" s="11" t="s">
        <v>37</v>
      </c>
      <c r="F1450" s="11" t="s">
        <v>55</v>
      </c>
      <c r="G1450" s="3">
        <v>173.35</v>
      </c>
      <c r="H1450" s="3">
        <v>105.93</v>
      </c>
      <c r="I1450" s="12">
        <v>2</v>
      </c>
      <c r="J1450" s="9" t="s">
        <v>97</v>
      </c>
      <c r="K1450" s="9" t="s">
        <v>49</v>
      </c>
      <c r="L1450" s="13">
        <v>0</v>
      </c>
      <c r="M1450" s="9" t="s">
        <v>34</v>
      </c>
    </row>
    <row r="1451" spans="1:13" ht="20.25" customHeight="1" x14ac:dyDescent="0.25">
      <c r="A1451" s="9" t="s">
        <v>2525</v>
      </c>
      <c r="B1451" s="10">
        <v>46040</v>
      </c>
      <c r="C1451" s="9" t="s">
        <v>28</v>
      </c>
      <c r="D1451" s="9" t="s">
        <v>29</v>
      </c>
      <c r="E1451" s="11" t="s">
        <v>58</v>
      </c>
      <c r="F1451" s="11" t="s">
        <v>87</v>
      </c>
      <c r="G1451" s="3">
        <v>520.04</v>
      </c>
      <c r="H1451" s="3">
        <v>317.8</v>
      </c>
      <c r="I1451" s="12">
        <v>3</v>
      </c>
      <c r="J1451" s="9" t="s">
        <v>2526</v>
      </c>
      <c r="K1451" s="9" t="s">
        <v>33</v>
      </c>
      <c r="L1451" s="13">
        <v>1</v>
      </c>
      <c r="M1451" s="9" t="s">
        <v>34</v>
      </c>
    </row>
    <row r="1452" spans="1:13" ht="20.25" customHeight="1" x14ac:dyDescent="0.25">
      <c r="A1452" s="9" t="s">
        <v>2527</v>
      </c>
      <c r="B1452" s="10">
        <v>46041</v>
      </c>
      <c r="C1452" s="9" t="s">
        <v>28</v>
      </c>
      <c r="D1452" s="9" t="s">
        <v>29</v>
      </c>
      <c r="E1452" s="11" t="s">
        <v>43</v>
      </c>
      <c r="F1452" s="11" t="s">
        <v>47</v>
      </c>
      <c r="G1452" s="3">
        <v>211.87</v>
      </c>
      <c r="H1452" s="3">
        <v>125.2</v>
      </c>
      <c r="I1452" s="12">
        <v>2</v>
      </c>
      <c r="J1452" s="9" t="s">
        <v>2528</v>
      </c>
      <c r="K1452" s="9" t="s">
        <v>49</v>
      </c>
      <c r="L1452" s="13">
        <v>0</v>
      </c>
      <c r="M1452" s="9" t="s">
        <v>34</v>
      </c>
    </row>
    <row r="1453" spans="1:13" ht="20.25" customHeight="1" x14ac:dyDescent="0.25">
      <c r="A1453" s="9" t="s">
        <v>2529</v>
      </c>
      <c r="B1453" s="10">
        <v>46041</v>
      </c>
      <c r="C1453" s="9" t="s">
        <v>36</v>
      </c>
      <c r="D1453" s="9" t="s">
        <v>51</v>
      </c>
      <c r="E1453" s="11" t="s">
        <v>43</v>
      </c>
      <c r="F1453" s="11" t="s">
        <v>90</v>
      </c>
      <c r="G1453" s="3">
        <v>144.46</v>
      </c>
      <c r="H1453" s="3">
        <v>86.67</v>
      </c>
      <c r="I1453" s="12">
        <v>1</v>
      </c>
      <c r="J1453" s="9" t="s">
        <v>2530</v>
      </c>
      <c r="K1453" s="9" t="s">
        <v>49</v>
      </c>
      <c r="L1453" s="13">
        <v>0</v>
      </c>
      <c r="M1453" s="9" t="s">
        <v>34</v>
      </c>
    </row>
    <row r="1454" spans="1:13" ht="20.25" customHeight="1" x14ac:dyDescent="0.25">
      <c r="A1454" s="9" t="s">
        <v>2531</v>
      </c>
      <c r="B1454" s="10">
        <v>46041</v>
      </c>
      <c r="C1454" s="9" t="s">
        <v>36</v>
      </c>
      <c r="D1454" s="9" t="s">
        <v>29</v>
      </c>
      <c r="E1454" s="11" t="s">
        <v>58</v>
      </c>
      <c r="F1454" s="11" t="s">
        <v>59</v>
      </c>
      <c r="G1454" s="3">
        <v>288.91000000000003</v>
      </c>
      <c r="H1454" s="3">
        <v>173.35</v>
      </c>
      <c r="I1454" s="12">
        <v>2</v>
      </c>
      <c r="J1454" s="9" t="s">
        <v>276</v>
      </c>
      <c r="K1454" s="9" t="s">
        <v>49</v>
      </c>
      <c r="L1454" s="13">
        <v>0</v>
      </c>
      <c r="M1454" s="9" t="s">
        <v>34</v>
      </c>
    </row>
    <row r="1455" spans="1:13" ht="20.25" customHeight="1" x14ac:dyDescent="0.25">
      <c r="A1455" s="9" t="s">
        <v>2532</v>
      </c>
      <c r="B1455" s="10">
        <v>46042</v>
      </c>
      <c r="C1455" s="9" t="s">
        <v>54</v>
      </c>
      <c r="D1455" s="9" t="s">
        <v>29</v>
      </c>
      <c r="E1455" s="11" t="s">
        <v>37</v>
      </c>
      <c r="F1455" s="11" t="s">
        <v>38</v>
      </c>
      <c r="G1455" s="3">
        <v>577.83000000000004</v>
      </c>
      <c r="H1455" s="3">
        <v>337.06</v>
      </c>
      <c r="I1455" s="12">
        <v>5</v>
      </c>
      <c r="J1455" s="9" t="s">
        <v>2533</v>
      </c>
      <c r="K1455" s="9" t="s">
        <v>49</v>
      </c>
      <c r="L1455" s="13">
        <v>0</v>
      </c>
      <c r="M1455" s="9" t="s">
        <v>34</v>
      </c>
    </row>
    <row r="1456" spans="1:13" ht="20.25" customHeight="1" x14ac:dyDescent="0.25">
      <c r="A1456" s="9" t="s">
        <v>2534</v>
      </c>
      <c r="B1456" s="10">
        <v>46042</v>
      </c>
      <c r="C1456" s="9" t="s">
        <v>28</v>
      </c>
      <c r="D1456" s="9" t="s">
        <v>51</v>
      </c>
      <c r="E1456" s="11" t="s">
        <v>30</v>
      </c>
      <c r="F1456" s="11" t="s">
        <v>63</v>
      </c>
      <c r="G1456" s="3">
        <v>1155.6500000000001</v>
      </c>
      <c r="H1456" s="3">
        <v>818.59</v>
      </c>
      <c r="I1456" s="12">
        <v>1</v>
      </c>
      <c r="J1456" s="9" t="s">
        <v>2535</v>
      </c>
      <c r="K1456" s="9" t="s">
        <v>49</v>
      </c>
      <c r="L1456" s="13">
        <v>0</v>
      </c>
      <c r="M1456" s="9" t="s">
        <v>34</v>
      </c>
    </row>
    <row r="1457" spans="1:13" ht="20.25" customHeight="1" x14ac:dyDescent="0.25">
      <c r="A1457" s="9" t="s">
        <v>2536</v>
      </c>
      <c r="B1457" s="10">
        <v>46042</v>
      </c>
      <c r="C1457" s="9" t="s">
        <v>36</v>
      </c>
      <c r="D1457" s="9" t="s">
        <v>42</v>
      </c>
      <c r="E1457" s="11" t="s">
        <v>30</v>
      </c>
      <c r="F1457" s="11" t="s">
        <v>63</v>
      </c>
      <c r="G1457" s="3">
        <v>2311.3000000000002</v>
      </c>
      <c r="H1457" s="3">
        <v>1637.17</v>
      </c>
      <c r="I1457" s="12">
        <v>2</v>
      </c>
      <c r="J1457" s="9" t="s">
        <v>105</v>
      </c>
      <c r="K1457" s="9" t="s">
        <v>49</v>
      </c>
      <c r="L1457" s="13">
        <v>0</v>
      </c>
      <c r="M1457" s="9" t="s">
        <v>34</v>
      </c>
    </row>
    <row r="1458" spans="1:13" ht="20.25" customHeight="1" x14ac:dyDescent="0.25">
      <c r="A1458" s="9" t="s">
        <v>2537</v>
      </c>
      <c r="B1458" s="10">
        <v>46042</v>
      </c>
      <c r="C1458" s="9" t="s">
        <v>54</v>
      </c>
      <c r="D1458" s="9" t="s">
        <v>29</v>
      </c>
      <c r="E1458" s="11" t="s">
        <v>58</v>
      </c>
      <c r="F1458" s="11" t="s">
        <v>87</v>
      </c>
      <c r="G1458" s="3">
        <v>-173.35</v>
      </c>
      <c r="H1458" s="3">
        <v>-105.93</v>
      </c>
      <c r="I1458" s="12">
        <v>-1</v>
      </c>
      <c r="J1458" s="9" t="s">
        <v>2538</v>
      </c>
      <c r="K1458" s="9" t="s">
        <v>49</v>
      </c>
      <c r="L1458" s="13">
        <v>0</v>
      </c>
      <c r="M1458" s="9" t="s">
        <v>76</v>
      </c>
    </row>
    <row r="1459" spans="1:13" ht="20.25" customHeight="1" x14ac:dyDescent="0.25">
      <c r="A1459" s="9" t="s">
        <v>2539</v>
      </c>
      <c r="B1459" s="10">
        <v>46042</v>
      </c>
      <c r="C1459" s="9" t="s">
        <v>54</v>
      </c>
      <c r="D1459" s="9" t="s">
        <v>42</v>
      </c>
      <c r="E1459" s="11" t="s">
        <v>30</v>
      </c>
      <c r="F1459" s="11" t="s">
        <v>63</v>
      </c>
      <c r="G1459" s="3">
        <v>-2311.3000000000002</v>
      </c>
      <c r="H1459" s="3">
        <v>-1637.17</v>
      </c>
      <c r="I1459" s="12">
        <v>-2</v>
      </c>
      <c r="J1459" s="9" t="s">
        <v>1201</v>
      </c>
      <c r="K1459" s="9" t="s">
        <v>49</v>
      </c>
      <c r="L1459" s="13">
        <v>0</v>
      </c>
      <c r="M1459" s="9" t="s">
        <v>76</v>
      </c>
    </row>
    <row r="1460" spans="1:13" ht="20.25" customHeight="1" x14ac:dyDescent="0.25">
      <c r="A1460" s="9" t="s">
        <v>2540</v>
      </c>
      <c r="B1460" s="10">
        <v>46042</v>
      </c>
      <c r="C1460" s="9" t="s">
        <v>36</v>
      </c>
      <c r="D1460" s="9" t="s">
        <v>29</v>
      </c>
      <c r="E1460" s="11" t="s">
        <v>43</v>
      </c>
      <c r="F1460" s="11" t="s">
        <v>44</v>
      </c>
      <c r="G1460" s="3">
        <v>86.67</v>
      </c>
      <c r="H1460" s="3">
        <v>38.520000000000003</v>
      </c>
      <c r="I1460" s="12">
        <v>2</v>
      </c>
      <c r="J1460" s="9" t="s">
        <v>2541</v>
      </c>
      <c r="K1460" s="9" t="s">
        <v>49</v>
      </c>
      <c r="L1460" s="13">
        <v>0</v>
      </c>
      <c r="M1460" s="9" t="s">
        <v>34</v>
      </c>
    </row>
    <row r="1461" spans="1:13" ht="20.25" customHeight="1" x14ac:dyDescent="0.25">
      <c r="A1461" s="9" t="s">
        <v>2542</v>
      </c>
      <c r="B1461" s="10">
        <v>46043</v>
      </c>
      <c r="C1461" s="9" t="s">
        <v>36</v>
      </c>
      <c r="D1461" s="9" t="s">
        <v>51</v>
      </c>
      <c r="E1461" s="11" t="s">
        <v>30</v>
      </c>
      <c r="F1461" s="11" t="s">
        <v>80</v>
      </c>
      <c r="G1461" s="3">
        <v>818.59</v>
      </c>
      <c r="H1461" s="3">
        <v>577.83000000000004</v>
      </c>
      <c r="I1461" s="12">
        <v>1</v>
      </c>
      <c r="J1461" s="9" t="s">
        <v>2543</v>
      </c>
      <c r="K1461" s="9" t="s">
        <v>49</v>
      </c>
      <c r="L1461" s="13">
        <v>0</v>
      </c>
      <c r="M1461" s="9" t="s">
        <v>34</v>
      </c>
    </row>
    <row r="1462" spans="1:13" ht="20.25" customHeight="1" x14ac:dyDescent="0.25">
      <c r="A1462" s="9" t="s">
        <v>2544</v>
      </c>
      <c r="B1462" s="10">
        <v>46043</v>
      </c>
      <c r="C1462" s="9" t="s">
        <v>36</v>
      </c>
      <c r="D1462" s="9" t="s">
        <v>51</v>
      </c>
      <c r="E1462" s="11" t="s">
        <v>58</v>
      </c>
      <c r="F1462" s="11" t="s">
        <v>59</v>
      </c>
      <c r="G1462" s="3">
        <v>144.46</v>
      </c>
      <c r="H1462" s="3">
        <v>86.67</v>
      </c>
      <c r="I1462" s="12">
        <v>1</v>
      </c>
      <c r="J1462" s="9" t="s">
        <v>2545</v>
      </c>
      <c r="K1462" s="9" t="s">
        <v>49</v>
      </c>
      <c r="L1462" s="13">
        <v>0</v>
      </c>
      <c r="M1462" s="9" t="s">
        <v>34</v>
      </c>
    </row>
    <row r="1463" spans="1:13" ht="20.25" customHeight="1" x14ac:dyDescent="0.25">
      <c r="A1463" s="9" t="s">
        <v>2546</v>
      </c>
      <c r="B1463" s="10">
        <v>46043</v>
      </c>
      <c r="C1463" s="9" t="s">
        <v>62</v>
      </c>
      <c r="D1463" s="9" t="s">
        <v>42</v>
      </c>
      <c r="E1463" s="11" t="s">
        <v>37</v>
      </c>
      <c r="F1463" s="11" t="s">
        <v>72</v>
      </c>
      <c r="G1463" s="3">
        <v>423.74</v>
      </c>
      <c r="H1463" s="3">
        <v>250.39</v>
      </c>
      <c r="I1463" s="12">
        <v>2</v>
      </c>
      <c r="J1463" s="9" t="s">
        <v>2547</v>
      </c>
      <c r="K1463" s="9" t="s">
        <v>49</v>
      </c>
      <c r="L1463" s="13">
        <v>0</v>
      </c>
      <c r="M1463" s="9" t="s">
        <v>34</v>
      </c>
    </row>
    <row r="1464" spans="1:13" ht="20.25" customHeight="1" x14ac:dyDescent="0.25">
      <c r="A1464" s="9" t="s">
        <v>2548</v>
      </c>
      <c r="B1464" s="10">
        <v>46044</v>
      </c>
      <c r="C1464" s="9" t="s">
        <v>28</v>
      </c>
      <c r="D1464" s="9" t="s">
        <v>29</v>
      </c>
      <c r="E1464" s="11" t="s">
        <v>37</v>
      </c>
      <c r="F1464" s="11" t="s">
        <v>55</v>
      </c>
      <c r="G1464" s="3">
        <v>86.67</v>
      </c>
      <c r="H1464" s="3">
        <v>52.97</v>
      </c>
      <c r="I1464" s="12">
        <v>1</v>
      </c>
      <c r="J1464" s="9" t="s">
        <v>127</v>
      </c>
      <c r="K1464" s="9" t="s">
        <v>49</v>
      </c>
      <c r="L1464" s="13">
        <v>0</v>
      </c>
      <c r="M1464" s="9" t="s">
        <v>34</v>
      </c>
    </row>
    <row r="1465" spans="1:13" ht="20.25" customHeight="1" x14ac:dyDescent="0.25">
      <c r="A1465" s="9" t="s">
        <v>2549</v>
      </c>
      <c r="B1465" s="10">
        <v>46044</v>
      </c>
      <c r="C1465" s="9" t="s">
        <v>62</v>
      </c>
      <c r="D1465" s="9" t="s">
        <v>51</v>
      </c>
      <c r="E1465" s="11" t="s">
        <v>58</v>
      </c>
      <c r="F1465" s="11" t="s">
        <v>59</v>
      </c>
      <c r="G1465" s="3">
        <v>144.46</v>
      </c>
      <c r="H1465" s="3">
        <v>86.67</v>
      </c>
      <c r="I1465" s="12">
        <v>1</v>
      </c>
      <c r="J1465" s="9" t="s">
        <v>1083</v>
      </c>
      <c r="K1465" s="9" t="s">
        <v>49</v>
      </c>
      <c r="L1465" s="13">
        <v>0</v>
      </c>
      <c r="M1465" s="9" t="s">
        <v>34</v>
      </c>
    </row>
    <row r="1466" spans="1:13" ht="20.25" customHeight="1" x14ac:dyDescent="0.25">
      <c r="A1466" s="9" t="s">
        <v>2550</v>
      </c>
      <c r="B1466" s="10">
        <v>46045</v>
      </c>
      <c r="C1466" s="9" t="s">
        <v>41</v>
      </c>
      <c r="D1466" s="9" t="s">
        <v>51</v>
      </c>
      <c r="E1466" s="11" t="s">
        <v>43</v>
      </c>
      <c r="F1466" s="11" t="s">
        <v>90</v>
      </c>
      <c r="G1466" s="3">
        <v>-288.91000000000003</v>
      </c>
      <c r="H1466" s="3">
        <v>-173.35</v>
      </c>
      <c r="I1466" s="12">
        <v>-2</v>
      </c>
      <c r="J1466" s="9" t="s">
        <v>2551</v>
      </c>
      <c r="K1466" s="9" t="s">
        <v>49</v>
      </c>
      <c r="L1466" s="13">
        <v>0</v>
      </c>
      <c r="M1466" s="9" t="s">
        <v>76</v>
      </c>
    </row>
    <row r="1467" spans="1:13" ht="20.25" customHeight="1" x14ac:dyDescent="0.25">
      <c r="A1467" s="9" t="s">
        <v>2552</v>
      </c>
      <c r="B1467" s="10">
        <v>46045</v>
      </c>
      <c r="C1467" s="9" t="s">
        <v>71</v>
      </c>
      <c r="D1467" s="9" t="s">
        <v>29</v>
      </c>
      <c r="E1467" s="11" t="s">
        <v>37</v>
      </c>
      <c r="F1467" s="11" t="s">
        <v>55</v>
      </c>
      <c r="G1467" s="3">
        <v>86.67</v>
      </c>
      <c r="H1467" s="3">
        <v>52.97</v>
      </c>
      <c r="I1467" s="12">
        <v>1</v>
      </c>
      <c r="J1467" s="9" t="s">
        <v>1731</v>
      </c>
      <c r="K1467" s="9" t="s">
        <v>33</v>
      </c>
      <c r="L1467" s="13">
        <v>1</v>
      </c>
      <c r="M1467" s="9" t="s">
        <v>34</v>
      </c>
    </row>
    <row r="1468" spans="1:13" ht="20.25" customHeight="1" x14ac:dyDescent="0.25">
      <c r="A1468" s="9" t="s">
        <v>2553</v>
      </c>
      <c r="B1468" s="10">
        <v>46046</v>
      </c>
      <c r="C1468" s="9" t="s">
        <v>28</v>
      </c>
      <c r="D1468" s="9" t="s">
        <v>29</v>
      </c>
      <c r="E1468" s="11" t="s">
        <v>58</v>
      </c>
      <c r="F1468" s="11" t="s">
        <v>59</v>
      </c>
      <c r="G1468" s="3">
        <v>144.46</v>
      </c>
      <c r="H1468" s="3">
        <v>86.67</v>
      </c>
      <c r="I1468" s="12">
        <v>1</v>
      </c>
      <c r="J1468" s="9" t="s">
        <v>1168</v>
      </c>
      <c r="K1468" s="9" t="s">
        <v>49</v>
      </c>
      <c r="L1468" s="13">
        <v>0</v>
      </c>
      <c r="M1468" s="9" t="s">
        <v>34</v>
      </c>
    </row>
    <row r="1469" spans="1:13" ht="20.25" customHeight="1" x14ac:dyDescent="0.25">
      <c r="A1469" s="9" t="s">
        <v>2554</v>
      </c>
      <c r="B1469" s="10">
        <v>46046</v>
      </c>
      <c r="C1469" s="9" t="s">
        <v>36</v>
      </c>
      <c r="D1469" s="9" t="s">
        <v>29</v>
      </c>
      <c r="E1469" s="11" t="s">
        <v>30</v>
      </c>
      <c r="F1469" s="11" t="s">
        <v>80</v>
      </c>
      <c r="G1469" s="3">
        <v>2455.7600000000002</v>
      </c>
      <c r="H1469" s="3">
        <v>1733.48</v>
      </c>
      <c r="I1469" s="12">
        <v>3</v>
      </c>
      <c r="J1469" s="9" t="s">
        <v>1861</v>
      </c>
      <c r="K1469" s="9" t="s">
        <v>49</v>
      </c>
      <c r="L1469" s="13">
        <v>0</v>
      </c>
      <c r="M1469" s="9" t="s">
        <v>34</v>
      </c>
    </row>
    <row r="1470" spans="1:13" ht="20.25" customHeight="1" x14ac:dyDescent="0.25">
      <c r="A1470" s="9" t="s">
        <v>2555</v>
      </c>
      <c r="B1470" s="10">
        <v>46046</v>
      </c>
      <c r="C1470" s="9" t="s">
        <v>36</v>
      </c>
      <c r="D1470" s="9" t="s">
        <v>29</v>
      </c>
      <c r="E1470" s="11" t="s">
        <v>58</v>
      </c>
      <c r="F1470" s="11" t="s">
        <v>59</v>
      </c>
      <c r="G1470" s="3">
        <v>144.46</v>
      </c>
      <c r="H1470" s="3">
        <v>86.67</v>
      </c>
      <c r="I1470" s="12">
        <v>1</v>
      </c>
      <c r="J1470" s="9" t="s">
        <v>2556</v>
      </c>
      <c r="K1470" s="9" t="s">
        <v>49</v>
      </c>
      <c r="L1470" s="13">
        <v>0</v>
      </c>
      <c r="M1470" s="9" t="s">
        <v>34</v>
      </c>
    </row>
    <row r="1471" spans="1:13" ht="20.25" customHeight="1" x14ac:dyDescent="0.25">
      <c r="A1471" s="9" t="s">
        <v>2557</v>
      </c>
      <c r="B1471" s="10">
        <v>46046</v>
      </c>
      <c r="C1471" s="9" t="s">
        <v>28</v>
      </c>
      <c r="D1471" s="9" t="s">
        <v>42</v>
      </c>
      <c r="E1471" s="11" t="s">
        <v>43</v>
      </c>
      <c r="F1471" s="11" t="s">
        <v>44</v>
      </c>
      <c r="G1471" s="3">
        <v>43.34</v>
      </c>
      <c r="H1471" s="3">
        <v>19.260000000000002</v>
      </c>
      <c r="I1471" s="12">
        <v>1</v>
      </c>
      <c r="J1471" s="9" t="s">
        <v>2249</v>
      </c>
      <c r="K1471" s="9" t="s">
        <v>49</v>
      </c>
      <c r="L1471" s="13">
        <v>0</v>
      </c>
      <c r="M1471" s="9" t="s">
        <v>34</v>
      </c>
    </row>
    <row r="1472" spans="1:13" ht="20.25" customHeight="1" x14ac:dyDescent="0.25">
      <c r="A1472" s="9" t="s">
        <v>2558</v>
      </c>
      <c r="B1472" s="10">
        <v>46047</v>
      </c>
      <c r="C1472" s="9" t="s">
        <v>41</v>
      </c>
      <c r="D1472" s="9" t="s">
        <v>29</v>
      </c>
      <c r="E1472" s="11" t="s">
        <v>37</v>
      </c>
      <c r="F1472" s="11" t="s">
        <v>55</v>
      </c>
      <c r="G1472" s="3">
        <v>173.35</v>
      </c>
      <c r="H1472" s="3">
        <v>105.93</v>
      </c>
      <c r="I1472" s="12">
        <v>2</v>
      </c>
      <c r="J1472" s="9" t="s">
        <v>2300</v>
      </c>
      <c r="K1472" s="9" t="s">
        <v>49</v>
      </c>
      <c r="L1472" s="13">
        <v>0</v>
      </c>
      <c r="M1472" s="9" t="s">
        <v>34</v>
      </c>
    </row>
    <row r="1473" spans="1:13" ht="20.25" customHeight="1" x14ac:dyDescent="0.25">
      <c r="A1473" s="9" t="s">
        <v>2559</v>
      </c>
      <c r="B1473" s="10">
        <v>46047</v>
      </c>
      <c r="C1473" s="9" t="s">
        <v>62</v>
      </c>
      <c r="D1473" s="9" t="s">
        <v>29</v>
      </c>
      <c r="E1473" s="11" t="s">
        <v>43</v>
      </c>
      <c r="F1473" s="11" t="s">
        <v>47</v>
      </c>
      <c r="G1473" s="3">
        <v>211.87</v>
      </c>
      <c r="H1473" s="3">
        <v>125.2</v>
      </c>
      <c r="I1473" s="12">
        <v>2</v>
      </c>
      <c r="J1473" s="9" t="s">
        <v>892</v>
      </c>
      <c r="K1473" s="9" t="s">
        <v>49</v>
      </c>
      <c r="L1473" s="13">
        <v>0</v>
      </c>
      <c r="M1473" s="9" t="s">
        <v>34</v>
      </c>
    </row>
    <row r="1474" spans="1:13" ht="20.25" customHeight="1" x14ac:dyDescent="0.25">
      <c r="A1474" s="9" t="s">
        <v>2560</v>
      </c>
      <c r="B1474" s="10">
        <v>46048</v>
      </c>
      <c r="C1474" s="9" t="s">
        <v>71</v>
      </c>
      <c r="D1474" s="9" t="s">
        <v>51</v>
      </c>
      <c r="E1474" s="11" t="s">
        <v>58</v>
      </c>
      <c r="F1474" s="11" t="s">
        <v>59</v>
      </c>
      <c r="G1474" s="3">
        <v>433.37</v>
      </c>
      <c r="H1474" s="3">
        <v>260.02</v>
      </c>
      <c r="I1474" s="12">
        <v>3</v>
      </c>
      <c r="J1474" s="9" t="s">
        <v>2561</v>
      </c>
      <c r="K1474" s="9" t="s">
        <v>49</v>
      </c>
      <c r="L1474" s="13">
        <v>0</v>
      </c>
      <c r="M1474" s="9" t="s">
        <v>34</v>
      </c>
    </row>
    <row r="1475" spans="1:13" ht="20.25" customHeight="1" x14ac:dyDescent="0.25">
      <c r="A1475" s="9" t="s">
        <v>2562</v>
      </c>
      <c r="B1475" s="10">
        <v>46048</v>
      </c>
      <c r="C1475" s="9" t="s">
        <v>41</v>
      </c>
      <c r="D1475" s="9" t="s">
        <v>29</v>
      </c>
      <c r="E1475" s="11" t="s">
        <v>30</v>
      </c>
      <c r="F1475" s="11" t="s">
        <v>80</v>
      </c>
      <c r="G1475" s="3">
        <v>2455.7600000000002</v>
      </c>
      <c r="H1475" s="3">
        <v>1733.48</v>
      </c>
      <c r="I1475" s="12">
        <v>3</v>
      </c>
      <c r="J1475" s="9" t="s">
        <v>153</v>
      </c>
      <c r="K1475" s="9" t="s">
        <v>49</v>
      </c>
      <c r="L1475" s="13">
        <v>0</v>
      </c>
      <c r="M1475" s="9" t="s">
        <v>34</v>
      </c>
    </row>
    <row r="1476" spans="1:13" ht="20.25" customHeight="1" x14ac:dyDescent="0.25">
      <c r="A1476" s="9" t="s">
        <v>2563</v>
      </c>
      <c r="B1476" s="10">
        <v>46048</v>
      </c>
      <c r="C1476" s="9" t="s">
        <v>28</v>
      </c>
      <c r="D1476" s="9" t="s">
        <v>51</v>
      </c>
      <c r="E1476" s="11" t="s">
        <v>30</v>
      </c>
      <c r="F1476" s="11" t="s">
        <v>31</v>
      </c>
      <c r="G1476" s="3">
        <v>1251.95</v>
      </c>
      <c r="H1476" s="3">
        <v>866.74</v>
      </c>
      <c r="I1476" s="12">
        <v>2</v>
      </c>
      <c r="J1476" s="9" t="s">
        <v>757</v>
      </c>
      <c r="K1476" s="9" t="s">
        <v>49</v>
      </c>
      <c r="L1476" s="13">
        <v>0</v>
      </c>
      <c r="M1476" s="9" t="s">
        <v>34</v>
      </c>
    </row>
    <row r="1477" spans="1:13" ht="20.25" customHeight="1" x14ac:dyDescent="0.25">
      <c r="A1477" s="9" t="s">
        <v>2564</v>
      </c>
      <c r="B1477" s="10">
        <v>46049</v>
      </c>
      <c r="C1477" s="9" t="s">
        <v>36</v>
      </c>
      <c r="D1477" s="9" t="s">
        <v>29</v>
      </c>
      <c r="E1477" s="11" t="s">
        <v>58</v>
      </c>
      <c r="F1477" s="11" t="s">
        <v>87</v>
      </c>
      <c r="G1477" s="3">
        <v>173.35</v>
      </c>
      <c r="H1477" s="3">
        <v>105.93</v>
      </c>
      <c r="I1477" s="12">
        <v>1</v>
      </c>
      <c r="J1477" s="9" t="s">
        <v>2565</v>
      </c>
      <c r="K1477" s="9" t="s">
        <v>33</v>
      </c>
      <c r="L1477" s="13">
        <v>1</v>
      </c>
      <c r="M1477" s="9" t="s">
        <v>34</v>
      </c>
    </row>
    <row r="1478" spans="1:13" ht="20.25" customHeight="1" x14ac:dyDescent="0.25">
      <c r="A1478" s="9" t="s">
        <v>2566</v>
      </c>
      <c r="B1478" s="10">
        <v>46049</v>
      </c>
      <c r="C1478" s="9" t="s">
        <v>28</v>
      </c>
      <c r="D1478" s="9" t="s">
        <v>42</v>
      </c>
      <c r="E1478" s="11" t="s">
        <v>37</v>
      </c>
      <c r="F1478" s="11" t="s">
        <v>55</v>
      </c>
      <c r="G1478" s="3">
        <v>86.67</v>
      </c>
      <c r="H1478" s="3">
        <v>52.97</v>
      </c>
      <c r="I1478" s="12">
        <v>1</v>
      </c>
      <c r="J1478" s="9" t="s">
        <v>1897</v>
      </c>
      <c r="K1478" s="9" t="s">
        <v>49</v>
      </c>
      <c r="L1478" s="13">
        <v>0</v>
      </c>
      <c r="M1478" s="9" t="s">
        <v>34</v>
      </c>
    </row>
    <row r="1479" spans="1:13" ht="20.25" customHeight="1" x14ac:dyDescent="0.25">
      <c r="A1479" s="9" t="s">
        <v>2567</v>
      </c>
      <c r="B1479" s="10">
        <v>46049</v>
      </c>
      <c r="C1479" s="9" t="s">
        <v>71</v>
      </c>
      <c r="D1479" s="9" t="s">
        <v>42</v>
      </c>
      <c r="E1479" s="11" t="s">
        <v>43</v>
      </c>
      <c r="F1479" s="11" t="s">
        <v>90</v>
      </c>
      <c r="G1479" s="3">
        <v>144.46</v>
      </c>
      <c r="H1479" s="3">
        <v>86.67</v>
      </c>
      <c r="I1479" s="12">
        <v>1</v>
      </c>
      <c r="J1479" s="9" t="s">
        <v>667</v>
      </c>
      <c r="K1479" s="9" t="s">
        <v>49</v>
      </c>
      <c r="L1479" s="13">
        <v>0</v>
      </c>
      <c r="M1479" s="9" t="s">
        <v>34</v>
      </c>
    </row>
    <row r="1480" spans="1:13" ht="20.25" customHeight="1" x14ac:dyDescent="0.25">
      <c r="A1480" s="9" t="s">
        <v>2568</v>
      </c>
      <c r="B1480" s="10">
        <v>46050</v>
      </c>
      <c r="C1480" s="9" t="s">
        <v>62</v>
      </c>
      <c r="D1480" s="9" t="s">
        <v>42</v>
      </c>
      <c r="E1480" s="11" t="s">
        <v>30</v>
      </c>
      <c r="F1480" s="11" t="s">
        <v>80</v>
      </c>
      <c r="G1480" s="3">
        <v>818.59</v>
      </c>
      <c r="H1480" s="3">
        <v>577.83000000000004</v>
      </c>
      <c r="I1480" s="12">
        <v>1</v>
      </c>
      <c r="J1480" s="9" t="s">
        <v>2569</v>
      </c>
      <c r="K1480" s="9" t="s">
        <v>33</v>
      </c>
      <c r="L1480" s="13">
        <v>1</v>
      </c>
      <c r="M1480" s="9" t="s">
        <v>34</v>
      </c>
    </row>
    <row r="1481" spans="1:13" ht="20.25" customHeight="1" x14ac:dyDescent="0.25">
      <c r="A1481" s="9" t="s">
        <v>2570</v>
      </c>
      <c r="B1481" s="10">
        <v>46050</v>
      </c>
      <c r="C1481" s="9" t="s">
        <v>41</v>
      </c>
      <c r="D1481" s="9" t="s">
        <v>29</v>
      </c>
      <c r="E1481" s="11" t="s">
        <v>58</v>
      </c>
      <c r="F1481" s="11" t="s">
        <v>87</v>
      </c>
      <c r="G1481" s="3">
        <v>346.7</v>
      </c>
      <c r="H1481" s="3">
        <v>211.87</v>
      </c>
      <c r="I1481" s="12">
        <v>2</v>
      </c>
      <c r="J1481" s="9" t="s">
        <v>2108</v>
      </c>
      <c r="K1481" s="9" t="s">
        <v>49</v>
      </c>
      <c r="L1481" s="13">
        <v>0</v>
      </c>
      <c r="M1481" s="9" t="s">
        <v>34</v>
      </c>
    </row>
    <row r="1482" spans="1:13" ht="20.25" customHeight="1" x14ac:dyDescent="0.25">
      <c r="A1482" s="9" t="s">
        <v>2571</v>
      </c>
      <c r="B1482" s="10">
        <v>46050</v>
      </c>
      <c r="C1482" s="9" t="s">
        <v>28</v>
      </c>
      <c r="D1482" s="9" t="s">
        <v>51</v>
      </c>
      <c r="E1482" s="11" t="s">
        <v>58</v>
      </c>
      <c r="F1482" s="11" t="s">
        <v>68</v>
      </c>
      <c r="G1482" s="3">
        <v>674.13</v>
      </c>
      <c r="H1482" s="3">
        <v>423.74</v>
      </c>
      <c r="I1482" s="12">
        <v>2</v>
      </c>
      <c r="J1482" s="9" t="s">
        <v>338</v>
      </c>
      <c r="K1482" s="9" t="s">
        <v>49</v>
      </c>
      <c r="L1482" s="13">
        <v>0</v>
      </c>
      <c r="M1482" s="9" t="s">
        <v>34</v>
      </c>
    </row>
    <row r="1483" spans="1:13" ht="20.25" customHeight="1" x14ac:dyDescent="0.25">
      <c r="A1483" s="9" t="s">
        <v>2572</v>
      </c>
      <c r="B1483" s="10">
        <v>46050</v>
      </c>
      <c r="C1483" s="9" t="s">
        <v>36</v>
      </c>
      <c r="D1483" s="9" t="s">
        <v>29</v>
      </c>
      <c r="E1483" s="11" t="s">
        <v>58</v>
      </c>
      <c r="F1483" s="11" t="s">
        <v>59</v>
      </c>
      <c r="G1483" s="3">
        <v>144.46</v>
      </c>
      <c r="H1483" s="3">
        <v>86.67</v>
      </c>
      <c r="I1483" s="12">
        <v>1</v>
      </c>
      <c r="J1483" s="9" t="s">
        <v>199</v>
      </c>
      <c r="K1483" s="9" t="s">
        <v>49</v>
      </c>
      <c r="L1483" s="13">
        <v>0</v>
      </c>
      <c r="M1483" s="9" t="s">
        <v>34</v>
      </c>
    </row>
    <row r="1484" spans="1:13" ht="20.25" customHeight="1" x14ac:dyDescent="0.25">
      <c r="A1484" s="9" t="s">
        <v>2573</v>
      </c>
      <c r="B1484" s="10">
        <v>46050</v>
      </c>
      <c r="C1484" s="9" t="s">
        <v>71</v>
      </c>
      <c r="D1484" s="9" t="s">
        <v>29</v>
      </c>
      <c r="E1484" s="11" t="s">
        <v>30</v>
      </c>
      <c r="F1484" s="11" t="s">
        <v>63</v>
      </c>
      <c r="G1484" s="3">
        <v>2311.3000000000002</v>
      </c>
      <c r="H1484" s="3">
        <v>1637.17</v>
      </c>
      <c r="I1484" s="12">
        <v>2</v>
      </c>
      <c r="J1484" s="9" t="s">
        <v>2574</v>
      </c>
      <c r="K1484" s="9" t="s">
        <v>33</v>
      </c>
      <c r="L1484" s="13">
        <v>1</v>
      </c>
      <c r="M1484" s="9" t="s">
        <v>34</v>
      </c>
    </row>
    <row r="1485" spans="1:13" ht="20.25" customHeight="1" x14ac:dyDescent="0.25">
      <c r="A1485" s="9" t="s">
        <v>2575</v>
      </c>
      <c r="B1485" s="10">
        <v>46050</v>
      </c>
      <c r="C1485" s="9" t="s">
        <v>36</v>
      </c>
      <c r="D1485" s="9" t="s">
        <v>29</v>
      </c>
      <c r="E1485" s="11" t="s">
        <v>30</v>
      </c>
      <c r="F1485" s="11" t="s">
        <v>80</v>
      </c>
      <c r="G1485" s="3">
        <v>818.59</v>
      </c>
      <c r="H1485" s="3">
        <v>577.83000000000004</v>
      </c>
      <c r="I1485" s="12">
        <v>1</v>
      </c>
      <c r="J1485" s="9" t="s">
        <v>988</v>
      </c>
      <c r="K1485" s="9" t="s">
        <v>49</v>
      </c>
      <c r="L1485" s="13">
        <v>0</v>
      </c>
      <c r="M1485" s="9" t="s">
        <v>34</v>
      </c>
    </row>
    <row r="1486" spans="1:13" ht="20.25" customHeight="1" x14ac:dyDescent="0.25">
      <c r="A1486" s="9" t="s">
        <v>2576</v>
      </c>
      <c r="B1486" s="10">
        <v>46051</v>
      </c>
      <c r="C1486" s="9" t="s">
        <v>54</v>
      </c>
      <c r="D1486" s="9" t="s">
        <v>51</v>
      </c>
      <c r="E1486" s="11" t="s">
        <v>30</v>
      </c>
      <c r="F1486" s="11" t="s">
        <v>63</v>
      </c>
      <c r="G1486" s="3">
        <v>1155.6500000000001</v>
      </c>
      <c r="H1486" s="3">
        <v>818.59</v>
      </c>
      <c r="I1486" s="12">
        <v>1</v>
      </c>
      <c r="J1486" s="9" t="s">
        <v>2577</v>
      </c>
      <c r="K1486" s="9" t="s">
        <v>49</v>
      </c>
      <c r="L1486" s="13">
        <v>0</v>
      </c>
      <c r="M1486" s="9" t="s">
        <v>34</v>
      </c>
    </row>
    <row r="1487" spans="1:13" ht="20.25" customHeight="1" x14ac:dyDescent="0.25">
      <c r="A1487" s="9" t="s">
        <v>2578</v>
      </c>
      <c r="B1487" s="10">
        <v>46052</v>
      </c>
      <c r="C1487" s="9" t="s">
        <v>54</v>
      </c>
      <c r="D1487" s="9" t="s">
        <v>29</v>
      </c>
      <c r="E1487" s="11" t="s">
        <v>30</v>
      </c>
      <c r="F1487" s="11" t="s">
        <v>31</v>
      </c>
      <c r="G1487" s="3">
        <v>1251.95</v>
      </c>
      <c r="H1487" s="3">
        <v>866.74</v>
      </c>
      <c r="I1487" s="12">
        <v>2</v>
      </c>
      <c r="J1487" s="9" t="s">
        <v>2579</v>
      </c>
      <c r="K1487" s="9" t="s">
        <v>49</v>
      </c>
      <c r="L1487" s="13">
        <v>0</v>
      </c>
      <c r="M1487" s="9" t="s">
        <v>34</v>
      </c>
    </row>
    <row r="1488" spans="1:13" ht="20.25" customHeight="1" x14ac:dyDescent="0.25">
      <c r="A1488" s="9" t="s">
        <v>2580</v>
      </c>
      <c r="B1488" s="10">
        <v>46053</v>
      </c>
      <c r="C1488" s="9" t="s">
        <v>71</v>
      </c>
      <c r="D1488" s="9" t="s">
        <v>51</v>
      </c>
      <c r="E1488" s="11" t="s">
        <v>30</v>
      </c>
      <c r="F1488" s="11" t="s">
        <v>63</v>
      </c>
      <c r="G1488" s="3">
        <v>1155.6500000000001</v>
      </c>
      <c r="H1488" s="3">
        <v>818.59</v>
      </c>
      <c r="I1488" s="12">
        <v>1</v>
      </c>
      <c r="J1488" s="9" t="s">
        <v>78</v>
      </c>
      <c r="K1488" s="9" t="s">
        <v>49</v>
      </c>
      <c r="L1488" s="13">
        <v>0</v>
      </c>
      <c r="M1488" s="9" t="s">
        <v>34</v>
      </c>
    </row>
    <row r="1489" spans="1:13" ht="20.25" customHeight="1" x14ac:dyDescent="0.25">
      <c r="A1489" s="9" t="s">
        <v>2581</v>
      </c>
      <c r="B1489" s="10">
        <v>46053</v>
      </c>
      <c r="C1489" s="9" t="s">
        <v>36</v>
      </c>
      <c r="D1489" s="9" t="s">
        <v>29</v>
      </c>
      <c r="E1489" s="11" t="s">
        <v>30</v>
      </c>
      <c r="F1489" s="11" t="s">
        <v>80</v>
      </c>
      <c r="G1489" s="3">
        <v>818.59</v>
      </c>
      <c r="H1489" s="3">
        <v>577.83000000000004</v>
      </c>
      <c r="I1489" s="12">
        <v>1</v>
      </c>
      <c r="J1489" s="9" t="s">
        <v>2419</v>
      </c>
      <c r="K1489" s="9" t="s">
        <v>49</v>
      </c>
      <c r="L1489" s="13">
        <v>0</v>
      </c>
      <c r="M1489" s="9" t="s">
        <v>34</v>
      </c>
    </row>
    <row r="1490" spans="1:13" ht="20.25" customHeight="1" x14ac:dyDescent="0.25">
      <c r="A1490" s="9" t="s">
        <v>2582</v>
      </c>
      <c r="B1490" s="10">
        <v>46053</v>
      </c>
      <c r="C1490" s="9" t="s">
        <v>28</v>
      </c>
      <c r="D1490" s="9" t="s">
        <v>29</v>
      </c>
      <c r="E1490" s="11" t="s">
        <v>37</v>
      </c>
      <c r="F1490" s="11" t="s">
        <v>38</v>
      </c>
      <c r="G1490" s="3">
        <v>115.57</v>
      </c>
      <c r="H1490" s="3">
        <v>67.41</v>
      </c>
      <c r="I1490" s="12">
        <v>1</v>
      </c>
      <c r="J1490" s="9" t="s">
        <v>2583</v>
      </c>
      <c r="K1490" s="9" t="s">
        <v>49</v>
      </c>
      <c r="L1490" s="13">
        <v>0</v>
      </c>
      <c r="M1490" s="9" t="s">
        <v>34</v>
      </c>
    </row>
    <row r="1491" spans="1:13" ht="20.25" customHeight="1" x14ac:dyDescent="0.25">
      <c r="A1491" s="9" t="s">
        <v>2584</v>
      </c>
      <c r="B1491" s="10">
        <v>46054</v>
      </c>
      <c r="C1491" s="9" t="s">
        <v>28</v>
      </c>
      <c r="D1491" s="9" t="s">
        <v>51</v>
      </c>
      <c r="E1491" s="11" t="s">
        <v>58</v>
      </c>
      <c r="F1491" s="11" t="s">
        <v>59</v>
      </c>
      <c r="G1491" s="3">
        <v>-144.46</v>
      </c>
      <c r="H1491" s="3">
        <v>-86.67</v>
      </c>
      <c r="I1491" s="12">
        <v>-1</v>
      </c>
      <c r="J1491" s="9" t="s">
        <v>497</v>
      </c>
      <c r="K1491" s="9" t="s">
        <v>49</v>
      </c>
      <c r="L1491" s="13">
        <v>0</v>
      </c>
      <c r="M1491" s="9" t="s">
        <v>76</v>
      </c>
    </row>
    <row r="1492" spans="1:13" ht="20.25" customHeight="1" x14ac:dyDescent="0.25">
      <c r="A1492" s="9" t="s">
        <v>2585</v>
      </c>
      <c r="B1492" s="10">
        <v>46054</v>
      </c>
      <c r="C1492" s="9" t="s">
        <v>36</v>
      </c>
      <c r="D1492" s="9" t="s">
        <v>29</v>
      </c>
      <c r="E1492" s="11" t="s">
        <v>43</v>
      </c>
      <c r="F1492" s="11" t="s">
        <v>44</v>
      </c>
      <c r="G1492" s="3">
        <v>86.67</v>
      </c>
      <c r="H1492" s="3">
        <v>38.520000000000003</v>
      </c>
      <c r="I1492" s="12">
        <v>2</v>
      </c>
      <c r="J1492" s="9" t="s">
        <v>2163</v>
      </c>
      <c r="K1492" s="9" t="s">
        <v>49</v>
      </c>
      <c r="L1492" s="13">
        <v>0</v>
      </c>
      <c r="M1492" s="9" t="s">
        <v>34</v>
      </c>
    </row>
    <row r="1493" spans="1:13" ht="20.25" customHeight="1" x14ac:dyDescent="0.25">
      <c r="A1493" s="9" t="s">
        <v>2586</v>
      </c>
      <c r="B1493" s="10">
        <v>46054</v>
      </c>
      <c r="C1493" s="9" t="s">
        <v>36</v>
      </c>
      <c r="D1493" s="9" t="s">
        <v>51</v>
      </c>
      <c r="E1493" s="11" t="s">
        <v>30</v>
      </c>
      <c r="F1493" s="11" t="s">
        <v>80</v>
      </c>
      <c r="G1493" s="3">
        <v>2455.7600000000002</v>
      </c>
      <c r="H1493" s="3">
        <v>1733.48</v>
      </c>
      <c r="I1493" s="12">
        <v>3</v>
      </c>
      <c r="J1493" s="9" t="s">
        <v>2587</v>
      </c>
      <c r="K1493" s="9" t="s">
        <v>49</v>
      </c>
      <c r="L1493" s="13">
        <v>0</v>
      </c>
      <c r="M1493" s="9" t="s">
        <v>34</v>
      </c>
    </row>
    <row r="1494" spans="1:13" ht="20.25" customHeight="1" x14ac:dyDescent="0.25">
      <c r="A1494" s="9" t="s">
        <v>2588</v>
      </c>
      <c r="B1494" s="10">
        <v>46054</v>
      </c>
      <c r="C1494" s="9" t="s">
        <v>41</v>
      </c>
      <c r="D1494" s="9" t="s">
        <v>29</v>
      </c>
      <c r="E1494" s="11" t="s">
        <v>58</v>
      </c>
      <c r="F1494" s="11" t="s">
        <v>59</v>
      </c>
      <c r="G1494" s="3">
        <v>144.46</v>
      </c>
      <c r="H1494" s="3">
        <v>86.67</v>
      </c>
      <c r="I1494" s="12">
        <v>1</v>
      </c>
      <c r="J1494" s="9" t="s">
        <v>859</v>
      </c>
      <c r="K1494" s="9" t="s">
        <v>49</v>
      </c>
      <c r="L1494" s="13">
        <v>0</v>
      </c>
      <c r="M1494" s="9" t="s">
        <v>34</v>
      </c>
    </row>
    <row r="1495" spans="1:13" ht="20.25" customHeight="1" x14ac:dyDescent="0.25">
      <c r="A1495" s="9" t="s">
        <v>2589</v>
      </c>
      <c r="B1495" s="10">
        <v>46055</v>
      </c>
      <c r="C1495" s="9" t="s">
        <v>41</v>
      </c>
      <c r="D1495" s="9" t="s">
        <v>42</v>
      </c>
      <c r="E1495" s="11" t="s">
        <v>58</v>
      </c>
      <c r="F1495" s="11" t="s">
        <v>59</v>
      </c>
      <c r="G1495" s="3">
        <v>144.46</v>
      </c>
      <c r="H1495" s="3">
        <v>86.67</v>
      </c>
      <c r="I1495" s="12">
        <v>1</v>
      </c>
      <c r="J1495" s="9" t="s">
        <v>2167</v>
      </c>
      <c r="K1495" s="9" t="s">
        <v>49</v>
      </c>
      <c r="L1495" s="13">
        <v>0</v>
      </c>
      <c r="M1495" s="9" t="s">
        <v>34</v>
      </c>
    </row>
    <row r="1496" spans="1:13" ht="20.25" customHeight="1" x14ac:dyDescent="0.25">
      <c r="A1496" s="9" t="s">
        <v>2590</v>
      </c>
      <c r="B1496" s="10">
        <v>46055</v>
      </c>
      <c r="C1496" s="9" t="s">
        <v>28</v>
      </c>
      <c r="D1496" s="9" t="s">
        <v>51</v>
      </c>
      <c r="E1496" s="11" t="s">
        <v>30</v>
      </c>
      <c r="F1496" s="11" t="s">
        <v>31</v>
      </c>
      <c r="G1496" s="3">
        <v>1251.95</v>
      </c>
      <c r="H1496" s="3">
        <v>866.74</v>
      </c>
      <c r="I1496" s="12">
        <v>2</v>
      </c>
      <c r="J1496" s="9" t="s">
        <v>1578</v>
      </c>
      <c r="K1496" s="9" t="s">
        <v>49</v>
      </c>
      <c r="L1496" s="13">
        <v>0</v>
      </c>
      <c r="M1496" s="9" t="s">
        <v>34</v>
      </c>
    </row>
    <row r="1497" spans="1:13" ht="20.25" customHeight="1" x14ac:dyDescent="0.25">
      <c r="A1497" s="9" t="s">
        <v>2591</v>
      </c>
      <c r="B1497" s="10">
        <v>46055</v>
      </c>
      <c r="C1497" s="9" t="s">
        <v>36</v>
      </c>
      <c r="D1497" s="9" t="s">
        <v>29</v>
      </c>
      <c r="E1497" s="11" t="s">
        <v>43</v>
      </c>
      <c r="F1497" s="11" t="s">
        <v>47</v>
      </c>
      <c r="G1497" s="3">
        <v>317.8</v>
      </c>
      <c r="H1497" s="3">
        <v>187.79</v>
      </c>
      <c r="I1497" s="12">
        <v>3</v>
      </c>
      <c r="J1497" s="9" t="s">
        <v>2592</v>
      </c>
      <c r="K1497" s="9" t="s">
        <v>49</v>
      </c>
      <c r="L1497" s="13">
        <v>0</v>
      </c>
      <c r="M1497" s="9" t="s">
        <v>34</v>
      </c>
    </row>
    <row r="1498" spans="1:13" ht="20.25" customHeight="1" x14ac:dyDescent="0.25">
      <c r="A1498" s="9" t="s">
        <v>2593</v>
      </c>
      <c r="B1498" s="10">
        <v>46055</v>
      </c>
      <c r="C1498" s="9" t="s">
        <v>28</v>
      </c>
      <c r="D1498" s="9" t="s">
        <v>29</v>
      </c>
      <c r="E1498" s="11" t="s">
        <v>30</v>
      </c>
      <c r="F1498" s="11" t="s">
        <v>63</v>
      </c>
      <c r="G1498" s="3">
        <v>1155.6500000000001</v>
      </c>
      <c r="H1498" s="3">
        <v>818.59</v>
      </c>
      <c r="I1498" s="12">
        <v>1</v>
      </c>
      <c r="J1498" s="9" t="s">
        <v>342</v>
      </c>
      <c r="K1498" s="9" t="s">
        <v>49</v>
      </c>
      <c r="L1498" s="13">
        <v>0</v>
      </c>
      <c r="M1498" s="9" t="s">
        <v>34</v>
      </c>
    </row>
    <row r="1499" spans="1:13" ht="20.25" customHeight="1" x14ac:dyDescent="0.25">
      <c r="A1499" s="9" t="s">
        <v>2594</v>
      </c>
      <c r="B1499" s="10">
        <v>46056</v>
      </c>
      <c r="C1499" s="9" t="s">
        <v>28</v>
      </c>
      <c r="D1499" s="9" t="s">
        <v>51</v>
      </c>
      <c r="E1499" s="11" t="s">
        <v>43</v>
      </c>
      <c r="F1499" s="11" t="s">
        <v>47</v>
      </c>
      <c r="G1499" s="3">
        <v>105.93</v>
      </c>
      <c r="H1499" s="3">
        <v>62.6</v>
      </c>
      <c r="I1499" s="12">
        <v>1</v>
      </c>
      <c r="J1499" s="9" t="s">
        <v>2595</v>
      </c>
      <c r="K1499" s="9" t="s">
        <v>33</v>
      </c>
      <c r="L1499" s="13">
        <v>1</v>
      </c>
      <c r="M1499" s="9" t="s">
        <v>34</v>
      </c>
    </row>
    <row r="1500" spans="1:13" ht="20.25" customHeight="1" x14ac:dyDescent="0.25">
      <c r="A1500" s="9" t="s">
        <v>2596</v>
      </c>
      <c r="B1500" s="10">
        <v>46056</v>
      </c>
      <c r="C1500" s="9" t="s">
        <v>54</v>
      </c>
      <c r="D1500" s="9" t="s">
        <v>42</v>
      </c>
      <c r="E1500" s="11" t="s">
        <v>43</v>
      </c>
      <c r="F1500" s="11" t="s">
        <v>47</v>
      </c>
      <c r="G1500" s="3">
        <v>211.87</v>
      </c>
      <c r="H1500" s="3">
        <v>125.2</v>
      </c>
      <c r="I1500" s="12">
        <v>2</v>
      </c>
      <c r="J1500" s="9" t="s">
        <v>2597</v>
      </c>
      <c r="K1500" s="9" t="s">
        <v>49</v>
      </c>
      <c r="L1500" s="13">
        <v>0</v>
      </c>
      <c r="M1500" s="9" t="s">
        <v>34</v>
      </c>
    </row>
    <row r="1501" spans="1:13" ht="20.25" customHeight="1" x14ac:dyDescent="0.25">
      <c r="A1501" s="9" t="s">
        <v>2598</v>
      </c>
      <c r="B1501" s="10">
        <v>46056</v>
      </c>
      <c r="C1501" s="9" t="s">
        <v>28</v>
      </c>
      <c r="D1501" s="9" t="s">
        <v>29</v>
      </c>
      <c r="E1501" s="11" t="s">
        <v>58</v>
      </c>
      <c r="F1501" s="11" t="s">
        <v>68</v>
      </c>
      <c r="G1501" s="3">
        <v>674.13</v>
      </c>
      <c r="H1501" s="3">
        <v>423.74</v>
      </c>
      <c r="I1501" s="12">
        <v>2</v>
      </c>
      <c r="J1501" s="9" t="s">
        <v>2599</v>
      </c>
      <c r="K1501" s="9" t="s">
        <v>49</v>
      </c>
      <c r="L1501" s="13">
        <v>0</v>
      </c>
      <c r="M1501" s="9" t="s">
        <v>34</v>
      </c>
    </row>
    <row r="1502" spans="1:13" ht="20.25" customHeight="1" x14ac:dyDescent="0.25">
      <c r="A1502" s="9" t="s">
        <v>2600</v>
      </c>
      <c r="B1502" s="10">
        <v>46056</v>
      </c>
      <c r="C1502" s="9" t="s">
        <v>36</v>
      </c>
      <c r="D1502" s="9" t="s">
        <v>29</v>
      </c>
      <c r="E1502" s="11" t="s">
        <v>58</v>
      </c>
      <c r="F1502" s="11" t="s">
        <v>59</v>
      </c>
      <c r="G1502" s="3">
        <v>144.46</v>
      </c>
      <c r="H1502" s="3">
        <v>86.67</v>
      </c>
      <c r="I1502" s="12">
        <v>1</v>
      </c>
      <c r="J1502" s="9" t="s">
        <v>2601</v>
      </c>
      <c r="K1502" s="9" t="s">
        <v>49</v>
      </c>
      <c r="L1502" s="13">
        <v>0</v>
      </c>
      <c r="M1502" s="9" t="s">
        <v>34</v>
      </c>
    </row>
    <row r="1503" spans="1:13" ht="20.25" customHeight="1" x14ac:dyDescent="0.25">
      <c r="A1503" s="9" t="s">
        <v>2602</v>
      </c>
      <c r="B1503" s="10">
        <v>46057</v>
      </c>
      <c r="C1503" s="9" t="s">
        <v>28</v>
      </c>
      <c r="D1503" s="9" t="s">
        <v>42</v>
      </c>
      <c r="E1503" s="11" t="s">
        <v>37</v>
      </c>
      <c r="F1503" s="11" t="s">
        <v>38</v>
      </c>
      <c r="G1503" s="3">
        <v>231.13</v>
      </c>
      <c r="H1503" s="3">
        <v>134.83000000000001</v>
      </c>
      <c r="I1503" s="12">
        <v>2</v>
      </c>
      <c r="J1503" s="9" t="s">
        <v>2603</v>
      </c>
      <c r="K1503" s="9" t="s">
        <v>33</v>
      </c>
      <c r="L1503" s="13">
        <v>1</v>
      </c>
      <c r="M1503" s="9" t="s">
        <v>34</v>
      </c>
    </row>
    <row r="1504" spans="1:13" ht="20.25" customHeight="1" x14ac:dyDescent="0.25">
      <c r="A1504" s="9" t="s">
        <v>2604</v>
      </c>
      <c r="B1504" s="10">
        <v>46057</v>
      </c>
      <c r="C1504" s="9" t="s">
        <v>54</v>
      </c>
      <c r="D1504" s="9" t="s">
        <v>51</v>
      </c>
      <c r="E1504" s="11" t="s">
        <v>58</v>
      </c>
      <c r="F1504" s="11" t="s">
        <v>68</v>
      </c>
      <c r="G1504" s="3">
        <v>337.06</v>
      </c>
      <c r="H1504" s="3">
        <v>211.87</v>
      </c>
      <c r="I1504" s="12">
        <v>1</v>
      </c>
      <c r="J1504" s="9" t="s">
        <v>2605</v>
      </c>
      <c r="K1504" s="9" t="s">
        <v>49</v>
      </c>
      <c r="L1504" s="13">
        <v>0</v>
      </c>
      <c r="M1504" s="9" t="s">
        <v>34</v>
      </c>
    </row>
    <row r="1505" spans="1:13" ht="20.25" customHeight="1" x14ac:dyDescent="0.25">
      <c r="A1505" s="9" t="s">
        <v>2606</v>
      </c>
      <c r="B1505" s="10">
        <v>46057</v>
      </c>
      <c r="C1505" s="9" t="s">
        <v>71</v>
      </c>
      <c r="D1505" s="9" t="s">
        <v>29</v>
      </c>
      <c r="E1505" s="11" t="s">
        <v>37</v>
      </c>
      <c r="F1505" s="11" t="s">
        <v>38</v>
      </c>
      <c r="G1505" s="3">
        <v>115.57</v>
      </c>
      <c r="H1505" s="3">
        <v>67.41</v>
      </c>
      <c r="I1505" s="12">
        <v>1</v>
      </c>
      <c r="J1505" s="9" t="s">
        <v>2607</v>
      </c>
      <c r="K1505" s="9" t="s">
        <v>49</v>
      </c>
      <c r="L1505" s="13">
        <v>0</v>
      </c>
      <c r="M1505" s="9" t="s">
        <v>34</v>
      </c>
    </row>
    <row r="1506" spans="1:13" ht="20.25" customHeight="1" x14ac:dyDescent="0.25">
      <c r="A1506" s="9" t="s">
        <v>2608</v>
      </c>
      <c r="B1506" s="10">
        <v>46058</v>
      </c>
      <c r="C1506" s="9" t="s">
        <v>28</v>
      </c>
      <c r="D1506" s="9" t="s">
        <v>29</v>
      </c>
      <c r="E1506" s="11" t="s">
        <v>30</v>
      </c>
      <c r="F1506" s="11" t="s">
        <v>31</v>
      </c>
      <c r="G1506" s="3">
        <v>625.98</v>
      </c>
      <c r="H1506" s="3">
        <v>433.37</v>
      </c>
      <c r="I1506" s="12">
        <v>1</v>
      </c>
      <c r="J1506" s="9" t="s">
        <v>2609</v>
      </c>
      <c r="K1506" s="9" t="s">
        <v>33</v>
      </c>
      <c r="L1506" s="13">
        <v>1</v>
      </c>
      <c r="M1506" s="9" t="s">
        <v>34</v>
      </c>
    </row>
    <row r="1507" spans="1:13" ht="20.25" customHeight="1" x14ac:dyDescent="0.25">
      <c r="A1507" s="9" t="s">
        <v>2610</v>
      </c>
      <c r="B1507" s="10">
        <v>46058</v>
      </c>
      <c r="C1507" s="9" t="s">
        <v>71</v>
      </c>
      <c r="D1507" s="9" t="s">
        <v>29</v>
      </c>
      <c r="E1507" s="11" t="s">
        <v>30</v>
      </c>
      <c r="F1507" s="11" t="s">
        <v>31</v>
      </c>
      <c r="G1507" s="3">
        <v>1877.93</v>
      </c>
      <c r="H1507" s="3">
        <v>1300.1099999999999</v>
      </c>
      <c r="I1507" s="12">
        <v>3</v>
      </c>
      <c r="J1507" s="9" t="s">
        <v>2267</v>
      </c>
      <c r="K1507" s="9" t="s">
        <v>49</v>
      </c>
      <c r="L1507" s="13">
        <v>0</v>
      </c>
      <c r="M1507" s="9" t="s">
        <v>34</v>
      </c>
    </row>
    <row r="1508" spans="1:13" ht="20.25" customHeight="1" x14ac:dyDescent="0.25">
      <c r="A1508" s="9" t="s">
        <v>2611</v>
      </c>
      <c r="B1508" s="10">
        <v>46058</v>
      </c>
      <c r="C1508" s="9" t="s">
        <v>41</v>
      </c>
      <c r="D1508" s="9" t="s">
        <v>51</v>
      </c>
      <c r="E1508" s="11" t="s">
        <v>58</v>
      </c>
      <c r="F1508" s="11" t="s">
        <v>68</v>
      </c>
      <c r="G1508" s="3">
        <v>-337.06</v>
      </c>
      <c r="H1508" s="3">
        <v>-211.87</v>
      </c>
      <c r="I1508" s="12">
        <v>-1</v>
      </c>
      <c r="J1508" s="9" t="s">
        <v>2612</v>
      </c>
      <c r="K1508" s="9" t="s">
        <v>33</v>
      </c>
      <c r="L1508" s="13">
        <v>1</v>
      </c>
      <c r="M1508" s="9" t="s">
        <v>76</v>
      </c>
    </row>
    <row r="1509" spans="1:13" ht="20.25" customHeight="1" x14ac:dyDescent="0.25">
      <c r="A1509" s="9" t="s">
        <v>2613</v>
      </c>
      <c r="B1509" s="10">
        <v>46058</v>
      </c>
      <c r="C1509" s="9" t="s">
        <v>62</v>
      </c>
      <c r="D1509" s="9" t="s">
        <v>29</v>
      </c>
      <c r="E1509" s="11" t="s">
        <v>58</v>
      </c>
      <c r="F1509" s="11" t="s">
        <v>68</v>
      </c>
      <c r="G1509" s="3">
        <v>-337.06</v>
      </c>
      <c r="H1509" s="3">
        <v>-211.87</v>
      </c>
      <c r="I1509" s="12">
        <v>-1</v>
      </c>
      <c r="J1509" s="9" t="s">
        <v>2614</v>
      </c>
      <c r="K1509" s="9" t="s">
        <v>33</v>
      </c>
      <c r="L1509" s="13">
        <v>1</v>
      </c>
      <c r="M1509" s="9" t="s">
        <v>76</v>
      </c>
    </row>
    <row r="1510" spans="1:13" ht="20.25" customHeight="1" x14ac:dyDescent="0.25">
      <c r="A1510" s="9" t="s">
        <v>2615</v>
      </c>
      <c r="B1510" s="10">
        <v>46059</v>
      </c>
      <c r="C1510" s="9" t="s">
        <v>28</v>
      </c>
      <c r="D1510" s="9" t="s">
        <v>42</v>
      </c>
      <c r="E1510" s="11" t="s">
        <v>43</v>
      </c>
      <c r="F1510" s="11" t="s">
        <v>90</v>
      </c>
      <c r="G1510" s="3">
        <v>144.46</v>
      </c>
      <c r="H1510" s="3">
        <v>86.67</v>
      </c>
      <c r="I1510" s="12">
        <v>1</v>
      </c>
      <c r="J1510" s="9" t="s">
        <v>1854</v>
      </c>
      <c r="K1510" s="9" t="s">
        <v>49</v>
      </c>
      <c r="L1510" s="13">
        <v>0</v>
      </c>
      <c r="M1510" s="9" t="s">
        <v>34</v>
      </c>
    </row>
    <row r="1511" spans="1:13" ht="20.25" customHeight="1" x14ac:dyDescent="0.25">
      <c r="A1511" s="9" t="s">
        <v>2616</v>
      </c>
      <c r="B1511" s="10">
        <v>46059</v>
      </c>
      <c r="C1511" s="9" t="s">
        <v>54</v>
      </c>
      <c r="D1511" s="9" t="s">
        <v>29</v>
      </c>
      <c r="E1511" s="11" t="s">
        <v>30</v>
      </c>
      <c r="F1511" s="11" t="s">
        <v>63</v>
      </c>
      <c r="G1511" s="3">
        <v>3466.95</v>
      </c>
      <c r="H1511" s="3">
        <v>2455.7600000000002</v>
      </c>
      <c r="I1511" s="12">
        <v>3</v>
      </c>
      <c r="J1511" s="9" t="s">
        <v>1485</v>
      </c>
      <c r="K1511" s="9" t="s">
        <v>49</v>
      </c>
      <c r="L1511" s="13">
        <v>0</v>
      </c>
      <c r="M1511" s="9" t="s">
        <v>34</v>
      </c>
    </row>
    <row r="1512" spans="1:13" ht="20.25" customHeight="1" x14ac:dyDescent="0.25">
      <c r="A1512" s="9" t="s">
        <v>2617</v>
      </c>
      <c r="B1512" s="10">
        <v>46059</v>
      </c>
      <c r="C1512" s="9" t="s">
        <v>62</v>
      </c>
      <c r="D1512" s="9" t="s">
        <v>29</v>
      </c>
      <c r="E1512" s="11" t="s">
        <v>43</v>
      </c>
      <c r="F1512" s="11" t="s">
        <v>44</v>
      </c>
      <c r="G1512" s="3">
        <v>43.34</v>
      </c>
      <c r="H1512" s="3">
        <v>19.260000000000002</v>
      </c>
      <c r="I1512" s="12">
        <v>1</v>
      </c>
      <c r="J1512" s="9" t="s">
        <v>2618</v>
      </c>
      <c r="K1512" s="9" t="s">
        <v>49</v>
      </c>
      <c r="L1512" s="13">
        <v>0</v>
      </c>
      <c r="M1512" s="9" t="s">
        <v>34</v>
      </c>
    </row>
    <row r="1513" spans="1:13" ht="20.25" customHeight="1" x14ac:dyDescent="0.25">
      <c r="A1513" s="9" t="s">
        <v>2619</v>
      </c>
      <c r="B1513" s="10">
        <v>46059</v>
      </c>
      <c r="C1513" s="9" t="s">
        <v>62</v>
      </c>
      <c r="D1513" s="9" t="s">
        <v>51</v>
      </c>
      <c r="E1513" s="11" t="s">
        <v>30</v>
      </c>
      <c r="F1513" s="11" t="s">
        <v>80</v>
      </c>
      <c r="G1513" s="3">
        <v>818.59</v>
      </c>
      <c r="H1513" s="3">
        <v>577.83000000000004</v>
      </c>
      <c r="I1513" s="12">
        <v>1</v>
      </c>
      <c r="J1513" s="9" t="s">
        <v>2620</v>
      </c>
      <c r="K1513" s="9" t="s">
        <v>49</v>
      </c>
      <c r="L1513" s="13">
        <v>0</v>
      </c>
      <c r="M1513" s="9" t="s">
        <v>34</v>
      </c>
    </row>
    <row r="1514" spans="1:13" ht="20.25" customHeight="1" x14ac:dyDescent="0.25">
      <c r="A1514" s="9" t="s">
        <v>2621</v>
      </c>
      <c r="B1514" s="10">
        <v>46059</v>
      </c>
      <c r="C1514" s="9" t="s">
        <v>71</v>
      </c>
      <c r="D1514" s="9" t="s">
        <v>42</v>
      </c>
      <c r="E1514" s="11" t="s">
        <v>58</v>
      </c>
      <c r="F1514" s="11" t="s">
        <v>87</v>
      </c>
      <c r="G1514" s="3">
        <v>173.35</v>
      </c>
      <c r="H1514" s="3">
        <v>105.93</v>
      </c>
      <c r="I1514" s="12">
        <v>1</v>
      </c>
      <c r="J1514" s="9" t="s">
        <v>2622</v>
      </c>
      <c r="K1514" s="9" t="s">
        <v>49</v>
      </c>
      <c r="L1514" s="13">
        <v>0</v>
      </c>
      <c r="M1514" s="9" t="s">
        <v>34</v>
      </c>
    </row>
    <row r="1515" spans="1:13" ht="20.25" customHeight="1" x14ac:dyDescent="0.25">
      <c r="A1515" s="9" t="s">
        <v>2623</v>
      </c>
      <c r="B1515" s="10">
        <v>46061</v>
      </c>
      <c r="C1515" s="9" t="s">
        <v>71</v>
      </c>
      <c r="D1515" s="9" t="s">
        <v>42</v>
      </c>
      <c r="E1515" s="11" t="s">
        <v>58</v>
      </c>
      <c r="F1515" s="11" t="s">
        <v>68</v>
      </c>
      <c r="G1515" s="3">
        <v>674.13</v>
      </c>
      <c r="H1515" s="3">
        <v>423.74</v>
      </c>
      <c r="I1515" s="12">
        <v>2</v>
      </c>
      <c r="J1515" s="9" t="s">
        <v>2624</v>
      </c>
      <c r="K1515" s="9" t="s">
        <v>49</v>
      </c>
      <c r="L1515" s="13">
        <v>0</v>
      </c>
      <c r="M1515" s="9" t="s">
        <v>34</v>
      </c>
    </row>
    <row r="1516" spans="1:13" ht="20.25" customHeight="1" x14ac:dyDescent="0.25">
      <c r="A1516" s="9" t="s">
        <v>2625</v>
      </c>
      <c r="B1516" s="10">
        <v>46061</v>
      </c>
      <c r="C1516" s="9" t="s">
        <v>36</v>
      </c>
      <c r="D1516" s="9" t="s">
        <v>29</v>
      </c>
      <c r="E1516" s="11" t="s">
        <v>58</v>
      </c>
      <c r="F1516" s="11" t="s">
        <v>68</v>
      </c>
      <c r="G1516" s="3">
        <v>337.06</v>
      </c>
      <c r="H1516" s="3">
        <v>211.87</v>
      </c>
      <c r="I1516" s="12">
        <v>1</v>
      </c>
      <c r="J1516" s="9" t="s">
        <v>2626</v>
      </c>
      <c r="K1516" s="9" t="s">
        <v>49</v>
      </c>
      <c r="L1516" s="13">
        <v>0</v>
      </c>
      <c r="M1516" s="9" t="s">
        <v>34</v>
      </c>
    </row>
    <row r="1517" spans="1:13" ht="20.25" customHeight="1" x14ac:dyDescent="0.25">
      <c r="A1517" s="9" t="s">
        <v>2627</v>
      </c>
      <c r="B1517" s="10">
        <v>46062</v>
      </c>
      <c r="C1517" s="9" t="s">
        <v>41</v>
      </c>
      <c r="D1517" s="9" t="s">
        <v>51</v>
      </c>
      <c r="E1517" s="11" t="s">
        <v>30</v>
      </c>
      <c r="F1517" s="11" t="s">
        <v>80</v>
      </c>
      <c r="G1517" s="3">
        <v>818.59</v>
      </c>
      <c r="H1517" s="3">
        <v>577.83000000000004</v>
      </c>
      <c r="I1517" s="12">
        <v>1</v>
      </c>
      <c r="J1517" s="9" t="s">
        <v>1960</v>
      </c>
      <c r="K1517" s="9" t="s">
        <v>49</v>
      </c>
      <c r="L1517" s="13">
        <v>0</v>
      </c>
      <c r="M1517" s="9" t="s">
        <v>34</v>
      </c>
    </row>
    <row r="1518" spans="1:13" ht="20.25" customHeight="1" x14ac:dyDescent="0.25">
      <c r="A1518" s="9" t="s">
        <v>2628</v>
      </c>
      <c r="B1518" s="10">
        <v>46062</v>
      </c>
      <c r="C1518" s="9" t="s">
        <v>71</v>
      </c>
      <c r="D1518" s="9" t="s">
        <v>51</v>
      </c>
      <c r="E1518" s="11" t="s">
        <v>58</v>
      </c>
      <c r="F1518" s="11" t="s">
        <v>87</v>
      </c>
      <c r="G1518" s="3">
        <v>173.35</v>
      </c>
      <c r="H1518" s="3">
        <v>105.93</v>
      </c>
      <c r="I1518" s="12">
        <v>1</v>
      </c>
      <c r="J1518" s="9" t="s">
        <v>1199</v>
      </c>
      <c r="K1518" s="9" t="s">
        <v>33</v>
      </c>
      <c r="L1518" s="13">
        <v>1</v>
      </c>
      <c r="M1518" s="9" t="s">
        <v>34</v>
      </c>
    </row>
    <row r="1519" spans="1:13" ht="20.25" customHeight="1" x14ac:dyDescent="0.25">
      <c r="A1519" s="9" t="s">
        <v>2629</v>
      </c>
      <c r="B1519" s="10">
        <v>46062</v>
      </c>
      <c r="C1519" s="9" t="s">
        <v>41</v>
      </c>
      <c r="D1519" s="9" t="s">
        <v>29</v>
      </c>
      <c r="E1519" s="11" t="s">
        <v>43</v>
      </c>
      <c r="F1519" s="11" t="s">
        <v>47</v>
      </c>
      <c r="G1519" s="3">
        <v>317.8</v>
      </c>
      <c r="H1519" s="3">
        <v>187.79</v>
      </c>
      <c r="I1519" s="12">
        <v>3</v>
      </c>
      <c r="J1519" s="9" t="s">
        <v>2630</v>
      </c>
      <c r="K1519" s="9" t="s">
        <v>33</v>
      </c>
      <c r="L1519" s="13">
        <v>1</v>
      </c>
      <c r="M1519" s="9" t="s">
        <v>34</v>
      </c>
    </row>
    <row r="1520" spans="1:13" ht="20.25" customHeight="1" x14ac:dyDescent="0.25">
      <c r="A1520" s="9" t="s">
        <v>2631</v>
      </c>
      <c r="B1520" s="10">
        <v>46064</v>
      </c>
      <c r="C1520" s="9" t="s">
        <v>36</v>
      </c>
      <c r="D1520" s="9" t="s">
        <v>29</v>
      </c>
      <c r="E1520" s="11" t="s">
        <v>58</v>
      </c>
      <c r="F1520" s="11" t="s">
        <v>68</v>
      </c>
      <c r="G1520" s="3">
        <v>337.06</v>
      </c>
      <c r="H1520" s="3">
        <v>211.87</v>
      </c>
      <c r="I1520" s="12">
        <v>1</v>
      </c>
      <c r="J1520" s="9" t="s">
        <v>113</v>
      </c>
      <c r="K1520" s="9" t="s">
        <v>49</v>
      </c>
      <c r="L1520" s="13">
        <v>0</v>
      </c>
      <c r="M1520" s="9" t="s">
        <v>34</v>
      </c>
    </row>
    <row r="1521" spans="1:13" ht="20.25" customHeight="1" x14ac:dyDescent="0.25">
      <c r="A1521" s="9" t="s">
        <v>2632</v>
      </c>
      <c r="B1521" s="10">
        <v>46064</v>
      </c>
      <c r="C1521" s="9" t="s">
        <v>41</v>
      </c>
      <c r="D1521" s="9" t="s">
        <v>29</v>
      </c>
      <c r="E1521" s="11" t="s">
        <v>58</v>
      </c>
      <c r="F1521" s="11" t="s">
        <v>68</v>
      </c>
      <c r="G1521" s="3">
        <v>674.13</v>
      </c>
      <c r="H1521" s="3">
        <v>423.74</v>
      </c>
      <c r="I1521" s="12">
        <v>2</v>
      </c>
      <c r="J1521" s="9" t="s">
        <v>2633</v>
      </c>
      <c r="K1521" s="9" t="s">
        <v>49</v>
      </c>
      <c r="L1521" s="13">
        <v>0</v>
      </c>
      <c r="M1521" s="9" t="s">
        <v>34</v>
      </c>
    </row>
    <row r="1522" spans="1:13" ht="20.25" customHeight="1" x14ac:dyDescent="0.25">
      <c r="A1522" s="9" t="s">
        <v>2634</v>
      </c>
      <c r="B1522" s="10">
        <v>46064</v>
      </c>
      <c r="C1522" s="9" t="s">
        <v>54</v>
      </c>
      <c r="D1522" s="9" t="s">
        <v>29</v>
      </c>
      <c r="E1522" s="11" t="s">
        <v>43</v>
      </c>
      <c r="F1522" s="11" t="s">
        <v>90</v>
      </c>
      <c r="G1522" s="3">
        <v>433.37</v>
      </c>
      <c r="H1522" s="3">
        <v>260.02</v>
      </c>
      <c r="I1522" s="12">
        <v>3</v>
      </c>
      <c r="J1522" s="9" t="s">
        <v>2635</v>
      </c>
      <c r="K1522" s="9" t="s">
        <v>49</v>
      </c>
      <c r="L1522" s="13">
        <v>0</v>
      </c>
      <c r="M1522" s="9" t="s">
        <v>34</v>
      </c>
    </row>
    <row r="1523" spans="1:13" ht="20.25" customHeight="1" x14ac:dyDescent="0.25">
      <c r="A1523" s="9" t="s">
        <v>2636</v>
      </c>
      <c r="B1523" s="10">
        <v>46064</v>
      </c>
      <c r="C1523" s="9" t="s">
        <v>28</v>
      </c>
      <c r="D1523" s="9" t="s">
        <v>42</v>
      </c>
      <c r="E1523" s="11" t="s">
        <v>37</v>
      </c>
      <c r="F1523" s="11" t="s">
        <v>55</v>
      </c>
      <c r="G1523" s="3">
        <v>260.02</v>
      </c>
      <c r="H1523" s="3">
        <v>158.9</v>
      </c>
      <c r="I1523" s="12">
        <v>3</v>
      </c>
      <c r="J1523" s="9" t="s">
        <v>2637</v>
      </c>
      <c r="K1523" s="9" t="s">
        <v>49</v>
      </c>
      <c r="L1523" s="13">
        <v>0</v>
      </c>
      <c r="M1523" s="9" t="s">
        <v>34</v>
      </c>
    </row>
    <row r="1524" spans="1:13" ht="20.25" customHeight="1" x14ac:dyDescent="0.25">
      <c r="A1524" s="9" t="s">
        <v>2638</v>
      </c>
      <c r="B1524" s="10">
        <v>46065</v>
      </c>
      <c r="C1524" s="9" t="s">
        <v>54</v>
      </c>
      <c r="D1524" s="9" t="s">
        <v>29</v>
      </c>
      <c r="E1524" s="11" t="s">
        <v>58</v>
      </c>
      <c r="F1524" s="11" t="s">
        <v>87</v>
      </c>
      <c r="G1524" s="3">
        <v>173.35</v>
      </c>
      <c r="H1524" s="3">
        <v>105.93</v>
      </c>
      <c r="I1524" s="12">
        <v>1</v>
      </c>
      <c r="J1524" s="9" t="s">
        <v>2041</v>
      </c>
      <c r="K1524" s="9" t="s">
        <v>49</v>
      </c>
      <c r="L1524" s="13">
        <v>0</v>
      </c>
      <c r="M1524" s="9" t="s">
        <v>34</v>
      </c>
    </row>
    <row r="1525" spans="1:13" ht="20.25" customHeight="1" x14ac:dyDescent="0.25">
      <c r="A1525" s="9" t="s">
        <v>2639</v>
      </c>
      <c r="B1525" s="10">
        <v>46065</v>
      </c>
      <c r="C1525" s="9" t="s">
        <v>71</v>
      </c>
      <c r="D1525" s="9" t="s">
        <v>42</v>
      </c>
      <c r="E1525" s="11" t="s">
        <v>30</v>
      </c>
      <c r="F1525" s="11" t="s">
        <v>31</v>
      </c>
      <c r="G1525" s="3">
        <v>2503.91</v>
      </c>
      <c r="H1525" s="3">
        <v>1733.48</v>
      </c>
      <c r="I1525" s="12">
        <v>4</v>
      </c>
      <c r="J1525" s="9" t="s">
        <v>1761</v>
      </c>
      <c r="K1525" s="9" t="s">
        <v>49</v>
      </c>
      <c r="L1525" s="13">
        <v>0</v>
      </c>
      <c r="M1525" s="9" t="s">
        <v>34</v>
      </c>
    </row>
    <row r="1526" spans="1:13" ht="20.25" customHeight="1" x14ac:dyDescent="0.25">
      <c r="A1526" s="9" t="s">
        <v>2640</v>
      </c>
      <c r="B1526" s="10">
        <v>46065</v>
      </c>
      <c r="C1526" s="9" t="s">
        <v>54</v>
      </c>
      <c r="D1526" s="9" t="s">
        <v>51</v>
      </c>
      <c r="E1526" s="11" t="s">
        <v>43</v>
      </c>
      <c r="F1526" s="11" t="s">
        <v>44</v>
      </c>
      <c r="G1526" s="3">
        <v>43.34</v>
      </c>
      <c r="H1526" s="3">
        <v>19.260000000000002</v>
      </c>
      <c r="I1526" s="12">
        <v>1</v>
      </c>
      <c r="J1526" s="9" t="s">
        <v>2641</v>
      </c>
      <c r="K1526" s="9" t="s">
        <v>49</v>
      </c>
      <c r="L1526" s="13">
        <v>0</v>
      </c>
      <c r="M1526" s="9" t="s">
        <v>34</v>
      </c>
    </row>
    <row r="1527" spans="1:13" ht="20.25" customHeight="1" x14ac:dyDescent="0.25">
      <c r="A1527" s="9" t="s">
        <v>2642</v>
      </c>
      <c r="B1527" s="10">
        <v>46065</v>
      </c>
      <c r="C1527" s="9" t="s">
        <v>36</v>
      </c>
      <c r="D1527" s="9" t="s">
        <v>51</v>
      </c>
      <c r="E1527" s="11" t="s">
        <v>37</v>
      </c>
      <c r="F1527" s="11" t="s">
        <v>38</v>
      </c>
      <c r="G1527" s="3">
        <v>115.57</v>
      </c>
      <c r="H1527" s="3">
        <v>67.41</v>
      </c>
      <c r="I1527" s="12">
        <v>1</v>
      </c>
      <c r="J1527" s="9" t="s">
        <v>612</v>
      </c>
      <c r="K1527" s="9" t="s">
        <v>49</v>
      </c>
      <c r="L1527" s="13">
        <v>0</v>
      </c>
      <c r="M1527" s="9" t="s">
        <v>34</v>
      </c>
    </row>
    <row r="1528" spans="1:13" ht="20.25" customHeight="1" x14ac:dyDescent="0.25">
      <c r="A1528" s="9" t="s">
        <v>2643</v>
      </c>
      <c r="B1528" s="10">
        <v>46065</v>
      </c>
      <c r="C1528" s="9" t="s">
        <v>36</v>
      </c>
      <c r="D1528" s="9" t="s">
        <v>51</v>
      </c>
      <c r="E1528" s="11" t="s">
        <v>30</v>
      </c>
      <c r="F1528" s="11" t="s">
        <v>80</v>
      </c>
      <c r="G1528" s="3">
        <v>2455.7600000000002</v>
      </c>
      <c r="H1528" s="3">
        <v>1733.48</v>
      </c>
      <c r="I1528" s="12">
        <v>3</v>
      </c>
      <c r="J1528" s="9" t="s">
        <v>2644</v>
      </c>
      <c r="K1528" s="9" t="s">
        <v>49</v>
      </c>
      <c r="L1528" s="13">
        <v>0</v>
      </c>
      <c r="M1528" s="9" t="s">
        <v>34</v>
      </c>
    </row>
    <row r="1529" spans="1:13" ht="20.25" customHeight="1" x14ac:dyDescent="0.25">
      <c r="A1529" s="9" t="s">
        <v>2645</v>
      </c>
      <c r="B1529" s="10">
        <v>46066</v>
      </c>
      <c r="C1529" s="9" t="s">
        <v>62</v>
      </c>
      <c r="D1529" s="9" t="s">
        <v>29</v>
      </c>
      <c r="E1529" s="11" t="s">
        <v>30</v>
      </c>
      <c r="F1529" s="11" t="s">
        <v>63</v>
      </c>
      <c r="G1529" s="3">
        <v>1155.6500000000001</v>
      </c>
      <c r="H1529" s="3">
        <v>818.59</v>
      </c>
      <c r="I1529" s="12">
        <v>1</v>
      </c>
      <c r="J1529" s="9" t="s">
        <v>2646</v>
      </c>
      <c r="K1529" s="9" t="s">
        <v>49</v>
      </c>
      <c r="L1529" s="13">
        <v>0</v>
      </c>
      <c r="M1529" s="9" t="s">
        <v>34</v>
      </c>
    </row>
    <row r="1530" spans="1:13" ht="20.25" customHeight="1" x14ac:dyDescent="0.25">
      <c r="A1530" s="9" t="s">
        <v>2647</v>
      </c>
      <c r="B1530" s="10">
        <v>46066</v>
      </c>
      <c r="C1530" s="9" t="s">
        <v>28</v>
      </c>
      <c r="D1530" s="9" t="s">
        <v>29</v>
      </c>
      <c r="E1530" s="11" t="s">
        <v>43</v>
      </c>
      <c r="F1530" s="11" t="s">
        <v>90</v>
      </c>
      <c r="G1530" s="3">
        <v>144.46</v>
      </c>
      <c r="H1530" s="3">
        <v>86.67</v>
      </c>
      <c r="I1530" s="12">
        <v>1</v>
      </c>
      <c r="J1530" s="9" t="s">
        <v>732</v>
      </c>
      <c r="K1530" s="9" t="s">
        <v>49</v>
      </c>
      <c r="L1530" s="13">
        <v>0</v>
      </c>
      <c r="M1530" s="9" t="s">
        <v>34</v>
      </c>
    </row>
    <row r="1531" spans="1:13" ht="20.25" customHeight="1" x14ac:dyDescent="0.25">
      <c r="A1531" s="9" t="s">
        <v>2648</v>
      </c>
      <c r="B1531" s="10">
        <v>46067</v>
      </c>
      <c r="C1531" s="9" t="s">
        <v>54</v>
      </c>
      <c r="D1531" s="9" t="s">
        <v>29</v>
      </c>
      <c r="E1531" s="11" t="s">
        <v>30</v>
      </c>
      <c r="F1531" s="11" t="s">
        <v>63</v>
      </c>
      <c r="G1531" s="3">
        <v>1155.6500000000001</v>
      </c>
      <c r="H1531" s="3">
        <v>818.59</v>
      </c>
      <c r="I1531" s="12">
        <v>1</v>
      </c>
      <c r="J1531" s="9" t="s">
        <v>2649</v>
      </c>
      <c r="K1531" s="9" t="s">
        <v>49</v>
      </c>
      <c r="L1531" s="13">
        <v>0</v>
      </c>
      <c r="M1531" s="9" t="s">
        <v>34</v>
      </c>
    </row>
    <row r="1532" spans="1:13" ht="20.25" customHeight="1" x14ac:dyDescent="0.25">
      <c r="A1532" s="9" t="s">
        <v>2650</v>
      </c>
      <c r="B1532" s="10">
        <v>46067</v>
      </c>
      <c r="C1532" s="9" t="s">
        <v>36</v>
      </c>
      <c r="D1532" s="9" t="s">
        <v>51</v>
      </c>
      <c r="E1532" s="11" t="s">
        <v>43</v>
      </c>
      <c r="F1532" s="11" t="s">
        <v>44</v>
      </c>
      <c r="G1532" s="3">
        <v>86.67</v>
      </c>
      <c r="H1532" s="3">
        <v>38.520000000000003</v>
      </c>
      <c r="I1532" s="12">
        <v>2</v>
      </c>
      <c r="J1532" s="9" t="s">
        <v>2651</v>
      </c>
      <c r="K1532" s="9" t="s">
        <v>33</v>
      </c>
      <c r="L1532" s="13">
        <v>1</v>
      </c>
      <c r="M1532" s="9" t="s">
        <v>34</v>
      </c>
    </row>
    <row r="1533" spans="1:13" ht="20.25" customHeight="1" x14ac:dyDescent="0.25">
      <c r="A1533" s="9" t="s">
        <v>2652</v>
      </c>
      <c r="B1533" s="10">
        <v>46068</v>
      </c>
      <c r="C1533" s="9" t="s">
        <v>71</v>
      </c>
      <c r="D1533" s="9" t="s">
        <v>29</v>
      </c>
      <c r="E1533" s="11" t="s">
        <v>30</v>
      </c>
      <c r="F1533" s="11" t="s">
        <v>63</v>
      </c>
      <c r="G1533" s="3">
        <v>1155.6500000000001</v>
      </c>
      <c r="H1533" s="3">
        <v>818.59</v>
      </c>
      <c r="I1533" s="12">
        <v>1</v>
      </c>
      <c r="J1533" s="9" t="s">
        <v>1042</v>
      </c>
      <c r="K1533" s="9" t="s">
        <v>49</v>
      </c>
      <c r="L1533" s="13">
        <v>0</v>
      </c>
      <c r="M1533" s="9" t="s">
        <v>34</v>
      </c>
    </row>
    <row r="1534" spans="1:13" ht="20.25" customHeight="1" x14ac:dyDescent="0.25">
      <c r="A1534" s="9" t="s">
        <v>2653</v>
      </c>
      <c r="B1534" s="10">
        <v>46069</v>
      </c>
      <c r="C1534" s="9" t="s">
        <v>36</v>
      </c>
      <c r="D1534" s="9" t="s">
        <v>51</v>
      </c>
      <c r="E1534" s="11" t="s">
        <v>43</v>
      </c>
      <c r="F1534" s="11" t="s">
        <v>90</v>
      </c>
      <c r="G1534" s="3">
        <v>288.91000000000003</v>
      </c>
      <c r="H1534" s="3">
        <v>173.35</v>
      </c>
      <c r="I1534" s="12">
        <v>2</v>
      </c>
      <c r="J1534" s="9" t="s">
        <v>2654</v>
      </c>
      <c r="K1534" s="9" t="s">
        <v>49</v>
      </c>
      <c r="L1534" s="13">
        <v>0</v>
      </c>
      <c r="M1534" s="9" t="s">
        <v>34</v>
      </c>
    </row>
    <row r="1535" spans="1:13" ht="20.25" customHeight="1" x14ac:dyDescent="0.25">
      <c r="A1535" s="9" t="s">
        <v>2655</v>
      </c>
      <c r="B1535" s="10">
        <v>46069</v>
      </c>
      <c r="C1535" s="9" t="s">
        <v>71</v>
      </c>
      <c r="D1535" s="9" t="s">
        <v>29</v>
      </c>
      <c r="E1535" s="11" t="s">
        <v>58</v>
      </c>
      <c r="F1535" s="11" t="s">
        <v>68</v>
      </c>
      <c r="G1535" s="3">
        <v>-1011.19</v>
      </c>
      <c r="H1535" s="3">
        <v>-635.61</v>
      </c>
      <c r="I1535" s="12">
        <v>-3</v>
      </c>
      <c r="J1535" s="9" t="s">
        <v>308</v>
      </c>
      <c r="K1535" s="9" t="s">
        <v>49</v>
      </c>
      <c r="L1535" s="13">
        <v>0</v>
      </c>
      <c r="M1535" s="9" t="s">
        <v>76</v>
      </c>
    </row>
    <row r="1536" spans="1:13" ht="20.25" customHeight="1" x14ac:dyDescent="0.25">
      <c r="A1536" s="9" t="s">
        <v>2656</v>
      </c>
      <c r="B1536" s="10">
        <v>46069</v>
      </c>
      <c r="C1536" s="9" t="s">
        <v>36</v>
      </c>
      <c r="D1536" s="9" t="s">
        <v>29</v>
      </c>
      <c r="E1536" s="11" t="s">
        <v>58</v>
      </c>
      <c r="F1536" s="11" t="s">
        <v>87</v>
      </c>
      <c r="G1536" s="3">
        <v>346.7</v>
      </c>
      <c r="H1536" s="3">
        <v>211.87</v>
      </c>
      <c r="I1536" s="12">
        <v>2</v>
      </c>
      <c r="J1536" s="9" t="s">
        <v>1360</v>
      </c>
      <c r="K1536" s="9" t="s">
        <v>33</v>
      </c>
      <c r="L1536" s="13">
        <v>1</v>
      </c>
      <c r="M1536" s="9" t="s">
        <v>34</v>
      </c>
    </row>
    <row r="1537" spans="1:13" ht="20.25" customHeight="1" x14ac:dyDescent="0.25">
      <c r="A1537" s="9" t="s">
        <v>2657</v>
      </c>
      <c r="B1537" s="10">
        <v>46071</v>
      </c>
      <c r="C1537" s="9" t="s">
        <v>28</v>
      </c>
      <c r="D1537" s="9" t="s">
        <v>29</v>
      </c>
      <c r="E1537" s="11" t="s">
        <v>43</v>
      </c>
      <c r="F1537" s="11" t="s">
        <v>90</v>
      </c>
      <c r="G1537" s="3">
        <v>144.46</v>
      </c>
      <c r="H1537" s="3">
        <v>86.67</v>
      </c>
      <c r="I1537" s="12">
        <v>1</v>
      </c>
      <c r="J1537" s="9" t="s">
        <v>2658</v>
      </c>
      <c r="K1537" s="9" t="s">
        <v>33</v>
      </c>
      <c r="L1537" s="13">
        <v>1</v>
      </c>
      <c r="M1537" s="9" t="s">
        <v>34</v>
      </c>
    </row>
    <row r="1538" spans="1:13" ht="20.25" customHeight="1" x14ac:dyDescent="0.25">
      <c r="A1538" s="9" t="s">
        <v>2659</v>
      </c>
      <c r="B1538" s="10">
        <v>46071</v>
      </c>
      <c r="C1538" s="9" t="s">
        <v>28</v>
      </c>
      <c r="D1538" s="9" t="s">
        <v>42</v>
      </c>
      <c r="E1538" s="11" t="s">
        <v>58</v>
      </c>
      <c r="F1538" s="11" t="s">
        <v>68</v>
      </c>
      <c r="G1538" s="3">
        <v>-1011.19</v>
      </c>
      <c r="H1538" s="3">
        <v>-635.61</v>
      </c>
      <c r="I1538" s="12">
        <v>-3</v>
      </c>
      <c r="J1538" s="9" t="s">
        <v>2660</v>
      </c>
      <c r="K1538" s="9" t="s">
        <v>49</v>
      </c>
      <c r="L1538" s="13">
        <v>0</v>
      </c>
      <c r="M1538" s="9" t="s">
        <v>76</v>
      </c>
    </row>
    <row r="1539" spans="1:13" ht="20.25" customHeight="1" x14ac:dyDescent="0.25">
      <c r="A1539" s="9" t="s">
        <v>2661</v>
      </c>
      <c r="B1539" s="10">
        <v>46072</v>
      </c>
      <c r="C1539" s="9" t="s">
        <v>28</v>
      </c>
      <c r="D1539" s="9" t="s">
        <v>51</v>
      </c>
      <c r="E1539" s="11" t="s">
        <v>58</v>
      </c>
      <c r="F1539" s="11" t="s">
        <v>59</v>
      </c>
      <c r="G1539" s="3">
        <v>144.46</v>
      </c>
      <c r="H1539" s="3">
        <v>86.67</v>
      </c>
      <c r="I1539" s="12">
        <v>1</v>
      </c>
      <c r="J1539" s="9" t="s">
        <v>175</v>
      </c>
      <c r="K1539" s="9" t="s">
        <v>49</v>
      </c>
      <c r="L1539" s="13">
        <v>0</v>
      </c>
      <c r="M1539" s="9" t="s">
        <v>34</v>
      </c>
    </row>
    <row r="1540" spans="1:13" ht="20.25" customHeight="1" x14ac:dyDescent="0.25">
      <c r="A1540" s="9" t="s">
        <v>2662</v>
      </c>
      <c r="B1540" s="10">
        <v>46072</v>
      </c>
      <c r="C1540" s="9" t="s">
        <v>62</v>
      </c>
      <c r="D1540" s="9" t="s">
        <v>29</v>
      </c>
      <c r="E1540" s="11" t="s">
        <v>30</v>
      </c>
      <c r="F1540" s="11" t="s">
        <v>80</v>
      </c>
      <c r="G1540" s="3">
        <v>818.59</v>
      </c>
      <c r="H1540" s="3">
        <v>577.83000000000004</v>
      </c>
      <c r="I1540" s="12">
        <v>1</v>
      </c>
      <c r="J1540" s="9" t="s">
        <v>2663</v>
      </c>
      <c r="K1540" s="9" t="s">
        <v>33</v>
      </c>
      <c r="L1540" s="13">
        <v>1</v>
      </c>
      <c r="M1540" s="9" t="s">
        <v>34</v>
      </c>
    </row>
    <row r="1541" spans="1:13" ht="20.25" customHeight="1" x14ac:dyDescent="0.25">
      <c r="A1541" s="9" t="s">
        <v>2664</v>
      </c>
      <c r="B1541" s="10">
        <v>46073</v>
      </c>
      <c r="C1541" s="9" t="s">
        <v>62</v>
      </c>
      <c r="D1541" s="9" t="s">
        <v>51</v>
      </c>
      <c r="E1541" s="11" t="s">
        <v>30</v>
      </c>
      <c r="F1541" s="11" t="s">
        <v>31</v>
      </c>
      <c r="G1541" s="3">
        <v>625.98</v>
      </c>
      <c r="H1541" s="3">
        <v>433.37</v>
      </c>
      <c r="I1541" s="12">
        <v>1</v>
      </c>
      <c r="J1541" s="9" t="s">
        <v>1005</v>
      </c>
      <c r="K1541" s="9" t="s">
        <v>49</v>
      </c>
      <c r="L1541" s="13">
        <v>0</v>
      </c>
      <c r="M1541" s="9" t="s">
        <v>34</v>
      </c>
    </row>
    <row r="1542" spans="1:13" ht="20.25" customHeight="1" x14ac:dyDescent="0.25">
      <c r="A1542" s="9" t="s">
        <v>2665</v>
      </c>
      <c r="B1542" s="10">
        <v>46073</v>
      </c>
      <c r="C1542" s="9" t="s">
        <v>36</v>
      </c>
      <c r="D1542" s="9" t="s">
        <v>29</v>
      </c>
      <c r="E1542" s="11" t="s">
        <v>30</v>
      </c>
      <c r="F1542" s="11" t="s">
        <v>31</v>
      </c>
      <c r="G1542" s="3">
        <v>625.98</v>
      </c>
      <c r="H1542" s="3">
        <v>433.37</v>
      </c>
      <c r="I1542" s="12">
        <v>1</v>
      </c>
      <c r="J1542" s="9" t="s">
        <v>64</v>
      </c>
      <c r="K1542" s="9" t="s">
        <v>49</v>
      </c>
      <c r="L1542" s="13">
        <v>0</v>
      </c>
      <c r="M1542" s="9" t="s">
        <v>34</v>
      </c>
    </row>
    <row r="1543" spans="1:13" ht="20.25" customHeight="1" x14ac:dyDescent="0.25">
      <c r="A1543" s="9" t="s">
        <v>2666</v>
      </c>
      <c r="B1543" s="10">
        <v>46074</v>
      </c>
      <c r="C1543" s="9" t="s">
        <v>41</v>
      </c>
      <c r="D1543" s="9" t="s">
        <v>42</v>
      </c>
      <c r="E1543" s="11" t="s">
        <v>37</v>
      </c>
      <c r="F1543" s="11" t="s">
        <v>72</v>
      </c>
      <c r="G1543" s="3">
        <v>211.87</v>
      </c>
      <c r="H1543" s="3">
        <v>125.2</v>
      </c>
      <c r="I1543" s="12">
        <v>1</v>
      </c>
      <c r="J1543" s="9" t="s">
        <v>732</v>
      </c>
      <c r="K1543" s="9" t="s">
        <v>49</v>
      </c>
      <c r="L1543" s="13">
        <v>0</v>
      </c>
      <c r="M1543" s="9" t="s">
        <v>34</v>
      </c>
    </row>
    <row r="1544" spans="1:13" ht="20.25" customHeight="1" x14ac:dyDescent="0.25">
      <c r="A1544" s="9" t="s">
        <v>2667</v>
      </c>
      <c r="B1544" s="10">
        <v>46074</v>
      </c>
      <c r="C1544" s="9" t="s">
        <v>36</v>
      </c>
      <c r="D1544" s="9" t="s">
        <v>51</v>
      </c>
      <c r="E1544" s="11" t="s">
        <v>30</v>
      </c>
      <c r="F1544" s="11" t="s">
        <v>31</v>
      </c>
      <c r="G1544" s="3">
        <v>625.98</v>
      </c>
      <c r="H1544" s="3">
        <v>433.37</v>
      </c>
      <c r="I1544" s="12">
        <v>1</v>
      </c>
      <c r="J1544" s="9" t="s">
        <v>2668</v>
      </c>
      <c r="K1544" s="9" t="s">
        <v>49</v>
      </c>
      <c r="L1544" s="13">
        <v>0</v>
      </c>
      <c r="M1544" s="9" t="s">
        <v>34</v>
      </c>
    </row>
    <row r="1545" spans="1:13" ht="20.25" customHeight="1" x14ac:dyDescent="0.25">
      <c r="A1545" s="9" t="s">
        <v>2669</v>
      </c>
      <c r="B1545" s="10">
        <v>46074</v>
      </c>
      <c r="C1545" s="9" t="s">
        <v>41</v>
      </c>
      <c r="D1545" s="9" t="s">
        <v>29</v>
      </c>
      <c r="E1545" s="11" t="s">
        <v>30</v>
      </c>
      <c r="F1545" s="11" t="s">
        <v>63</v>
      </c>
      <c r="G1545" s="3">
        <v>1155.6500000000001</v>
      </c>
      <c r="H1545" s="3">
        <v>818.59</v>
      </c>
      <c r="I1545" s="12">
        <v>1</v>
      </c>
      <c r="J1545" s="9" t="s">
        <v>2670</v>
      </c>
      <c r="K1545" s="9" t="s">
        <v>33</v>
      </c>
      <c r="L1545" s="13">
        <v>1</v>
      </c>
      <c r="M1545" s="9" t="s">
        <v>34</v>
      </c>
    </row>
    <row r="1546" spans="1:13" ht="20.25" customHeight="1" x14ac:dyDescent="0.25">
      <c r="A1546" s="9" t="s">
        <v>2671</v>
      </c>
      <c r="B1546" s="10">
        <v>46074</v>
      </c>
      <c r="C1546" s="9" t="s">
        <v>54</v>
      </c>
      <c r="D1546" s="9" t="s">
        <v>51</v>
      </c>
      <c r="E1546" s="11" t="s">
        <v>58</v>
      </c>
      <c r="F1546" s="11" t="s">
        <v>59</v>
      </c>
      <c r="G1546" s="3">
        <v>144.46</v>
      </c>
      <c r="H1546" s="3">
        <v>86.67</v>
      </c>
      <c r="I1546" s="12">
        <v>1</v>
      </c>
      <c r="J1546" s="9" t="s">
        <v>2672</v>
      </c>
      <c r="K1546" s="9" t="s">
        <v>49</v>
      </c>
      <c r="L1546" s="13">
        <v>0</v>
      </c>
      <c r="M1546" s="9" t="s">
        <v>34</v>
      </c>
    </row>
    <row r="1547" spans="1:13" ht="20.25" customHeight="1" x14ac:dyDescent="0.25">
      <c r="A1547" s="9" t="s">
        <v>2673</v>
      </c>
      <c r="B1547" s="10">
        <v>46075</v>
      </c>
      <c r="C1547" s="9" t="s">
        <v>62</v>
      </c>
      <c r="D1547" s="9" t="s">
        <v>29</v>
      </c>
      <c r="E1547" s="11" t="s">
        <v>37</v>
      </c>
      <c r="F1547" s="11" t="s">
        <v>72</v>
      </c>
      <c r="G1547" s="3">
        <v>423.74</v>
      </c>
      <c r="H1547" s="3">
        <v>250.39</v>
      </c>
      <c r="I1547" s="12">
        <v>2</v>
      </c>
      <c r="J1547" s="9" t="s">
        <v>2674</v>
      </c>
      <c r="K1547" s="9" t="s">
        <v>49</v>
      </c>
      <c r="L1547" s="13">
        <v>0</v>
      </c>
      <c r="M1547" s="9" t="s">
        <v>34</v>
      </c>
    </row>
    <row r="1548" spans="1:13" ht="20.25" customHeight="1" x14ac:dyDescent="0.25">
      <c r="A1548" s="9" t="s">
        <v>2675</v>
      </c>
      <c r="B1548" s="10">
        <v>46075</v>
      </c>
      <c r="C1548" s="9" t="s">
        <v>36</v>
      </c>
      <c r="D1548" s="9" t="s">
        <v>42</v>
      </c>
      <c r="E1548" s="11" t="s">
        <v>37</v>
      </c>
      <c r="F1548" s="11" t="s">
        <v>72</v>
      </c>
      <c r="G1548" s="3">
        <v>423.74</v>
      </c>
      <c r="H1548" s="3">
        <v>250.39</v>
      </c>
      <c r="I1548" s="12">
        <v>2</v>
      </c>
      <c r="J1548" s="9" t="s">
        <v>591</v>
      </c>
      <c r="K1548" s="9" t="s">
        <v>49</v>
      </c>
      <c r="L1548" s="13">
        <v>0</v>
      </c>
      <c r="M1548" s="9" t="s">
        <v>34</v>
      </c>
    </row>
    <row r="1549" spans="1:13" ht="20.25" customHeight="1" x14ac:dyDescent="0.25">
      <c r="A1549" s="9" t="s">
        <v>2676</v>
      </c>
      <c r="B1549" s="10">
        <v>46076</v>
      </c>
      <c r="C1549" s="9" t="s">
        <v>41</v>
      </c>
      <c r="D1549" s="9" t="s">
        <v>29</v>
      </c>
      <c r="E1549" s="11" t="s">
        <v>30</v>
      </c>
      <c r="F1549" s="11" t="s">
        <v>63</v>
      </c>
      <c r="G1549" s="3">
        <v>2311.3000000000002</v>
      </c>
      <c r="H1549" s="3">
        <v>1637.17</v>
      </c>
      <c r="I1549" s="12">
        <v>2</v>
      </c>
      <c r="J1549" s="9" t="s">
        <v>2058</v>
      </c>
      <c r="K1549" s="9" t="s">
        <v>49</v>
      </c>
      <c r="L1549" s="13">
        <v>0</v>
      </c>
      <c r="M1549" s="9" t="s">
        <v>34</v>
      </c>
    </row>
    <row r="1550" spans="1:13" ht="20.25" customHeight="1" x14ac:dyDescent="0.25">
      <c r="A1550" s="9" t="s">
        <v>2677</v>
      </c>
      <c r="B1550" s="10">
        <v>46076</v>
      </c>
      <c r="C1550" s="9" t="s">
        <v>28</v>
      </c>
      <c r="D1550" s="9" t="s">
        <v>51</v>
      </c>
      <c r="E1550" s="11" t="s">
        <v>30</v>
      </c>
      <c r="F1550" s="11" t="s">
        <v>31</v>
      </c>
      <c r="G1550" s="3">
        <v>625.98</v>
      </c>
      <c r="H1550" s="3">
        <v>433.37</v>
      </c>
      <c r="I1550" s="12">
        <v>1</v>
      </c>
      <c r="J1550" s="9" t="s">
        <v>1435</v>
      </c>
      <c r="K1550" s="9" t="s">
        <v>49</v>
      </c>
      <c r="L1550" s="13">
        <v>0</v>
      </c>
      <c r="M1550" s="9" t="s">
        <v>34</v>
      </c>
    </row>
    <row r="1551" spans="1:13" ht="20.25" customHeight="1" x14ac:dyDescent="0.25">
      <c r="A1551" s="9" t="s">
        <v>2678</v>
      </c>
      <c r="B1551" s="10">
        <v>46076</v>
      </c>
      <c r="C1551" s="9" t="s">
        <v>62</v>
      </c>
      <c r="D1551" s="9" t="s">
        <v>29</v>
      </c>
      <c r="E1551" s="11" t="s">
        <v>43</v>
      </c>
      <c r="F1551" s="11" t="s">
        <v>90</v>
      </c>
      <c r="G1551" s="3">
        <v>144.46</v>
      </c>
      <c r="H1551" s="3">
        <v>86.67</v>
      </c>
      <c r="I1551" s="12">
        <v>1</v>
      </c>
      <c r="J1551" s="9" t="s">
        <v>276</v>
      </c>
      <c r="K1551" s="9" t="s">
        <v>49</v>
      </c>
      <c r="L1551" s="13">
        <v>0</v>
      </c>
      <c r="M1551" s="9" t="s">
        <v>34</v>
      </c>
    </row>
    <row r="1552" spans="1:13" ht="20.25" customHeight="1" x14ac:dyDescent="0.25">
      <c r="A1552" s="9" t="s">
        <v>2679</v>
      </c>
      <c r="B1552" s="10">
        <v>46076</v>
      </c>
      <c r="C1552" s="9" t="s">
        <v>28</v>
      </c>
      <c r="D1552" s="9" t="s">
        <v>51</v>
      </c>
      <c r="E1552" s="11" t="s">
        <v>30</v>
      </c>
      <c r="F1552" s="11" t="s">
        <v>80</v>
      </c>
      <c r="G1552" s="3">
        <v>3274.34</v>
      </c>
      <c r="H1552" s="3">
        <v>2311.3000000000002</v>
      </c>
      <c r="I1552" s="12">
        <v>4</v>
      </c>
      <c r="J1552" s="9" t="s">
        <v>2680</v>
      </c>
      <c r="K1552" s="9" t="s">
        <v>49</v>
      </c>
      <c r="L1552" s="13">
        <v>0</v>
      </c>
      <c r="M1552" s="9" t="s">
        <v>34</v>
      </c>
    </row>
    <row r="1553" spans="1:13" ht="20.25" customHeight="1" x14ac:dyDescent="0.25">
      <c r="A1553" s="9" t="s">
        <v>2681</v>
      </c>
      <c r="B1553" s="10">
        <v>46077</v>
      </c>
      <c r="C1553" s="9" t="s">
        <v>71</v>
      </c>
      <c r="D1553" s="9" t="s">
        <v>51</v>
      </c>
      <c r="E1553" s="11" t="s">
        <v>43</v>
      </c>
      <c r="F1553" s="11" t="s">
        <v>44</v>
      </c>
      <c r="G1553" s="3">
        <v>43.34</v>
      </c>
      <c r="H1553" s="3">
        <v>19.260000000000002</v>
      </c>
      <c r="I1553" s="12">
        <v>1</v>
      </c>
      <c r="J1553" s="9" t="s">
        <v>2682</v>
      </c>
      <c r="K1553" s="9" t="s">
        <v>33</v>
      </c>
      <c r="L1553" s="13">
        <v>1</v>
      </c>
      <c r="M1553" s="9" t="s">
        <v>34</v>
      </c>
    </row>
    <row r="1554" spans="1:13" ht="20.25" customHeight="1" x14ac:dyDescent="0.25">
      <c r="A1554" s="9" t="s">
        <v>2683</v>
      </c>
      <c r="B1554" s="10">
        <v>46077</v>
      </c>
      <c r="C1554" s="9" t="s">
        <v>41</v>
      </c>
      <c r="D1554" s="9" t="s">
        <v>51</v>
      </c>
      <c r="E1554" s="11" t="s">
        <v>43</v>
      </c>
      <c r="F1554" s="11" t="s">
        <v>90</v>
      </c>
      <c r="G1554" s="3">
        <v>433.37</v>
      </c>
      <c r="H1554" s="3">
        <v>260.02</v>
      </c>
      <c r="I1554" s="12">
        <v>3</v>
      </c>
      <c r="J1554" s="9" t="s">
        <v>2684</v>
      </c>
      <c r="K1554" s="9" t="s">
        <v>49</v>
      </c>
      <c r="L1554" s="13">
        <v>0</v>
      </c>
      <c r="M1554" s="9" t="s">
        <v>34</v>
      </c>
    </row>
    <row r="1555" spans="1:13" ht="20.25" customHeight="1" x14ac:dyDescent="0.25">
      <c r="A1555" s="9" t="s">
        <v>2685</v>
      </c>
      <c r="B1555" s="10">
        <v>46078</v>
      </c>
      <c r="C1555" s="9" t="s">
        <v>41</v>
      </c>
      <c r="D1555" s="9" t="s">
        <v>51</v>
      </c>
      <c r="E1555" s="11" t="s">
        <v>43</v>
      </c>
      <c r="F1555" s="11" t="s">
        <v>44</v>
      </c>
      <c r="G1555" s="3">
        <v>-43.34</v>
      </c>
      <c r="H1555" s="3">
        <v>-19.260000000000002</v>
      </c>
      <c r="I1555" s="12">
        <v>-1</v>
      </c>
      <c r="J1555" s="9" t="s">
        <v>2686</v>
      </c>
      <c r="K1555" s="9" t="s">
        <v>33</v>
      </c>
      <c r="L1555" s="13">
        <v>1</v>
      </c>
      <c r="M1555" s="9" t="s">
        <v>76</v>
      </c>
    </row>
    <row r="1556" spans="1:13" ht="20.25" customHeight="1" x14ac:dyDescent="0.25">
      <c r="A1556" s="9" t="s">
        <v>2687</v>
      </c>
      <c r="B1556" s="10">
        <v>46078</v>
      </c>
      <c r="C1556" s="9" t="s">
        <v>28</v>
      </c>
      <c r="D1556" s="9" t="s">
        <v>42</v>
      </c>
      <c r="E1556" s="11" t="s">
        <v>30</v>
      </c>
      <c r="F1556" s="11" t="s">
        <v>31</v>
      </c>
      <c r="G1556" s="3">
        <v>1877.93</v>
      </c>
      <c r="H1556" s="3">
        <v>1300.1099999999999</v>
      </c>
      <c r="I1556" s="12">
        <v>3</v>
      </c>
      <c r="J1556" s="9" t="s">
        <v>2583</v>
      </c>
      <c r="K1556" s="9" t="s">
        <v>49</v>
      </c>
      <c r="L1556" s="13">
        <v>0</v>
      </c>
      <c r="M1556" s="9" t="s">
        <v>34</v>
      </c>
    </row>
    <row r="1557" spans="1:13" ht="20.25" customHeight="1" x14ac:dyDescent="0.25">
      <c r="A1557" s="9" t="s">
        <v>2688</v>
      </c>
      <c r="B1557" s="10">
        <v>46078</v>
      </c>
      <c r="C1557" s="9" t="s">
        <v>62</v>
      </c>
      <c r="D1557" s="9" t="s">
        <v>29</v>
      </c>
      <c r="E1557" s="11" t="s">
        <v>43</v>
      </c>
      <c r="F1557" s="11" t="s">
        <v>44</v>
      </c>
      <c r="G1557" s="3">
        <v>43.34</v>
      </c>
      <c r="H1557" s="3">
        <v>19.260000000000002</v>
      </c>
      <c r="I1557" s="12">
        <v>1</v>
      </c>
      <c r="J1557" s="9" t="s">
        <v>2689</v>
      </c>
      <c r="K1557" s="9" t="s">
        <v>49</v>
      </c>
      <c r="L1557" s="13">
        <v>0</v>
      </c>
      <c r="M1557" s="9" t="s">
        <v>34</v>
      </c>
    </row>
    <row r="1558" spans="1:13" ht="20.25" customHeight="1" x14ac:dyDescent="0.25">
      <c r="A1558" s="9" t="s">
        <v>2690</v>
      </c>
      <c r="B1558" s="10">
        <v>46079</v>
      </c>
      <c r="C1558" s="9" t="s">
        <v>28</v>
      </c>
      <c r="D1558" s="9" t="s">
        <v>29</v>
      </c>
      <c r="E1558" s="11" t="s">
        <v>43</v>
      </c>
      <c r="F1558" s="11" t="s">
        <v>44</v>
      </c>
      <c r="G1558" s="3">
        <v>43.34</v>
      </c>
      <c r="H1558" s="3">
        <v>19.260000000000002</v>
      </c>
      <c r="I1558" s="12">
        <v>1</v>
      </c>
      <c r="J1558" s="9" t="s">
        <v>2691</v>
      </c>
      <c r="K1558" s="9" t="s">
        <v>33</v>
      </c>
      <c r="L1558" s="13">
        <v>1</v>
      </c>
      <c r="M1558" s="9" t="s">
        <v>34</v>
      </c>
    </row>
    <row r="1559" spans="1:13" ht="20.25" customHeight="1" x14ac:dyDescent="0.25">
      <c r="A1559" s="9" t="s">
        <v>2692</v>
      </c>
      <c r="B1559" s="10">
        <v>46079</v>
      </c>
      <c r="C1559" s="9" t="s">
        <v>71</v>
      </c>
      <c r="D1559" s="9" t="s">
        <v>29</v>
      </c>
      <c r="E1559" s="11" t="s">
        <v>37</v>
      </c>
      <c r="F1559" s="11" t="s">
        <v>38</v>
      </c>
      <c r="G1559" s="3">
        <v>231.13</v>
      </c>
      <c r="H1559" s="3">
        <v>134.83000000000001</v>
      </c>
      <c r="I1559" s="12">
        <v>2</v>
      </c>
      <c r="J1559" s="9" t="s">
        <v>2693</v>
      </c>
      <c r="K1559" s="9" t="s">
        <v>33</v>
      </c>
      <c r="L1559" s="13">
        <v>1</v>
      </c>
      <c r="M1559" s="9" t="s">
        <v>34</v>
      </c>
    </row>
    <row r="1560" spans="1:13" ht="20.25" customHeight="1" x14ac:dyDescent="0.25">
      <c r="A1560" s="9" t="s">
        <v>2694</v>
      </c>
      <c r="B1560" s="10">
        <v>46079</v>
      </c>
      <c r="C1560" s="9" t="s">
        <v>28</v>
      </c>
      <c r="D1560" s="9" t="s">
        <v>42</v>
      </c>
      <c r="E1560" s="11" t="s">
        <v>58</v>
      </c>
      <c r="F1560" s="11" t="s">
        <v>59</v>
      </c>
      <c r="G1560" s="3">
        <v>144.46</v>
      </c>
      <c r="H1560" s="3">
        <v>86.67</v>
      </c>
      <c r="I1560" s="12">
        <v>1</v>
      </c>
      <c r="J1560" s="9" t="s">
        <v>1054</v>
      </c>
      <c r="K1560" s="9" t="s">
        <v>33</v>
      </c>
      <c r="L1560" s="13">
        <v>1</v>
      </c>
      <c r="M1560" s="9" t="s">
        <v>34</v>
      </c>
    </row>
    <row r="1561" spans="1:13" ht="20.25" customHeight="1" x14ac:dyDescent="0.25">
      <c r="A1561" s="9" t="s">
        <v>2695</v>
      </c>
      <c r="B1561" s="10">
        <v>46079</v>
      </c>
      <c r="C1561" s="9" t="s">
        <v>36</v>
      </c>
      <c r="D1561" s="9" t="s">
        <v>29</v>
      </c>
      <c r="E1561" s="11" t="s">
        <v>30</v>
      </c>
      <c r="F1561" s="11" t="s">
        <v>31</v>
      </c>
      <c r="G1561" s="3">
        <v>625.98</v>
      </c>
      <c r="H1561" s="3">
        <v>433.37</v>
      </c>
      <c r="I1561" s="12">
        <v>1</v>
      </c>
      <c r="J1561" s="9" t="s">
        <v>512</v>
      </c>
      <c r="K1561" s="9" t="s">
        <v>49</v>
      </c>
      <c r="L1561" s="13">
        <v>0</v>
      </c>
      <c r="M1561" s="9" t="s">
        <v>34</v>
      </c>
    </row>
    <row r="1562" spans="1:13" ht="20.25" customHeight="1" x14ac:dyDescent="0.25">
      <c r="A1562" s="9" t="s">
        <v>2696</v>
      </c>
      <c r="B1562" s="10">
        <v>46080</v>
      </c>
      <c r="C1562" s="9" t="s">
        <v>71</v>
      </c>
      <c r="D1562" s="9" t="s">
        <v>51</v>
      </c>
      <c r="E1562" s="11" t="s">
        <v>30</v>
      </c>
      <c r="F1562" s="11" t="s">
        <v>63</v>
      </c>
      <c r="G1562" s="3">
        <v>1155.6500000000001</v>
      </c>
      <c r="H1562" s="3">
        <v>818.59</v>
      </c>
      <c r="I1562" s="12">
        <v>1</v>
      </c>
      <c r="J1562" s="9" t="s">
        <v>2697</v>
      </c>
      <c r="K1562" s="9" t="s">
        <v>49</v>
      </c>
      <c r="L1562" s="13">
        <v>0</v>
      </c>
      <c r="M1562" s="9" t="s">
        <v>34</v>
      </c>
    </row>
    <row r="1563" spans="1:13" ht="20.25" customHeight="1" x14ac:dyDescent="0.25">
      <c r="A1563" s="9" t="s">
        <v>2698</v>
      </c>
      <c r="B1563" s="10">
        <v>46080</v>
      </c>
      <c r="C1563" s="9" t="s">
        <v>36</v>
      </c>
      <c r="D1563" s="9" t="s">
        <v>51</v>
      </c>
      <c r="E1563" s="11" t="s">
        <v>58</v>
      </c>
      <c r="F1563" s="11" t="s">
        <v>87</v>
      </c>
      <c r="G1563" s="3">
        <v>346.7</v>
      </c>
      <c r="H1563" s="3">
        <v>211.87</v>
      </c>
      <c r="I1563" s="12">
        <v>2</v>
      </c>
      <c r="J1563" s="9" t="s">
        <v>1265</v>
      </c>
      <c r="K1563" s="9" t="s">
        <v>49</v>
      </c>
      <c r="L1563" s="13">
        <v>0</v>
      </c>
      <c r="M1563" s="9" t="s">
        <v>34</v>
      </c>
    </row>
    <row r="1564" spans="1:13" ht="20.25" customHeight="1" x14ac:dyDescent="0.25">
      <c r="A1564" s="9" t="s">
        <v>2699</v>
      </c>
      <c r="B1564" s="10">
        <v>46080</v>
      </c>
      <c r="C1564" s="9" t="s">
        <v>28</v>
      </c>
      <c r="D1564" s="9" t="s">
        <v>29</v>
      </c>
      <c r="E1564" s="11" t="s">
        <v>37</v>
      </c>
      <c r="F1564" s="11" t="s">
        <v>72</v>
      </c>
      <c r="G1564" s="3">
        <v>211.87</v>
      </c>
      <c r="H1564" s="3">
        <v>125.2</v>
      </c>
      <c r="I1564" s="12">
        <v>1</v>
      </c>
      <c r="J1564" s="9" t="s">
        <v>2700</v>
      </c>
      <c r="K1564" s="9" t="s">
        <v>49</v>
      </c>
      <c r="L1564" s="13">
        <v>0</v>
      </c>
      <c r="M1564" s="9" t="s">
        <v>34</v>
      </c>
    </row>
    <row r="1565" spans="1:13" ht="20.25" customHeight="1" x14ac:dyDescent="0.25">
      <c r="A1565" s="9" t="s">
        <v>2701</v>
      </c>
      <c r="B1565" s="10">
        <v>46081</v>
      </c>
      <c r="C1565" s="9" t="s">
        <v>28</v>
      </c>
      <c r="D1565" s="9" t="s">
        <v>29</v>
      </c>
      <c r="E1565" s="11" t="s">
        <v>58</v>
      </c>
      <c r="F1565" s="11" t="s">
        <v>59</v>
      </c>
      <c r="G1565" s="3">
        <v>144.46</v>
      </c>
      <c r="H1565" s="3">
        <v>86.67</v>
      </c>
      <c r="I1565" s="12">
        <v>1</v>
      </c>
      <c r="J1565" s="9" t="s">
        <v>1086</v>
      </c>
      <c r="K1565" s="9" t="s">
        <v>49</v>
      </c>
      <c r="L1565" s="13">
        <v>0</v>
      </c>
      <c r="M1565" s="9" t="s">
        <v>34</v>
      </c>
    </row>
    <row r="1566" spans="1:13" ht="20.25" customHeight="1" x14ac:dyDescent="0.25">
      <c r="A1566" s="9" t="s">
        <v>2702</v>
      </c>
      <c r="B1566" s="10">
        <v>46081</v>
      </c>
      <c r="C1566" s="9" t="s">
        <v>36</v>
      </c>
      <c r="D1566" s="9" t="s">
        <v>29</v>
      </c>
      <c r="E1566" s="11" t="s">
        <v>58</v>
      </c>
      <c r="F1566" s="11" t="s">
        <v>68</v>
      </c>
      <c r="G1566" s="3">
        <v>-337.06</v>
      </c>
      <c r="H1566" s="3">
        <v>-211.87</v>
      </c>
      <c r="I1566" s="12">
        <v>-1</v>
      </c>
      <c r="J1566" s="9" t="s">
        <v>1065</v>
      </c>
      <c r="K1566" s="9" t="s">
        <v>49</v>
      </c>
      <c r="L1566" s="13">
        <v>0</v>
      </c>
      <c r="M1566" s="9" t="s">
        <v>76</v>
      </c>
    </row>
    <row r="1567" spans="1:13" ht="20.25" customHeight="1" x14ac:dyDescent="0.25">
      <c r="A1567" s="9" t="s">
        <v>2703</v>
      </c>
      <c r="B1567" s="10">
        <v>46081</v>
      </c>
      <c r="C1567" s="9" t="s">
        <v>41</v>
      </c>
      <c r="D1567" s="9" t="s">
        <v>29</v>
      </c>
      <c r="E1567" s="11" t="s">
        <v>58</v>
      </c>
      <c r="F1567" s="11" t="s">
        <v>87</v>
      </c>
      <c r="G1567" s="3">
        <v>173.35</v>
      </c>
      <c r="H1567" s="3">
        <v>105.93</v>
      </c>
      <c r="I1567" s="12">
        <v>1</v>
      </c>
      <c r="J1567" s="9" t="s">
        <v>487</v>
      </c>
      <c r="K1567" s="9" t="s">
        <v>49</v>
      </c>
      <c r="L1567" s="13">
        <v>0</v>
      </c>
      <c r="M1567" s="9" t="s">
        <v>34</v>
      </c>
    </row>
    <row r="1568" spans="1:13" ht="20.25" customHeight="1" x14ac:dyDescent="0.25">
      <c r="A1568" s="9" t="s">
        <v>2704</v>
      </c>
      <c r="B1568" s="10">
        <v>46081</v>
      </c>
      <c r="C1568" s="9" t="s">
        <v>54</v>
      </c>
      <c r="D1568" s="9" t="s">
        <v>29</v>
      </c>
      <c r="E1568" s="11" t="s">
        <v>37</v>
      </c>
      <c r="F1568" s="11" t="s">
        <v>38</v>
      </c>
      <c r="G1568" s="3">
        <v>231.13</v>
      </c>
      <c r="H1568" s="3">
        <v>134.83000000000001</v>
      </c>
      <c r="I1568" s="12">
        <v>2</v>
      </c>
      <c r="J1568" s="9" t="s">
        <v>2249</v>
      </c>
      <c r="K1568" s="9" t="s">
        <v>49</v>
      </c>
      <c r="L1568" s="13">
        <v>0</v>
      </c>
      <c r="M1568" s="9" t="s">
        <v>34</v>
      </c>
    </row>
    <row r="1569" spans="1:13" ht="20.25" customHeight="1" x14ac:dyDescent="0.25">
      <c r="A1569" s="9" t="s">
        <v>2705</v>
      </c>
      <c r="B1569" s="10">
        <v>46081</v>
      </c>
      <c r="C1569" s="9" t="s">
        <v>28</v>
      </c>
      <c r="D1569" s="9" t="s">
        <v>29</v>
      </c>
      <c r="E1569" s="11" t="s">
        <v>43</v>
      </c>
      <c r="F1569" s="11" t="s">
        <v>90</v>
      </c>
      <c r="G1569" s="3">
        <v>144.46</v>
      </c>
      <c r="H1569" s="3">
        <v>86.67</v>
      </c>
      <c r="I1569" s="12">
        <v>1</v>
      </c>
      <c r="J1569" s="9" t="s">
        <v>2706</v>
      </c>
      <c r="K1569" s="9" t="s">
        <v>33</v>
      </c>
      <c r="L1569" s="13">
        <v>1</v>
      </c>
      <c r="M1569" s="9" t="s">
        <v>34</v>
      </c>
    </row>
    <row r="1570" spans="1:13" ht="20.25" customHeight="1" x14ac:dyDescent="0.25">
      <c r="A1570" s="9" t="s">
        <v>2707</v>
      </c>
      <c r="B1570" s="10">
        <v>46081</v>
      </c>
      <c r="C1570" s="9" t="s">
        <v>36</v>
      </c>
      <c r="D1570" s="9" t="s">
        <v>42</v>
      </c>
      <c r="E1570" s="11" t="s">
        <v>30</v>
      </c>
      <c r="F1570" s="11" t="s">
        <v>31</v>
      </c>
      <c r="G1570" s="3">
        <v>625.98</v>
      </c>
      <c r="H1570" s="3">
        <v>433.37</v>
      </c>
      <c r="I1570" s="12">
        <v>1</v>
      </c>
      <c r="J1570" s="9" t="s">
        <v>2708</v>
      </c>
      <c r="K1570" s="9" t="s">
        <v>49</v>
      </c>
      <c r="L1570" s="13">
        <v>0</v>
      </c>
      <c r="M1570" s="9" t="s">
        <v>34</v>
      </c>
    </row>
    <row r="1571" spans="1:13" ht="20.25" customHeight="1" x14ac:dyDescent="0.25">
      <c r="A1571" s="9" t="s">
        <v>2709</v>
      </c>
      <c r="B1571" s="10">
        <v>46081</v>
      </c>
      <c r="C1571" s="9" t="s">
        <v>28</v>
      </c>
      <c r="D1571" s="9" t="s">
        <v>42</v>
      </c>
      <c r="E1571" s="11" t="s">
        <v>58</v>
      </c>
      <c r="F1571" s="11" t="s">
        <v>68</v>
      </c>
      <c r="G1571" s="3">
        <v>337.06</v>
      </c>
      <c r="H1571" s="3">
        <v>211.87</v>
      </c>
      <c r="I1571" s="12">
        <v>1</v>
      </c>
      <c r="J1571" s="9" t="s">
        <v>2710</v>
      </c>
      <c r="K1571" s="9" t="s">
        <v>49</v>
      </c>
      <c r="L1571" s="13">
        <v>0</v>
      </c>
      <c r="M1571" s="9" t="s">
        <v>34</v>
      </c>
    </row>
    <row r="1572" spans="1:13" ht="20.25" customHeight="1" x14ac:dyDescent="0.25">
      <c r="A1572" s="9" t="s">
        <v>2711</v>
      </c>
      <c r="B1572" s="10">
        <v>46082</v>
      </c>
      <c r="C1572" s="9" t="s">
        <v>28</v>
      </c>
      <c r="D1572" s="9" t="s">
        <v>29</v>
      </c>
      <c r="E1572" s="11" t="s">
        <v>30</v>
      </c>
      <c r="F1572" s="11" t="s">
        <v>31</v>
      </c>
      <c r="G1572" s="3">
        <v>625.98</v>
      </c>
      <c r="H1572" s="3">
        <v>433.37</v>
      </c>
      <c r="I1572" s="12">
        <v>1</v>
      </c>
      <c r="J1572" s="9" t="s">
        <v>2046</v>
      </c>
      <c r="K1572" s="9" t="s">
        <v>49</v>
      </c>
      <c r="L1572" s="13">
        <v>0</v>
      </c>
      <c r="M1572" s="9" t="s">
        <v>34</v>
      </c>
    </row>
    <row r="1573" spans="1:13" ht="20.25" customHeight="1" x14ac:dyDescent="0.25">
      <c r="A1573" s="9" t="s">
        <v>2712</v>
      </c>
      <c r="B1573" s="10">
        <v>46082</v>
      </c>
      <c r="C1573" s="9" t="s">
        <v>41</v>
      </c>
      <c r="D1573" s="9" t="s">
        <v>29</v>
      </c>
      <c r="E1573" s="11" t="s">
        <v>37</v>
      </c>
      <c r="F1573" s="11" t="s">
        <v>38</v>
      </c>
      <c r="G1573" s="3">
        <v>115.57</v>
      </c>
      <c r="H1573" s="3">
        <v>67.41</v>
      </c>
      <c r="I1573" s="12">
        <v>1</v>
      </c>
      <c r="J1573" s="9" t="s">
        <v>392</v>
      </c>
      <c r="K1573" s="9" t="s">
        <v>49</v>
      </c>
      <c r="L1573" s="13">
        <v>0</v>
      </c>
      <c r="M1573" s="9" t="s">
        <v>34</v>
      </c>
    </row>
    <row r="1574" spans="1:13" ht="20.25" customHeight="1" x14ac:dyDescent="0.25">
      <c r="A1574" s="9" t="s">
        <v>2713</v>
      </c>
      <c r="B1574" s="10">
        <v>46082</v>
      </c>
      <c r="C1574" s="9" t="s">
        <v>71</v>
      </c>
      <c r="D1574" s="9" t="s">
        <v>29</v>
      </c>
      <c r="E1574" s="11" t="s">
        <v>37</v>
      </c>
      <c r="F1574" s="11" t="s">
        <v>55</v>
      </c>
      <c r="G1574" s="3">
        <v>86.67</v>
      </c>
      <c r="H1574" s="3">
        <v>52.97</v>
      </c>
      <c r="I1574" s="12">
        <v>1</v>
      </c>
      <c r="J1574" s="9" t="s">
        <v>2714</v>
      </c>
      <c r="K1574" s="9" t="s">
        <v>49</v>
      </c>
      <c r="L1574" s="13">
        <v>0</v>
      </c>
      <c r="M1574" s="9" t="s">
        <v>34</v>
      </c>
    </row>
    <row r="1575" spans="1:13" ht="20.25" customHeight="1" x14ac:dyDescent="0.25">
      <c r="A1575" s="9" t="s">
        <v>2715</v>
      </c>
      <c r="B1575" s="10">
        <v>46082</v>
      </c>
      <c r="C1575" s="9" t="s">
        <v>28</v>
      </c>
      <c r="D1575" s="9" t="s">
        <v>51</v>
      </c>
      <c r="E1575" s="11" t="s">
        <v>43</v>
      </c>
      <c r="F1575" s="11" t="s">
        <v>90</v>
      </c>
      <c r="G1575" s="3">
        <v>144.46</v>
      </c>
      <c r="H1575" s="3">
        <v>86.67</v>
      </c>
      <c r="I1575" s="12">
        <v>1</v>
      </c>
      <c r="J1575" s="9" t="s">
        <v>203</v>
      </c>
      <c r="K1575" s="9" t="s">
        <v>49</v>
      </c>
      <c r="L1575" s="13">
        <v>0</v>
      </c>
      <c r="M1575" s="9" t="s">
        <v>34</v>
      </c>
    </row>
    <row r="1576" spans="1:13" ht="20.25" customHeight="1" x14ac:dyDescent="0.25">
      <c r="A1576" s="9" t="s">
        <v>2716</v>
      </c>
      <c r="B1576" s="10">
        <v>46083</v>
      </c>
      <c r="C1576" s="9" t="s">
        <v>28</v>
      </c>
      <c r="D1576" s="9" t="s">
        <v>42</v>
      </c>
      <c r="E1576" s="11" t="s">
        <v>30</v>
      </c>
      <c r="F1576" s="11" t="s">
        <v>31</v>
      </c>
      <c r="G1576" s="3">
        <v>2503.91</v>
      </c>
      <c r="H1576" s="3">
        <v>1733.48</v>
      </c>
      <c r="I1576" s="12">
        <v>4</v>
      </c>
      <c r="J1576" s="9" t="s">
        <v>2717</v>
      </c>
      <c r="K1576" s="9" t="s">
        <v>49</v>
      </c>
      <c r="L1576" s="13">
        <v>0</v>
      </c>
      <c r="M1576" s="9" t="s">
        <v>34</v>
      </c>
    </row>
    <row r="1577" spans="1:13" ht="20.25" customHeight="1" x14ac:dyDescent="0.25">
      <c r="A1577" s="9" t="s">
        <v>2718</v>
      </c>
      <c r="B1577" s="10">
        <v>46083</v>
      </c>
      <c r="C1577" s="9" t="s">
        <v>28</v>
      </c>
      <c r="D1577" s="9" t="s">
        <v>29</v>
      </c>
      <c r="E1577" s="11" t="s">
        <v>43</v>
      </c>
      <c r="F1577" s="11" t="s">
        <v>90</v>
      </c>
      <c r="G1577" s="3">
        <v>144.46</v>
      </c>
      <c r="H1577" s="3">
        <v>86.67</v>
      </c>
      <c r="I1577" s="12">
        <v>1</v>
      </c>
      <c r="J1577" s="9" t="s">
        <v>2719</v>
      </c>
      <c r="K1577" s="9" t="s">
        <v>49</v>
      </c>
      <c r="L1577" s="13">
        <v>0</v>
      </c>
      <c r="M1577" s="9" t="s">
        <v>34</v>
      </c>
    </row>
    <row r="1578" spans="1:13" ht="20.25" customHeight="1" x14ac:dyDescent="0.25">
      <c r="A1578" s="9" t="s">
        <v>2720</v>
      </c>
      <c r="B1578" s="10">
        <v>46083</v>
      </c>
      <c r="C1578" s="9" t="s">
        <v>54</v>
      </c>
      <c r="D1578" s="9" t="s">
        <v>29</v>
      </c>
      <c r="E1578" s="11" t="s">
        <v>30</v>
      </c>
      <c r="F1578" s="11" t="s">
        <v>63</v>
      </c>
      <c r="G1578" s="3">
        <v>2311.3000000000002</v>
      </c>
      <c r="H1578" s="3">
        <v>1637.17</v>
      </c>
      <c r="I1578" s="12">
        <v>2</v>
      </c>
      <c r="J1578" s="9" t="s">
        <v>2721</v>
      </c>
      <c r="K1578" s="9" t="s">
        <v>49</v>
      </c>
      <c r="L1578" s="13">
        <v>0</v>
      </c>
      <c r="M1578" s="9" t="s">
        <v>34</v>
      </c>
    </row>
    <row r="1579" spans="1:13" ht="20.25" customHeight="1" x14ac:dyDescent="0.25">
      <c r="A1579" s="9" t="s">
        <v>2722</v>
      </c>
      <c r="B1579" s="10">
        <v>46083</v>
      </c>
      <c r="C1579" s="9" t="s">
        <v>62</v>
      </c>
      <c r="D1579" s="9" t="s">
        <v>51</v>
      </c>
      <c r="E1579" s="11" t="s">
        <v>37</v>
      </c>
      <c r="F1579" s="11" t="s">
        <v>72</v>
      </c>
      <c r="G1579" s="3">
        <v>211.87</v>
      </c>
      <c r="H1579" s="3">
        <v>125.2</v>
      </c>
      <c r="I1579" s="12">
        <v>1</v>
      </c>
      <c r="J1579" s="9" t="s">
        <v>2723</v>
      </c>
      <c r="K1579" s="9" t="s">
        <v>49</v>
      </c>
      <c r="L1579" s="13">
        <v>0</v>
      </c>
      <c r="M1579" s="9" t="s">
        <v>34</v>
      </c>
    </row>
    <row r="1580" spans="1:13" ht="20.25" customHeight="1" x14ac:dyDescent="0.25">
      <c r="A1580" s="9" t="s">
        <v>2724</v>
      </c>
      <c r="B1580" s="10">
        <v>46084</v>
      </c>
      <c r="C1580" s="9" t="s">
        <v>28</v>
      </c>
      <c r="D1580" s="9" t="s">
        <v>51</v>
      </c>
      <c r="E1580" s="11" t="s">
        <v>30</v>
      </c>
      <c r="F1580" s="11" t="s">
        <v>63</v>
      </c>
      <c r="G1580" s="3">
        <v>1155.6500000000001</v>
      </c>
      <c r="H1580" s="3">
        <v>818.59</v>
      </c>
      <c r="I1580" s="12">
        <v>1</v>
      </c>
      <c r="J1580" s="9" t="s">
        <v>2725</v>
      </c>
      <c r="K1580" s="9" t="s">
        <v>49</v>
      </c>
      <c r="L1580" s="13">
        <v>0</v>
      </c>
      <c r="M1580" s="9" t="s">
        <v>34</v>
      </c>
    </row>
    <row r="1581" spans="1:13" ht="20.25" customHeight="1" x14ac:dyDescent="0.25">
      <c r="A1581" s="9" t="s">
        <v>2726</v>
      </c>
      <c r="B1581" s="10">
        <v>46084</v>
      </c>
      <c r="C1581" s="9" t="s">
        <v>28</v>
      </c>
      <c r="D1581" s="9" t="s">
        <v>29</v>
      </c>
      <c r="E1581" s="11" t="s">
        <v>43</v>
      </c>
      <c r="F1581" s="11" t="s">
        <v>90</v>
      </c>
      <c r="G1581" s="3">
        <v>144.46</v>
      </c>
      <c r="H1581" s="3">
        <v>86.67</v>
      </c>
      <c r="I1581" s="12">
        <v>1</v>
      </c>
      <c r="J1581" s="9" t="s">
        <v>984</v>
      </c>
      <c r="K1581" s="9" t="s">
        <v>49</v>
      </c>
      <c r="L1581" s="13">
        <v>0</v>
      </c>
      <c r="M1581" s="9" t="s">
        <v>34</v>
      </c>
    </row>
    <row r="1582" spans="1:13" ht="20.25" customHeight="1" x14ac:dyDescent="0.25">
      <c r="A1582" s="9" t="s">
        <v>2727</v>
      </c>
      <c r="B1582" s="10">
        <v>46084</v>
      </c>
      <c r="C1582" s="9" t="s">
        <v>54</v>
      </c>
      <c r="D1582" s="9" t="s">
        <v>51</v>
      </c>
      <c r="E1582" s="11" t="s">
        <v>58</v>
      </c>
      <c r="F1582" s="11" t="s">
        <v>68</v>
      </c>
      <c r="G1582" s="3">
        <v>337.06</v>
      </c>
      <c r="H1582" s="3">
        <v>211.87</v>
      </c>
      <c r="I1582" s="12">
        <v>1</v>
      </c>
      <c r="J1582" s="9" t="s">
        <v>1528</v>
      </c>
      <c r="K1582" s="9" t="s">
        <v>49</v>
      </c>
      <c r="L1582" s="13">
        <v>0</v>
      </c>
      <c r="M1582" s="9" t="s">
        <v>34</v>
      </c>
    </row>
    <row r="1583" spans="1:13" ht="20.25" customHeight="1" x14ac:dyDescent="0.25">
      <c r="A1583" s="9" t="s">
        <v>2728</v>
      </c>
      <c r="B1583" s="10">
        <v>46084</v>
      </c>
      <c r="C1583" s="9" t="s">
        <v>62</v>
      </c>
      <c r="D1583" s="9" t="s">
        <v>29</v>
      </c>
      <c r="E1583" s="11" t="s">
        <v>37</v>
      </c>
      <c r="F1583" s="11" t="s">
        <v>55</v>
      </c>
      <c r="G1583" s="3">
        <v>346.7</v>
      </c>
      <c r="H1583" s="3">
        <v>211.87</v>
      </c>
      <c r="I1583" s="12">
        <v>4</v>
      </c>
      <c r="J1583" s="9" t="s">
        <v>135</v>
      </c>
      <c r="K1583" s="9" t="s">
        <v>49</v>
      </c>
      <c r="L1583" s="13">
        <v>0</v>
      </c>
      <c r="M1583" s="9" t="s">
        <v>34</v>
      </c>
    </row>
    <row r="1584" spans="1:13" ht="20.25" customHeight="1" x14ac:dyDescent="0.25">
      <c r="A1584" s="9" t="s">
        <v>2729</v>
      </c>
      <c r="B1584" s="10">
        <v>46084</v>
      </c>
      <c r="C1584" s="9" t="s">
        <v>36</v>
      </c>
      <c r="D1584" s="9" t="s">
        <v>29</v>
      </c>
      <c r="E1584" s="11" t="s">
        <v>43</v>
      </c>
      <c r="F1584" s="11" t="s">
        <v>44</v>
      </c>
      <c r="G1584" s="3">
        <v>130.01</v>
      </c>
      <c r="H1584" s="3">
        <v>57.78</v>
      </c>
      <c r="I1584" s="12">
        <v>3</v>
      </c>
      <c r="J1584" s="9" t="s">
        <v>2730</v>
      </c>
      <c r="K1584" s="9" t="s">
        <v>49</v>
      </c>
      <c r="L1584" s="13">
        <v>0</v>
      </c>
      <c r="M1584" s="9" t="s">
        <v>34</v>
      </c>
    </row>
    <row r="1585" spans="1:13" ht="20.25" customHeight="1" x14ac:dyDescent="0.25">
      <c r="A1585" s="9" t="s">
        <v>2731</v>
      </c>
      <c r="B1585" s="10">
        <v>46084</v>
      </c>
      <c r="C1585" s="9" t="s">
        <v>28</v>
      </c>
      <c r="D1585" s="9" t="s">
        <v>51</v>
      </c>
      <c r="E1585" s="11" t="s">
        <v>30</v>
      </c>
      <c r="F1585" s="11" t="s">
        <v>31</v>
      </c>
      <c r="G1585" s="3">
        <v>1251.95</v>
      </c>
      <c r="H1585" s="3">
        <v>866.74</v>
      </c>
      <c r="I1585" s="12">
        <v>2</v>
      </c>
      <c r="J1585" s="9" t="s">
        <v>2419</v>
      </c>
      <c r="K1585" s="9" t="s">
        <v>49</v>
      </c>
      <c r="L1585" s="13">
        <v>0</v>
      </c>
      <c r="M1585" s="9" t="s">
        <v>34</v>
      </c>
    </row>
    <row r="1586" spans="1:13" ht="20.25" customHeight="1" x14ac:dyDescent="0.25">
      <c r="A1586" s="9" t="s">
        <v>2732</v>
      </c>
      <c r="B1586" s="10">
        <v>46084</v>
      </c>
      <c r="C1586" s="9" t="s">
        <v>28</v>
      </c>
      <c r="D1586" s="9" t="s">
        <v>42</v>
      </c>
      <c r="E1586" s="11" t="s">
        <v>30</v>
      </c>
      <c r="F1586" s="11" t="s">
        <v>31</v>
      </c>
      <c r="G1586" s="3">
        <v>1251.95</v>
      </c>
      <c r="H1586" s="3">
        <v>866.74</v>
      </c>
      <c r="I1586" s="12">
        <v>2</v>
      </c>
      <c r="J1586" s="9" t="s">
        <v>444</v>
      </c>
      <c r="K1586" s="9" t="s">
        <v>33</v>
      </c>
      <c r="L1586" s="13">
        <v>1</v>
      </c>
      <c r="M1586" s="9" t="s">
        <v>34</v>
      </c>
    </row>
    <row r="1587" spans="1:13" ht="20.25" customHeight="1" x14ac:dyDescent="0.25">
      <c r="A1587" s="9" t="s">
        <v>2733</v>
      </c>
      <c r="B1587" s="10">
        <v>46085</v>
      </c>
      <c r="C1587" s="9" t="s">
        <v>71</v>
      </c>
      <c r="D1587" s="9" t="s">
        <v>29</v>
      </c>
      <c r="E1587" s="11" t="s">
        <v>43</v>
      </c>
      <c r="F1587" s="11" t="s">
        <v>90</v>
      </c>
      <c r="G1587" s="3">
        <v>144.46</v>
      </c>
      <c r="H1587" s="3">
        <v>86.67</v>
      </c>
      <c r="I1587" s="12">
        <v>1</v>
      </c>
      <c r="J1587" s="9" t="s">
        <v>2246</v>
      </c>
      <c r="K1587" s="9" t="s">
        <v>49</v>
      </c>
      <c r="L1587" s="13">
        <v>0</v>
      </c>
      <c r="M1587" s="9" t="s">
        <v>34</v>
      </c>
    </row>
    <row r="1588" spans="1:13" ht="20.25" customHeight="1" x14ac:dyDescent="0.25">
      <c r="A1588" s="9" t="s">
        <v>2734</v>
      </c>
      <c r="B1588" s="10">
        <v>46085</v>
      </c>
      <c r="C1588" s="9" t="s">
        <v>36</v>
      </c>
      <c r="D1588" s="9" t="s">
        <v>42</v>
      </c>
      <c r="E1588" s="11" t="s">
        <v>58</v>
      </c>
      <c r="F1588" s="11" t="s">
        <v>68</v>
      </c>
      <c r="G1588" s="3">
        <v>337.06</v>
      </c>
      <c r="H1588" s="3">
        <v>211.87</v>
      </c>
      <c r="I1588" s="12">
        <v>1</v>
      </c>
      <c r="J1588" s="9" t="s">
        <v>2735</v>
      </c>
      <c r="K1588" s="9" t="s">
        <v>49</v>
      </c>
      <c r="L1588" s="13">
        <v>0</v>
      </c>
      <c r="M1588" s="9" t="s">
        <v>34</v>
      </c>
    </row>
    <row r="1589" spans="1:13" ht="20.25" customHeight="1" x14ac:dyDescent="0.25">
      <c r="A1589" s="9" t="s">
        <v>2736</v>
      </c>
      <c r="B1589" s="10">
        <v>46085</v>
      </c>
      <c r="C1589" s="9" t="s">
        <v>28</v>
      </c>
      <c r="D1589" s="9" t="s">
        <v>29</v>
      </c>
      <c r="E1589" s="11" t="s">
        <v>30</v>
      </c>
      <c r="F1589" s="11" t="s">
        <v>31</v>
      </c>
      <c r="G1589" s="3">
        <v>1877.93</v>
      </c>
      <c r="H1589" s="3">
        <v>1300.1099999999999</v>
      </c>
      <c r="I1589" s="12">
        <v>3</v>
      </c>
      <c r="J1589" s="9" t="s">
        <v>2737</v>
      </c>
      <c r="K1589" s="9" t="s">
        <v>49</v>
      </c>
      <c r="L1589" s="13">
        <v>0</v>
      </c>
      <c r="M1589" s="9" t="s">
        <v>34</v>
      </c>
    </row>
    <row r="1590" spans="1:13" ht="20.25" customHeight="1" x14ac:dyDescent="0.25">
      <c r="A1590" s="9" t="s">
        <v>2738</v>
      </c>
      <c r="B1590" s="10">
        <v>46086</v>
      </c>
      <c r="C1590" s="9" t="s">
        <v>71</v>
      </c>
      <c r="D1590" s="9" t="s">
        <v>51</v>
      </c>
      <c r="E1590" s="11" t="s">
        <v>58</v>
      </c>
      <c r="F1590" s="11" t="s">
        <v>68</v>
      </c>
      <c r="G1590" s="3">
        <v>674.13</v>
      </c>
      <c r="H1590" s="3">
        <v>423.74</v>
      </c>
      <c r="I1590" s="12">
        <v>2</v>
      </c>
      <c r="J1590" s="9" t="s">
        <v>2739</v>
      </c>
      <c r="K1590" s="9" t="s">
        <v>49</v>
      </c>
      <c r="L1590" s="13">
        <v>0</v>
      </c>
      <c r="M1590" s="9" t="s">
        <v>34</v>
      </c>
    </row>
    <row r="1591" spans="1:13" ht="20.25" customHeight="1" x14ac:dyDescent="0.25">
      <c r="A1591" s="9" t="s">
        <v>2740</v>
      </c>
      <c r="B1591" s="10">
        <v>46087</v>
      </c>
      <c r="C1591" s="9" t="s">
        <v>28</v>
      </c>
      <c r="D1591" s="9" t="s">
        <v>29</v>
      </c>
      <c r="E1591" s="11" t="s">
        <v>37</v>
      </c>
      <c r="F1591" s="11" t="s">
        <v>72</v>
      </c>
      <c r="G1591" s="3">
        <v>211.87</v>
      </c>
      <c r="H1591" s="3">
        <v>125.2</v>
      </c>
      <c r="I1591" s="12">
        <v>1</v>
      </c>
      <c r="J1591" s="9" t="s">
        <v>2741</v>
      </c>
      <c r="K1591" s="9" t="s">
        <v>49</v>
      </c>
      <c r="L1591" s="13">
        <v>0</v>
      </c>
      <c r="M1591" s="9" t="s">
        <v>34</v>
      </c>
    </row>
    <row r="1592" spans="1:13" ht="20.25" customHeight="1" x14ac:dyDescent="0.25">
      <c r="A1592" s="9" t="s">
        <v>2742</v>
      </c>
      <c r="B1592" s="10">
        <v>46087</v>
      </c>
      <c r="C1592" s="9" t="s">
        <v>41</v>
      </c>
      <c r="D1592" s="9" t="s">
        <v>42</v>
      </c>
      <c r="E1592" s="11" t="s">
        <v>30</v>
      </c>
      <c r="F1592" s="11" t="s">
        <v>31</v>
      </c>
      <c r="G1592" s="3">
        <v>625.98</v>
      </c>
      <c r="H1592" s="3">
        <v>433.37</v>
      </c>
      <c r="I1592" s="12">
        <v>1</v>
      </c>
      <c r="J1592" s="9" t="s">
        <v>2743</v>
      </c>
      <c r="K1592" s="9" t="s">
        <v>49</v>
      </c>
      <c r="L1592" s="13">
        <v>0</v>
      </c>
      <c r="M1592" s="9" t="s">
        <v>34</v>
      </c>
    </row>
    <row r="1593" spans="1:13" ht="20.25" customHeight="1" x14ac:dyDescent="0.25">
      <c r="A1593" s="9" t="s">
        <v>2744</v>
      </c>
      <c r="B1593" s="10">
        <v>46087</v>
      </c>
      <c r="C1593" s="9" t="s">
        <v>36</v>
      </c>
      <c r="D1593" s="9" t="s">
        <v>42</v>
      </c>
      <c r="E1593" s="11" t="s">
        <v>30</v>
      </c>
      <c r="F1593" s="11" t="s">
        <v>63</v>
      </c>
      <c r="G1593" s="3">
        <v>1155.6500000000001</v>
      </c>
      <c r="H1593" s="3">
        <v>818.59</v>
      </c>
      <c r="I1593" s="12">
        <v>1</v>
      </c>
      <c r="J1593" s="9" t="s">
        <v>105</v>
      </c>
      <c r="K1593" s="9" t="s">
        <v>49</v>
      </c>
      <c r="L1593" s="13">
        <v>0</v>
      </c>
      <c r="M1593" s="9" t="s">
        <v>34</v>
      </c>
    </row>
    <row r="1594" spans="1:13" ht="20.25" customHeight="1" x14ac:dyDescent="0.25">
      <c r="A1594" s="9" t="s">
        <v>2745</v>
      </c>
      <c r="B1594" s="10">
        <v>46087</v>
      </c>
      <c r="C1594" s="9" t="s">
        <v>28</v>
      </c>
      <c r="D1594" s="9" t="s">
        <v>29</v>
      </c>
      <c r="E1594" s="11" t="s">
        <v>30</v>
      </c>
      <c r="F1594" s="11" t="s">
        <v>80</v>
      </c>
      <c r="G1594" s="3">
        <v>2455.7600000000002</v>
      </c>
      <c r="H1594" s="3">
        <v>1733.48</v>
      </c>
      <c r="I1594" s="12">
        <v>3</v>
      </c>
      <c r="J1594" s="9" t="s">
        <v>602</v>
      </c>
      <c r="K1594" s="9" t="s">
        <v>33</v>
      </c>
      <c r="L1594" s="13">
        <v>1</v>
      </c>
      <c r="M1594" s="9" t="s">
        <v>34</v>
      </c>
    </row>
    <row r="1595" spans="1:13" ht="20.25" customHeight="1" x14ac:dyDescent="0.25">
      <c r="A1595" s="9" t="s">
        <v>2746</v>
      </c>
      <c r="B1595" s="10">
        <v>46088</v>
      </c>
      <c r="C1595" s="9" t="s">
        <v>71</v>
      </c>
      <c r="D1595" s="9" t="s">
        <v>42</v>
      </c>
      <c r="E1595" s="11" t="s">
        <v>58</v>
      </c>
      <c r="F1595" s="11" t="s">
        <v>68</v>
      </c>
      <c r="G1595" s="3">
        <v>337.06</v>
      </c>
      <c r="H1595" s="3">
        <v>211.87</v>
      </c>
      <c r="I1595" s="12">
        <v>1</v>
      </c>
      <c r="J1595" s="9" t="s">
        <v>2747</v>
      </c>
      <c r="K1595" s="9" t="s">
        <v>49</v>
      </c>
      <c r="L1595" s="13">
        <v>0</v>
      </c>
      <c r="M1595" s="9" t="s">
        <v>34</v>
      </c>
    </row>
    <row r="1596" spans="1:13" ht="20.25" customHeight="1" x14ac:dyDescent="0.25">
      <c r="A1596" s="9" t="s">
        <v>2748</v>
      </c>
      <c r="B1596" s="10">
        <v>46088</v>
      </c>
      <c r="C1596" s="9" t="s">
        <v>36</v>
      </c>
      <c r="D1596" s="9" t="s">
        <v>42</v>
      </c>
      <c r="E1596" s="11" t="s">
        <v>43</v>
      </c>
      <c r="F1596" s="11" t="s">
        <v>90</v>
      </c>
      <c r="G1596" s="3">
        <v>144.46</v>
      </c>
      <c r="H1596" s="3">
        <v>86.67</v>
      </c>
      <c r="I1596" s="12">
        <v>1</v>
      </c>
      <c r="J1596" s="9" t="s">
        <v>2292</v>
      </c>
      <c r="K1596" s="9" t="s">
        <v>33</v>
      </c>
      <c r="L1596" s="13">
        <v>1</v>
      </c>
      <c r="M1596" s="9" t="s">
        <v>34</v>
      </c>
    </row>
    <row r="1597" spans="1:13" ht="20.25" customHeight="1" x14ac:dyDescent="0.25">
      <c r="A1597" s="9" t="s">
        <v>2749</v>
      </c>
      <c r="B1597" s="10">
        <v>46089</v>
      </c>
      <c r="C1597" s="9" t="s">
        <v>62</v>
      </c>
      <c r="D1597" s="9" t="s">
        <v>51</v>
      </c>
      <c r="E1597" s="11" t="s">
        <v>43</v>
      </c>
      <c r="F1597" s="11" t="s">
        <v>90</v>
      </c>
      <c r="G1597" s="3">
        <v>144.46</v>
      </c>
      <c r="H1597" s="3">
        <v>86.67</v>
      </c>
      <c r="I1597" s="12">
        <v>1</v>
      </c>
      <c r="J1597" s="9" t="s">
        <v>1370</v>
      </c>
      <c r="K1597" s="9" t="s">
        <v>49</v>
      </c>
      <c r="L1597" s="13">
        <v>0</v>
      </c>
      <c r="M1597" s="9" t="s">
        <v>34</v>
      </c>
    </row>
    <row r="1598" spans="1:13" ht="20.25" customHeight="1" x14ac:dyDescent="0.25">
      <c r="A1598" s="9" t="s">
        <v>2750</v>
      </c>
      <c r="B1598" s="10">
        <v>46089</v>
      </c>
      <c r="C1598" s="9" t="s">
        <v>71</v>
      </c>
      <c r="D1598" s="9" t="s">
        <v>29</v>
      </c>
      <c r="E1598" s="11" t="s">
        <v>37</v>
      </c>
      <c r="F1598" s="11" t="s">
        <v>55</v>
      </c>
      <c r="G1598" s="3">
        <v>173.35</v>
      </c>
      <c r="H1598" s="3">
        <v>105.93</v>
      </c>
      <c r="I1598" s="12">
        <v>2</v>
      </c>
      <c r="J1598" s="9" t="s">
        <v>1575</v>
      </c>
      <c r="K1598" s="9" t="s">
        <v>33</v>
      </c>
      <c r="L1598" s="13">
        <v>1</v>
      </c>
      <c r="M1598" s="9" t="s">
        <v>34</v>
      </c>
    </row>
    <row r="1599" spans="1:13" ht="20.25" customHeight="1" x14ac:dyDescent="0.25">
      <c r="A1599" s="9" t="s">
        <v>2751</v>
      </c>
      <c r="B1599" s="10">
        <v>46089</v>
      </c>
      <c r="C1599" s="9" t="s">
        <v>28</v>
      </c>
      <c r="D1599" s="9" t="s">
        <v>42</v>
      </c>
      <c r="E1599" s="11" t="s">
        <v>30</v>
      </c>
      <c r="F1599" s="11" t="s">
        <v>31</v>
      </c>
      <c r="G1599" s="3">
        <v>-625.98</v>
      </c>
      <c r="H1599" s="3">
        <v>-433.37</v>
      </c>
      <c r="I1599" s="12">
        <v>-1</v>
      </c>
      <c r="J1599" s="9" t="s">
        <v>471</v>
      </c>
      <c r="K1599" s="9" t="s">
        <v>49</v>
      </c>
      <c r="L1599" s="13">
        <v>0</v>
      </c>
      <c r="M1599" s="9" t="s">
        <v>76</v>
      </c>
    </row>
    <row r="1600" spans="1:13" ht="20.25" customHeight="1" x14ac:dyDescent="0.25">
      <c r="A1600" s="9" t="s">
        <v>2752</v>
      </c>
      <c r="B1600" s="10">
        <v>46090</v>
      </c>
      <c r="C1600" s="9" t="s">
        <v>41</v>
      </c>
      <c r="D1600" s="9" t="s">
        <v>42</v>
      </c>
      <c r="E1600" s="11" t="s">
        <v>43</v>
      </c>
      <c r="F1600" s="11" t="s">
        <v>90</v>
      </c>
      <c r="G1600" s="3">
        <v>288.91000000000003</v>
      </c>
      <c r="H1600" s="3">
        <v>173.35</v>
      </c>
      <c r="I1600" s="12">
        <v>2</v>
      </c>
      <c r="J1600" s="9" t="s">
        <v>1820</v>
      </c>
      <c r="K1600" s="9" t="s">
        <v>33</v>
      </c>
      <c r="L1600" s="13">
        <v>1</v>
      </c>
      <c r="M1600" s="9" t="s">
        <v>34</v>
      </c>
    </row>
    <row r="1601" spans="1:13" ht="20.25" customHeight="1" x14ac:dyDescent="0.25">
      <c r="A1601" s="9" t="s">
        <v>2753</v>
      </c>
      <c r="B1601" s="10">
        <v>46090</v>
      </c>
      <c r="C1601" s="9" t="s">
        <v>28</v>
      </c>
      <c r="D1601" s="9" t="s">
        <v>29</v>
      </c>
      <c r="E1601" s="11" t="s">
        <v>58</v>
      </c>
      <c r="F1601" s="11" t="s">
        <v>87</v>
      </c>
      <c r="G1601" s="3">
        <v>173.35</v>
      </c>
      <c r="H1601" s="3">
        <v>105.93</v>
      </c>
      <c r="I1601" s="12">
        <v>1</v>
      </c>
      <c r="J1601" s="9" t="s">
        <v>1652</v>
      </c>
      <c r="K1601" s="9" t="s">
        <v>49</v>
      </c>
      <c r="L1601" s="13">
        <v>0</v>
      </c>
      <c r="M1601" s="9" t="s">
        <v>34</v>
      </c>
    </row>
    <row r="1602" spans="1:13" ht="20.25" customHeight="1" x14ac:dyDescent="0.25">
      <c r="A1602" s="9" t="s">
        <v>2754</v>
      </c>
      <c r="B1602" s="10">
        <v>46090</v>
      </c>
      <c r="C1602" s="9" t="s">
        <v>62</v>
      </c>
      <c r="D1602" s="9" t="s">
        <v>42</v>
      </c>
      <c r="E1602" s="11" t="s">
        <v>30</v>
      </c>
      <c r="F1602" s="11" t="s">
        <v>80</v>
      </c>
      <c r="G1602" s="3">
        <v>2455.7600000000002</v>
      </c>
      <c r="H1602" s="3">
        <v>1733.48</v>
      </c>
      <c r="I1602" s="12">
        <v>3</v>
      </c>
      <c r="J1602" s="9" t="s">
        <v>2755</v>
      </c>
      <c r="K1602" s="9" t="s">
        <v>49</v>
      </c>
      <c r="L1602" s="13">
        <v>0</v>
      </c>
      <c r="M1602" s="9" t="s">
        <v>34</v>
      </c>
    </row>
    <row r="1603" spans="1:13" ht="20.25" customHeight="1" x14ac:dyDescent="0.25">
      <c r="A1603" s="9" t="s">
        <v>2756</v>
      </c>
      <c r="B1603" s="10">
        <v>46092</v>
      </c>
      <c r="C1603" s="9" t="s">
        <v>36</v>
      </c>
      <c r="D1603" s="9" t="s">
        <v>29</v>
      </c>
      <c r="E1603" s="11" t="s">
        <v>43</v>
      </c>
      <c r="F1603" s="11" t="s">
        <v>47</v>
      </c>
      <c r="G1603" s="3">
        <v>211.87</v>
      </c>
      <c r="H1603" s="3">
        <v>125.2</v>
      </c>
      <c r="I1603" s="12">
        <v>2</v>
      </c>
      <c r="J1603" s="9" t="s">
        <v>2658</v>
      </c>
      <c r="K1603" s="9" t="s">
        <v>33</v>
      </c>
      <c r="L1603" s="13">
        <v>1</v>
      </c>
      <c r="M1603" s="9" t="s">
        <v>34</v>
      </c>
    </row>
    <row r="1604" spans="1:13" ht="20.25" customHeight="1" x14ac:dyDescent="0.25">
      <c r="A1604" s="9" t="s">
        <v>2757</v>
      </c>
      <c r="B1604" s="10">
        <v>46092</v>
      </c>
      <c r="C1604" s="9" t="s">
        <v>71</v>
      </c>
      <c r="D1604" s="9" t="s">
        <v>29</v>
      </c>
      <c r="E1604" s="11" t="s">
        <v>43</v>
      </c>
      <c r="F1604" s="11" t="s">
        <v>44</v>
      </c>
      <c r="G1604" s="3">
        <v>43.34</v>
      </c>
      <c r="H1604" s="3">
        <v>19.260000000000002</v>
      </c>
      <c r="I1604" s="12">
        <v>1</v>
      </c>
      <c r="J1604" s="9" t="s">
        <v>2758</v>
      </c>
      <c r="K1604" s="9" t="s">
        <v>33</v>
      </c>
      <c r="L1604" s="13">
        <v>1</v>
      </c>
      <c r="M1604" s="9" t="s">
        <v>34</v>
      </c>
    </row>
    <row r="1605" spans="1:13" ht="20.25" customHeight="1" x14ac:dyDescent="0.25">
      <c r="A1605" s="9" t="s">
        <v>2759</v>
      </c>
      <c r="B1605" s="10">
        <v>46093</v>
      </c>
      <c r="C1605" s="9" t="s">
        <v>28</v>
      </c>
      <c r="D1605" s="9" t="s">
        <v>51</v>
      </c>
      <c r="E1605" s="11" t="s">
        <v>37</v>
      </c>
      <c r="F1605" s="11" t="s">
        <v>55</v>
      </c>
      <c r="G1605" s="3">
        <v>86.67</v>
      </c>
      <c r="H1605" s="3">
        <v>52.97</v>
      </c>
      <c r="I1605" s="12">
        <v>1</v>
      </c>
      <c r="J1605" s="9" t="s">
        <v>1526</v>
      </c>
      <c r="K1605" s="9" t="s">
        <v>49</v>
      </c>
      <c r="L1605" s="13">
        <v>0</v>
      </c>
      <c r="M1605" s="9" t="s">
        <v>34</v>
      </c>
    </row>
    <row r="1606" spans="1:13" ht="20.25" customHeight="1" x14ac:dyDescent="0.25">
      <c r="A1606" s="9" t="s">
        <v>2760</v>
      </c>
      <c r="B1606" s="10">
        <v>46093</v>
      </c>
      <c r="C1606" s="9" t="s">
        <v>36</v>
      </c>
      <c r="D1606" s="9" t="s">
        <v>51</v>
      </c>
      <c r="E1606" s="11" t="s">
        <v>37</v>
      </c>
      <c r="F1606" s="11" t="s">
        <v>72</v>
      </c>
      <c r="G1606" s="3">
        <v>211.87</v>
      </c>
      <c r="H1606" s="3">
        <v>125.2</v>
      </c>
      <c r="I1606" s="12">
        <v>1</v>
      </c>
      <c r="J1606" s="9" t="s">
        <v>2761</v>
      </c>
      <c r="K1606" s="9" t="s">
        <v>33</v>
      </c>
      <c r="L1606" s="13">
        <v>1</v>
      </c>
      <c r="M1606" s="9" t="s">
        <v>34</v>
      </c>
    </row>
    <row r="1607" spans="1:13" ht="20.25" customHeight="1" x14ac:dyDescent="0.25">
      <c r="A1607" s="9" t="s">
        <v>2762</v>
      </c>
      <c r="B1607" s="10">
        <v>46094</v>
      </c>
      <c r="C1607" s="9" t="s">
        <v>54</v>
      </c>
      <c r="D1607" s="9" t="s">
        <v>51</v>
      </c>
      <c r="E1607" s="11" t="s">
        <v>30</v>
      </c>
      <c r="F1607" s="11" t="s">
        <v>63</v>
      </c>
      <c r="G1607" s="3">
        <v>1155.6500000000001</v>
      </c>
      <c r="H1607" s="3">
        <v>818.59</v>
      </c>
      <c r="I1607" s="12">
        <v>1</v>
      </c>
      <c r="J1607" s="9" t="s">
        <v>266</v>
      </c>
      <c r="K1607" s="9" t="s">
        <v>49</v>
      </c>
      <c r="L1607" s="13">
        <v>0</v>
      </c>
      <c r="M1607" s="9" t="s">
        <v>34</v>
      </c>
    </row>
    <row r="1608" spans="1:13" ht="20.25" customHeight="1" x14ac:dyDescent="0.25">
      <c r="A1608" s="9" t="s">
        <v>2763</v>
      </c>
      <c r="B1608" s="10">
        <v>46095</v>
      </c>
      <c r="C1608" s="9" t="s">
        <v>54</v>
      </c>
      <c r="D1608" s="9" t="s">
        <v>29</v>
      </c>
      <c r="E1608" s="11" t="s">
        <v>30</v>
      </c>
      <c r="F1608" s="11" t="s">
        <v>63</v>
      </c>
      <c r="G1608" s="3">
        <v>3466.95</v>
      </c>
      <c r="H1608" s="3">
        <v>2455.7600000000002</v>
      </c>
      <c r="I1608" s="12">
        <v>3</v>
      </c>
      <c r="J1608" s="9" t="s">
        <v>2764</v>
      </c>
      <c r="K1608" s="9" t="s">
        <v>49</v>
      </c>
      <c r="L1608" s="13">
        <v>0</v>
      </c>
      <c r="M1608" s="9" t="s">
        <v>34</v>
      </c>
    </row>
    <row r="1609" spans="1:13" ht="20.25" customHeight="1" x14ac:dyDescent="0.25">
      <c r="A1609" s="9" t="s">
        <v>2765</v>
      </c>
      <c r="B1609" s="10">
        <v>46095</v>
      </c>
      <c r="C1609" s="9" t="s">
        <v>28</v>
      </c>
      <c r="D1609" s="9" t="s">
        <v>42</v>
      </c>
      <c r="E1609" s="11" t="s">
        <v>37</v>
      </c>
      <c r="F1609" s="11" t="s">
        <v>72</v>
      </c>
      <c r="G1609" s="3">
        <v>211.87</v>
      </c>
      <c r="H1609" s="3">
        <v>125.2</v>
      </c>
      <c r="I1609" s="12">
        <v>1</v>
      </c>
      <c r="J1609" s="9" t="s">
        <v>2766</v>
      </c>
      <c r="K1609" s="9" t="s">
        <v>33</v>
      </c>
      <c r="L1609" s="13">
        <v>1</v>
      </c>
      <c r="M1609" s="9" t="s">
        <v>34</v>
      </c>
    </row>
    <row r="1610" spans="1:13" ht="20.25" customHeight="1" x14ac:dyDescent="0.25">
      <c r="A1610" s="9" t="s">
        <v>2767</v>
      </c>
      <c r="B1610" s="10">
        <v>46095</v>
      </c>
      <c r="C1610" s="9" t="s">
        <v>28</v>
      </c>
      <c r="D1610" s="9" t="s">
        <v>29</v>
      </c>
      <c r="E1610" s="11" t="s">
        <v>30</v>
      </c>
      <c r="F1610" s="11" t="s">
        <v>80</v>
      </c>
      <c r="G1610" s="3">
        <v>818.59</v>
      </c>
      <c r="H1610" s="3">
        <v>577.83000000000004</v>
      </c>
      <c r="I1610" s="12">
        <v>1</v>
      </c>
      <c r="J1610" s="9" t="s">
        <v>2118</v>
      </c>
      <c r="K1610" s="9" t="s">
        <v>49</v>
      </c>
      <c r="L1610" s="13">
        <v>0</v>
      </c>
      <c r="M1610" s="9" t="s">
        <v>34</v>
      </c>
    </row>
    <row r="1611" spans="1:13" ht="20.25" customHeight="1" x14ac:dyDescent="0.25">
      <c r="A1611" s="9" t="s">
        <v>2768</v>
      </c>
      <c r="B1611" s="10">
        <v>46095</v>
      </c>
      <c r="C1611" s="9" t="s">
        <v>54</v>
      </c>
      <c r="D1611" s="9" t="s">
        <v>29</v>
      </c>
      <c r="E1611" s="11" t="s">
        <v>58</v>
      </c>
      <c r="F1611" s="11" t="s">
        <v>87</v>
      </c>
      <c r="G1611" s="3">
        <v>173.35</v>
      </c>
      <c r="H1611" s="3">
        <v>105.93</v>
      </c>
      <c r="I1611" s="12">
        <v>1</v>
      </c>
      <c r="J1611" s="9" t="s">
        <v>2769</v>
      </c>
      <c r="K1611" s="9" t="s">
        <v>33</v>
      </c>
      <c r="L1611" s="13">
        <v>1</v>
      </c>
      <c r="M1611" s="9" t="s">
        <v>34</v>
      </c>
    </row>
    <row r="1612" spans="1:13" ht="20.25" customHeight="1" x14ac:dyDescent="0.25">
      <c r="A1612" s="9" t="s">
        <v>2770</v>
      </c>
      <c r="B1612" s="10">
        <v>46095</v>
      </c>
      <c r="C1612" s="9" t="s">
        <v>62</v>
      </c>
      <c r="D1612" s="9" t="s">
        <v>29</v>
      </c>
      <c r="E1612" s="11" t="s">
        <v>43</v>
      </c>
      <c r="F1612" s="11" t="s">
        <v>90</v>
      </c>
      <c r="G1612" s="3">
        <v>144.46</v>
      </c>
      <c r="H1612" s="3">
        <v>86.67</v>
      </c>
      <c r="I1612" s="12">
        <v>1</v>
      </c>
      <c r="J1612" s="9" t="s">
        <v>517</v>
      </c>
      <c r="K1612" s="9" t="s">
        <v>49</v>
      </c>
      <c r="L1612" s="13">
        <v>0</v>
      </c>
      <c r="M1612" s="9" t="s">
        <v>34</v>
      </c>
    </row>
    <row r="1613" spans="1:13" ht="20.25" customHeight="1" x14ac:dyDescent="0.25">
      <c r="A1613" s="9" t="s">
        <v>2771</v>
      </c>
      <c r="B1613" s="10">
        <v>46096</v>
      </c>
      <c r="C1613" s="9" t="s">
        <v>28</v>
      </c>
      <c r="D1613" s="9" t="s">
        <v>51</v>
      </c>
      <c r="E1613" s="11" t="s">
        <v>43</v>
      </c>
      <c r="F1613" s="11" t="s">
        <v>44</v>
      </c>
      <c r="G1613" s="3">
        <v>130.01</v>
      </c>
      <c r="H1613" s="3">
        <v>57.78</v>
      </c>
      <c r="I1613" s="12">
        <v>3</v>
      </c>
      <c r="J1613" s="9" t="s">
        <v>551</v>
      </c>
      <c r="K1613" s="9" t="s">
        <v>33</v>
      </c>
      <c r="L1613" s="13">
        <v>1</v>
      </c>
      <c r="M1613" s="9" t="s">
        <v>34</v>
      </c>
    </row>
    <row r="1614" spans="1:13" ht="20.25" customHeight="1" x14ac:dyDescent="0.25">
      <c r="A1614" s="9" t="s">
        <v>2772</v>
      </c>
      <c r="B1614" s="10">
        <v>46096</v>
      </c>
      <c r="C1614" s="9" t="s">
        <v>36</v>
      </c>
      <c r="D1614" s="9" t="s">
        <v>42</v>
      </c>
      <c r="E1614" s="11" t="s">
        <v>58</v>
      </c>
      <c r="F1614" s="11" t="s">
        <v>59</v>
      </c>
      <c r="G1614" s="3">
        <v>144.46</v>
      </c>
      <c r="H1614" s="3">
        <v>86.67</v>
      </c>
      <c r="I1614" s="12">
        <v>1</v>
      </c>
      <c r="J1614" s="9" t="s">
        <v>1567</v>
      </c>
      <c r="K1614" s="9" t="s">
        <v>49</v>
      </c>
      <c r="L1614" s="13">
        <v>0</v>
      </c>
      <c r="M1614" s="9" t="s">
        <v>34</v>
      </c>
    </row>
    <row r="1615" spans="1:13" ht="20.25" customHeight="1" x14ac:dyDescent="0.25">
      <c r="A1615" s="9" t="s">
        <v>2773</v>
      </c>
      <c r="B1615" s="10">
        <v>46096</v>
      </c>
      <c r="C1615" s="9" t="s">
        <v>36</v>
      </c>
      <c r="D1615" s="9" t="s">
        <v>51</v>
      </c>
      <c r="E1615" s="11" t="s">
        <v>43</v>
      </c>
      <c r="F1615" s="11" t="s">
        <v>47</v>
      </c>
      <c r="G1615" s="3">
        <v>423.74</v>
      </c>
      <c r="H1615" s="3">
        <v>250.39</v>
      </c>
      <c r="I1615" s="12">
        <v>4</v>
      </c>
      <c r="J1615" s="9" t="s">
        <v>2774</v>
      </c>
      <c r="K1615" s="9" t="s">
        <v>49</v>
      </c>
      <c r="L1615" s="13">
        <v>0</v>
      </c>
      <c r="M1615" s="9" t="s">
        <v>34</v>
      </c>
    </row>
    <row r="1616" spans="1:13" ht="20.25" customHeight="1" x14ac:dyDescent="0.25">
      <c r="A1616" s="9" t="s">
        <v>2775</v>
      </c>
      <c r="B1616" s="10">
        <v>46096</v>
      </c>
      <c r="C1616" s="9" t="s">
        <v>54</v>
      </c>
      <c r="D1616" s="9" t="s">
        <v>42</v>
      </c>
      <c r="E1616" s="11" t="s">
        <v>43</v>
      </c>
      <c r="F1616" s="11" t="s">
        <v>44</v>
      </c>
      <c r="G1616" s="3">
        <v>130.01</v>
      </c>
      <c r="H1616" s="3">
        <v>57.78</v>
      </c>
      <c r="I1616" s="12">
        <v>3</v>
      </c>
      <c r="J1616" s="9" t="s">
        <v>2776</v>
      </c>
      <c r="K1616" s="9" t="s">
        <v>49</v>
      </c>
      <c r="L1616" s="13">
        <v>0</v>
      </c>
      <c r="M1616" s="9" t="s">
        <v>34</v>
      </c>
    </row>
    <row r="1617" spans="1:13" ht="20.25" customHeight="1" x14ac:dyDescent="0.25">
      <c r="A1617" s="9" t="s">
        <v>2777</v>
      </c>
      <c r="B1617" s="10">
        <v>46096</v>
      </c>
      <c r="C1617" s="9" t="s">
        <v>28</v>
      </c>
      <c r="D1617" s="9" t="s">
        <v>29</v>
      </c>
      <c r="E1617" s="11" t="s">
        <v>37</v>
      </c>
      <c r="F1617" s="11" t="s">
        <v>72</v>
      </c>
      <c r="G1617" s="3">
        <v>211.87</v>
      </c>
      <c r="H1617" s="3">
        <v>125.2</v>
      </c>
      <c r="I1617" s="12">
        <v>1</v>
      </c>
      <c r="J1617" s="9" t="s">
        <v>2778</v>
      </c>
      <c r="K1617" s="9" t="s">
        <v>49</v>
      </c>
      <c r="L1617" s="13">
        <v>0</v>
      </c>
      <c r="M1617" s="9" t="s">
        <v>34</v>
      </c>
    </row>
    <row r="1618" spans="1:13" ht="20.25" customHeight="1" x14ac:dyDescent="0.25">
      <c r="A1618" s="9" t="s">
        <v>2779</v>
      </c>
      <c r="B1618" s="10">
        <v>46096</v>
      </c>
      <c r="C1618" s="9" t="s">
        <v>28</v>
      </c>
      <c r="D1618" s="9" t="s">
        <v>51</v>
      </c>
      <c r="E1618" s="11" t="s">
        <v>30</v>
      </c>
      <c r="F1618" s="11" t="s">
        <v>80</v>
      </c>
      <c r="G1618" s="3">
        <v>818.59</v>
      </c>
      <c r="H1618" s="3">
        <v>577.83000000000004</v>
      </c>
      <c r="I1618" s="12">
        <v>1</v>
      </c>
      <c r="J1618" s="9" t="s">
        <v>2780</v>
      </c>
      <c r="K1618" s="9" t="s">
        <v>49</v>
      </c>
      <c r="L1618" s="13">
        <v>0</v>
      </c>
      <c r="M1618" s="9" t="s">
        <v>34</v>
      </c>
    </row>
    <row r="1619" spans="1:13" ht="20.25" customHeight="1" x14ac:dyDescent="0.25">
      <c r="A1619" s="9" t="s">
        <v>2781</v>
      </c>
      <c r="B1619" s="10">
        <v>46097</v>
      </c>
      <c r="C1619" s="9" t="s">
        <v>41</v>
      </c>
      <c r="D1619" s="9" t="s">
        <v>29</v>
      </c>
      <c r="E1619" s="11" t="s">
        <v>30</v>
      </c>
      <c r="F1619" s="11" t="s">
        <v>63</v>
      </c>
      <c r="G1619" s="3">
        <v>3466.95</v>
      </c>
      <c r="H1619" s="3">
        <v>2455.7600000000002</v>
      </c>
      <c r="I1619" s="12">
        <v>3</v>
      </c>
      <c r="J1619" s="9" t="s">
        <v>2782</v>
      </c>
      <c r="K1619" s="9" t="s">
        <v>49</v>
      </c>
      <c r="L1619" s="13">
        <v>0</v>
      </c>
      <c r="M1619" s="9" t="s">
        <v>34</v>
      </c>
    </row>
    <row r="1620" spans="1:13" ht="20.25" customHeight="1" x14ac:dyDescent="0.25">
      <c r="A1620" s="9" t="s">
        <v>2783</v>
      </c>
      <c r="B1620" s="10">
        <v>46097</v>
      </c>
      <c r="C1620" s="9" t="s">
        <v>28</v>
      </c>
      <c r="D1620" s="9" t="s">
        <v>29</v>
      </c>
      <c r="E1620" s="11" t="s">
        <v>58</v>
      </c>
      <c r="F1620" s="11" t="s">
        <v>87</v>
      </c>
      <c r="G1620" s="3">
        <v>173.35</v>
      </c>
      <c r="H1620" s="3">
        <v>105.93</v>
      </c>
      <c r="I1620" s="12">
        <v>1</v>
      </c>
      <c r="J1620" s="9" t="s">
        <v>1317</v>
      </c>
      <c r="K1620" s="9" t="s">
        <v>49</v>
      </c>
      <c r="L1620" s="13">
        <v>0</v>
      </c>
      <c r="M1620" s="9" t="s">
        <v>34</v>
      </c>
    </row>
    <row r="1621" spans="1:13" ht="20.25" customHeight="1" x14ac:dyDescent="0.25">
      <c r="A1621" s="9" t="s">
        <v>2784</v>
      </c>
      <c r="B1621" s="10">
        <v>46098</v>
      </c>
      <c r="C1621" s="9" t="s">
        <v>36</v>
      </c>
      <c r="D1621" s="9" t="s">
        <v>29</v>
      </c>
      <c r="E1621" s="11" t="s">
        <v>30</v>
      </c>
      <c r="F1621" s="11" t="s">
        <v>63</v>
      </c>
      <c r="G1621" s="3">
        <v>1155.6500000000001</v>
      </c>
      <c r="H1621" s="3">
        <v>818.59</v>
      </c>
      <c r="I1621" s="12">
        <v>1</v>
      </c>
      <c r="J1621" s="9" t="s">
        <v>1541</v>
      </c>
      <c r="K1621" s="9" t="s">
        <v>49</v>
      </c>
      <c r="L1621" s="13">
        <v>0</v>
      </c>
      <c r="M1621" s="9" t="s">
        <v>34</v>
      </c>
    </row>
    <row r="1622" spans="1:13" ht="20.25" customHeight="1" x14ac:dyDescent="0.25">
      <c r="A1622" s="9" t="s">
        <v>2785</v>
      </c>
      <c r="B1622" s="10">
        <v>46098</v>
      </c>
      <c r="C1622" s="9" t="s">
        <v>36</v>
      </c>
      <c r="D1622" s="9" t="s">
        <v>51</v>
      </c>
      <c r="E1622" s="11" t="s">
        <v>30</v>
      </c>
      <c r="F1622" s="11" t="s">
        <v>63</v>
      </c>
      <c r="G1622" s="3">
        <v>1155.6500000000001</v>
      </c>
      <c r="H1622" s="3">
        <v>818.59</v>
      </c>
      <c r="I1622" s="12">
        <v>1</v>
      </c>
      <c r="J1622" s="9" t="s">
        <v>2083</v>
      </c>
      <c r="K1622" s="9" t="s">
        <v>49</v>
      </c>
      <c r="L1622" s="13">
        <v>0</v>
      </c>
      <c r="M1622" s="9" t="s">
        <v>34</v>
      </c>
    </row>
    <row r="1623" spans="1:13" ht="20.25" customHeight="1" x14ac:dyDescent="0.25">
      <c r="A1623" s="9" t="s">
        <v>2786</v>
      </c>
      <c r="B1623" s="10">
        <v>46099</v>
      </c>
      <c r="C1623" s="9" t="s">
        <v>36</v>
      </c>
      <c r="D1623" s="9" t="s">
        <v>51</v>
      </c>
      <c r="E1623" s="11" t="s">
        <v>30</v>
      </c>
      <c r="F1623" s="11" t="s">
        <v>80</v>
      </c>
      <c r="G1623" s="3">
        <v>818.59</v>
      </c>
      <c r="H1623" s="3">
        <v>577.83000000000004</v>
      </c>
      <c r="I1623" s="12">
        <v>1</v>
      </c>
      <c r="J1623" s="9" t="s">
        <v>2327</v>
      </c>
      <c r="K1623" s="9" t="s">
        <v>49</v>
      </c>
      <c r="L1623" s="13">
        <v>0</v>
      </c>
      <c r="M1623" s="9" t="s">
        <v>34</v>
      </c>
    </row>
    <row r="1624" spans="1:13" ht="20.25" customHeight="1" x14ac:dyDescent="0.25">
      <c r="A1624" s="9" t="s">
        <v>2787</v>
      </c>
      <c r="B1624" s="10">
        <v>46099</v>
      </c>
      <c r="C1624" s="9" t="s">
        <v>36</v>
      </c>
      <c r="D1624" s="9" t="s">
        <v>51</v>
      </c>
      <c r="E1624" s="11" t="s">
        <v>58</v>
      </c>
      <c r="F1624" s="11" t="s">
        <v>87</v>
      </c>
      <c r="G1624" s="3">
        <v>346.7</v>
      </c>
      <c r="H1624" s="3">
        <v>211.87</v>
      </c>
      <c r="I1624" s="12">
        <v>2</v>
      </c>
      <c r="J1624" s="9" t="s">
        <v>2788</v>
      </c>
      <c r="K1624" s="9" t="s">
        <v>49</v>
      </c>
      <c r="L1624" s="13">
        <v>0</v>
      </c>
      <c r="M1624" s="9" t="s">
        <v>34</v>
      </c>
    </row>
    <row r="1625" spans="1:13" ht="20.25" customHeight="1" x14ac:dyDescent="0.25">
      <c r="A1625" s="9" t="s">
        <v>2789</v>
      </c>
      <c r="B1625" s="10">
        <v>46100</v>
      </c>
      <c r="C1625" s="9" t="s">
        <v>71</v>
      </c>
      <c r="D1625" s="9" t="s">
        <v>29</v>
      </c>
      <c r="E1625" s="11" t="s">
        <v>43</v>
      </c>
      <c r="F1625" s="11" t="s">
        <v>47</v>
      </c>
      <c r="G1625" s="3">
        <v>105.93</v>
      </c>
      <c r="H1625" s="3">
        <v>62.6</v>
      </c>
      <c r="I1625" s="12">
        <v>1</v>
      </c>
      <c r="J1625" s="9" t="s">
        <v>1844</v>
      </c>
      <c r="K1625" s="9" t="s">
        <v>49</v>
      </c>
      <c r="L1625" s="13">
        <v>0</v>
      </c>
      <c r="M1625" s="9" t="s">
        <v>34</v>
      </c>
    </row>
    <row r="1626" spans="1:13" ht="20.25" customHeight="1" x14ac:dyDescent="0.25">
      <c r="A1626" s="9" t="s">
        <v>2790</v>
      </c>
      <c r="B1626" s="10">
        <v>46100</v>
      </c>
      <c r="C1626" s="9" t="s">
        <v>28</v>
      </c>
      <c r="D1626" s="9" t="s">
        <v>29</v>
      </c>
      <c r="E1626" s="11" t="s">
        <v>30</v>
      </c>
      <c r="F1626" s="11" t="s">
        <v>80</v>
      </c>
      <c r="G1626" s="3">
        <v>818.59</v>
      </c>
      <c r="H1626" s="3">
        <v>577.83000000000004</v>
      </c>
      <c r="I1626" s="12">
        <v>1</v>
      </c>
      <c r="J1626" s="9" t="s">
        <v>2089</v>
      </c>
      <c r="K1626" s="9" t="s">
        <v>33</v>
      </c>
      <c r="L1626" s="13">
        <v>1</v>
      </c>
      <c r="M1626" s="9" t="s">
        <v>34</v>
      </c>
    </row>
    <row r="1627" spans="1:13" ht="20.25" customHeight="1" x14ac:dyDescent="0.25">
      <c r="A1627" s="9" t="s">
        <v>2791</v>
      </c>
      <c r="B1627" s="10">
        <v>46100</v>
      </c>
      <c r="C1627" s="9" t="s">
        <v>71</v>
      </c>
      <c r="D1627" s="9" t="s">
        <v>51</v>
      </c>
      <c r="E1627" s="11" t="s">
        <v>37</v>
      </c>
      <c r="F1627" s="11" t="s">
        <v>55</v>
      </c>
      <c r="G1627" s="3">
        <v>-260.02</v>
      </c>
      <c r="H1627" s="3">
        <v>-158.9</v>
      </c>
      <c r="I1627" s="12">
        <v>-3</v>
      </c>
      <c r="J1627" s="9" t="s">
        <v>175</v>
      </c>
      <c r="K1627" s="9" t="s">
        <v>49</v>
      </c>
      <c r="L1627" s="13">
        <v>0</v>
      </c>
      <c r="M1627" s="9" t="s">
        <v>76</v>
      </c>
    </row>
    <row r="1628" spans="1:13" ht="20.25" customHeight="1" x14ac:dyDescent="0.25">
      <c r="A1628" s="9" t="s">
        <v>2792</v>
      </c>
      <c r="B1628" s="10">
        <v>46101</v>
      </c>
      <c r="C1628" s="9" t="s">
        <v>54</v>
      </c>
      <c r="D1628" s="9" t="s">
        <v>29</v>
      </c>
      <c r="E1628" s="11" t="s">
        <v>37</v>
      </c>
      <c r="F1628" s="11" t="s">
        <v>55</v>
      </c>
      <c r="G1628" s="3">
        <v>173.35</v>
      </c>
      <c r="H1628" s="3">
        <v>105.93</v>
      </c>
      <c r="I1628" s="12">
        <v>2</v>
      </c>
      <c r="J1628" s="9" t="s">
        <v>2793</v>
      </c>
      <c r="K1628" s="9" t="s">
        <v>49</v>
      </c>
      <c r="L1628" s="13">
        <v>0</v>
      </c>
      <c r="M1628" s="9" t="s">
        <v>34</v>
      </c>
    </row>
    <row r="1629" spans="1:13" ht="20.25" customHeight="1" x14ac:dyDescent="0.25">
      <c r="A1629" s="9" t="s">
        <v>2794</v>
      </c>
      <c r="B1629" s="10">
        <v>46101</v>
      </c>
      <c r="C1629" s="9" t="s">
        <v>41</v>
      </c>
      <c r="D1629" s="9" t="s">
        <v>42</v>
      </c>
      <c r="E1629" s="11" t="s">
        <v>30</v>
      </c>
      <c r="F1629" s="11" t="s">
        <v>80</v>
      </c>
      <c r="G1629" s="3">
        <v>818.59</v>
      </c>
      <c r="H1629" s="3">
        <v>577.83000000000004</v>
      </c>
      <c r="I1629" s="12">
        <v>1</v>
      </c>
      <c r="J1629" s="9" t="s">
        <v>2795</v>
      </c>
      <c r="K1629" s="9" t="s">
        <v>49</v>
      </c>
      <c r="L1629" s="13">
        <v>0</v>
      </c>
      <c r="M1629" s="9" t="s">
        <v>34</v>
      </c>
    </row>
    <row r="1630" spans="1:13" ht="20.25" customHeight="1" x14ac:dyDescent="0.25">
      <c r="A1630" s="9" t="s">
        <v>2796</v>
      </c>
      <c r="B1630" s="10">
        <v>46101</v>
      </c>
      <c r="C1630" s="9" t="s">
        <v>28</v>
      </c>
      <c r="D1630" s="9" t="s">
        <v>51</v>
      </c>
      <c r="E1630" s="11" t="s">
        <v>43</v>
      </c>
      <c r="F1630" s="11" t="s">
        <v>90</v>
      </c>
      <c r="G1630" s="3">
        <v>288.91000000000003</v>
      </c>
      <c r="H1630" s="3">
        <v>173.35</v>
      </c>
      <c r="I1630" s="12">
        <v>2</v>
      </c>
      <c r="J1630" s="9" t="s">
        <v>1838</v>
      </c>
      <c r="K1630" s="9" t="s">
        <v>49</v>
      </c>
      <c r="L1630" s="13">
        <v>0</v>
      </c>
      <c r="M1630" s="9" t="s">
        <v>34</v>
      </c>
    </row>
    <row r="1631" spans="1:13" ht="20.25" customHeight="1" x14ac:dyDescent="0.25">
      <c r="A1631" s="9" t="s">
        <v>2797</v>
      </c>
      <c r="B1631" s="10">
        <v>46101</v>
      </c>
      <c r="C1631" s="9" t="s">
        <v>28</v>
      </c>
      <c r="D1631" s="9" t="s">
        <v>29</v>
      </c>
      <c r="E1631" s="11" t="s">
        <v>37</v>
      </c>
      <c r="F1631" s="11" t="s">
        <v>38</v>
      </c>
      <c r="G1631" s="3">
        <v>115.57</v>
      </c>
      <c r="H1631" s="3">
        <v>67.41</v>
      </c>
      <c r="I1631" s="12">
        <v>1</v>
      </c>
      <c r="J1631" s="9" t="s">
        <v>2798</v>
      </c>
      <c r="K1631" s="9" t="s">
        <v>49</v>
      </c>
      <c r="L1631" s="13">
        <v>0</v>
      </c>
      <c r="M1631" s="9" t="s">
        <v>34</v>
      </c>
    </row>
    <row r="1632" spans="1:13" ht="20.25" customHeight="1" x14ac:dyDescent="0.25">
      <c r="A1632" s="9" t="s">
        <v>2799</v>
      </c>
      <c r="B1632" s="10">
        <v>46101</v>
      </c>
      <c r="C1632" s="9" t="s">
        <v>28</v>
      </c>
      <c r="D1632" s="9" t="s">
        <v>42</v>
      </c>
      <c r="E1632" s="11" t="s">
        <v>58</v>
      </c>
      <c r="F1632" s="11" t="s">
        <v>59</v>
      </c>
      <c r="G1632" s="3">
        <v>288.91000000000003</v>
      </c>
      <c r="H1632" s="3">
        <v>173.35</v>
      </c>
      <c r="I1632" s="12">
        <v>2</v>
      </c>
      <c r="J1632" s="9" t="s">
        <v>2800</v>
      </c>
      <c r="K1632" s="9" t="s">
        <v>49</v>
      </c>
      <c r="L1632" s="13">
        <v>0</v>
      </c>
      <c r="M1632" s="9" t="s">
        <v>34</v>
      </c>
    </row>
    <row r="1633" spans="1:13" ht="20.25" customHeight="1" x14ac:dyDescent="0.25">
      <c r="A1633" s="9" t="s">
        <v>2801</v>
      </c>
      <c r="B1633" s="10">
        <v>46102</v>
      </c>
      <c r="C1633" s="9" t="s">
        <v>36</v>
      </c>
      <c r="D1633" s="9" t="s">
        <v>51</v>
      </c>
      <c r="E1633" s="11" t="s">
        <v>43</v>
      </c>
      <c r="F1633" s="11" t="s">
        <v>44</v>
      </c>
      <c r="G1633" s="3">
        <v>43.34</v>
      </c>
      <c r="H1633" s="3">
        <v>19.260000000000002</v>
      </c>
      <c r="I1633" s="12">
        <v>1</v>
      </c>
      <c r="J1633" s="9" t="s">
        <v>2802</v>
      </c>
      <c r="K1633" s="9" t="s">
        <v>49</v>
      </c>
      <c r="L1633" s="13">
        <v>0</v>
      </c>
      <c r="M1633" s="9" t="s">
        <v>34</v>
      </c>
    </row>
    <row r="1634" spans="1:13" ht="20.25" customHeight="1" x14ac:dyDescent="0.25">
      <c r="A1634" s="9" t="s">
        <v>2803</v>
      </c>
      <c r="B1634" s="10">
        <v>46102</v>
      </c>
      <c r="C1634" s="9" t="s">
        <v>36</v>
      </c>
      <c r="D1634" s="9" t="s">
        <v>29</v>
      </c>
      <c r="E1634" s="11" t="s">
        <v>30</v>
      </c>
      <c r="F1634" s="11" t="s">
        <v>80</v>
      </c>
      <c r="G1634" s="3">
        <v>818.59</v>
      </c>
      <c r="H1634" s="3">
        <v>577.83000000000004</v>
      </c>
      <c r="I1634" s="12">
        <v>1</v>
      </c>
      <c r="J1634" s="9" t="s">
        <v>2528</v>
      </c>
      <c r="K1634" s="9" t="s">
        <v>49</v>
      </c>
      <c r="L1634" s="13">
        <v>0</v>
      </c>
      <c r="M1634" s="9" t="s">
        <v>34</v>
      </c>
    </row>
    <row r="1635" spans="1:13" ht="20.25" customHeight="1" x14ac:dyDescent="0.25">
      <c r="A1635" s="9" t="s">
        <v>2804</v>
      </c>
      <c r="B1635" s="10">
        <v>46102</v>
      </c>
      <c r="C1635" s="9" t="s">
        <v>41</v>
      </c>
      <c r="D1635" s="9" t="s">
        <v>51</v>
      </c>
      <c r="E1635" s="11" t="s">
        <v>37</v>
      </c>
      <c r="F1635" s="11" t="s">
        <v>72</v>
      </c>
      <c r="G1635" s="3">
        <v>423.74</v>
      </c>
      <c r="H1635" s="3">
        <v>250.39</v>
      </c>
      <c r="I1635" s="12">
        <v>2</v>
      </c>
      <c r="J1635" s="9" t="s">
        <v>1449</v>
      </c>
      <c r="K1635" s="9" t="s">
        <v>49</v>
      </c>
      <c r="L1635" s="13">
        <v>0</v>
      </c>
      <c r="M1635" s="9" t="s">
        <v>34</v>
      </c>
    </row>
    <row r="1636" spans="1:13" ht="20.25" customHeight="1" x14ac:dyDescent="0.25">
      <c r="A1636" s="9" t="s">
        <v>2805</v>
      </c>
      <c r="B1636" s="10">
        <v>46102</v>
      </c>
      <c r="C1636" s="9" t="s">
        <v>28</v>
      </c>
      <c r="D1636" s="9" t="s">
        <v>29</v>
      </c>
      <c r="E1636" s="11" t="s">
        <v>30</v>
      </c>
      <c r="F1636" s="11" t="s">
        <v>63</v>
      </c>
      <c r="G1636" s="3">
        <v>1155.6500000000001</v>
      </c>
      <c r="H1636" s="3">
        <v>818.59</v>
      </c>
      <c r="I1636" s="12">
        <v>1</v>
      </c>
      <c r="J1636" s="9" t="s">
        <v>2806</v>
      </c>
      <c r="K1636" s="9" t="s">
        <v>49</v>
      </c>
      <c r="L1636" s="13">
        <v>0</v>
      </c>
      <c r="M1636" s="9" t="s">
        <v>34</v>
      </c>
    </row>
    <row r="1637" spans="1:13" ht="20.25" customHeight="1" x14ac:dyDescent="0.25">
      <c r="A1637" s="9" t="s">
        <v>2807</v>
      </c>
      <c r="B1637" s="10">
        <v>46102</v>
      </c>
      <c r="C1637" s="9" t="s">
        <v>28</v>
      </c>
      <c r="D1637" s="9" t="s">
        <v>42</v>
      </c>
      <c r="E1637" s="11" t="s">
        <v>43</v>
      </c>
      <c r="F1637" s="11" t="s">
        <v>44</v>
      </c>
      <c r="G1637" s="3">
        <v>216.68</v>
      </c>
      <c r="H1637" s="3">
        <v>96.3</v>
      </c>
      <c r="I1637" s="12">
        <v>5</v>
      </c>
      <c r="J1637" s="9" t="s">
        <v>696</v>
      </c>
      <c r="K1637" s="9" t="s">
        <v>49</v>
      </c>
      <c r="L1637" s="13">
        <v>0</v>
      </c>
      <c r="M1637" s="9" t="s">
        <v>34</v>
      </c>
    </row>
    <row r="1638" spans="1:13" ht="20.25" customHeight="1" x14ac:dyDescent="0.25">
      <c r="A1638" s="9" t="s">
        <v>2808</v>
      </c>
      <c r="B1638" s="10">
        <v>46103</v>
      </c>
      <c r="C1638" s="9" t="s">
        <v>36</v>
      </c>
      <c r="D1638" s="9" t="s">
        <v>42</v>
      </c>
      <c r="E1638" s="11" t="s">
        <v>58</v>
      </c>
      <c r="F1638" s="11" t="s">
        <v>87</v>
      </c>
      <c r="G1638" s="3">
        <v>173.35</v>
      </c>
      <c r="H1638" s="3">
        <v>105.93</v>
      </c>
      <c r="I1638" s="12">
        <v>1</v>
      </c>
      <c r="J1638" s="9" t="s">
        <v>741</v>
      </c>
      <c r="K1638" s="9" t="s">
        <v>49</v>
      </c>
      <c r="L1638" s="13">
        <v>0</v>
      </c>
      <c r="M1638" s="9" t="s">
        <v>34</v>
      </c>
    </row>
    <row r="1639" spans="1:13" ht="20.25" customHeight="1" x14ac:dyDescent="0.25">
      <c r="A1639" s="9" t="s">
        <v>2809</v>
      </c>
      <c r="B1639" s="10">
        <v>46104</v>
      </c>
      <c r="C1639" s="9" t="s">
        <v>41</v>
      </c>
      <c r="D1639" s="9" t="s">
        <v>42</v>
      </c>
      <c r="E1639" s="11" t="s">
        <v>37</v>
      </c>
      <c r="F1639" s="11" t="s">
        <v>55</v>
      </c>
      <c r="G1639" s="3">
        <v>260.02</v>
      </c>
      <c r="H1639" s="3">
        <v>158.9</v>
      </c>
      <c r="I1639" s="12">
        <v>3</v>
      </c>
      <c r="J1639" s="9" t="s">
        <v>2810</v>
      </c>
      <c r="K1639" s="9" t="s">
        <v>33</v>
      </c>
      <c r="L1639" s="13">
        <v>1</v>
      </c>
      <c r="M1639" s="9" t="s">
        <v>34</v>
      </c>
    </row>
    <row r="1640" spans="1:13" ht="20.25" customHeight="1" x14ac:dyDescent="0.25">
      <c r="A1640" s="9" t="s">
        <v>2811</v>
      </c>
      <c r="B1640" s="10">
        <v>46104</v>
      </c>
      <c r="C1640" s="9" t="s">
        <v>28</v>
      </c>
      <c r="D1640" s="9" t="s">
        <v>51</v>
      </c>
      <c r="E1640" s="11" t="s">
        <v>30</v>
      </c>
      <c r="F1640" s="11" t="s">
        <v>63</v>
      </c>
      <c r="G1640" s="3">
        <v>3466.95</v>
      </c>
      <c r="H1640" s="3">
        <v>2455.7600000000002</v>
      </c>
      <c r="I1640" s="12">
        <v>3</v>
      </c>
      <c r="J1640" s="9" t="s">
        <v>2812</v>
      </c>
      <c r="K1640" s="9" t="s">
        <v>49</v>
      </c>
      <c r="L1640" s="13">
        <v>0</v>
      </c>
      <c r="M1640" s="9" t="s">
        <v>34</v>
      </c>
    </row>
    <row r="1641" spans="1:13" ht="20.25" customHeight="1" x14ac:dyDescent="0.25">
      <c r="A1641" s="9" t="s">
        <v>2813</v>
      </c>
      <c r="B1641" s="10">
        <v>46104</v>
      </c>
      <c r="C1641" s="9" t="s">
        <v>71</v>
      </c>
      <c r="D1641" s="9" t="s">
        <v>29</v>
      </c>
      <c r="E1641" s="11" t="s">
        <v>37</v>
      </c>
      <c r="F1641" s="11" t="s">
        <v>38</v>
      </c>
      <c r="G1641" s="3">
        <v>115.57</v>
      </c>
      <c r="H1641" s="3">
        <v>67.41</v>
      </c>
      <c r="I1641" s="12">
        <v>1</v>
      </c>
      <c r="J1641" s="9" t="s">
        <v>2814</v>
      </c>
      <c r="K1641" s="9" t="s">
        <v>33</v>
      </c>
      <c r="L1641" s="13">
        <v>1</v>
      </c>
      <c r="M1641" s="9" t="s">
        <v>34</v>
      </c>
    </row>
    <row r="1642" spans="1:13" ht="20.25" customHeight="1" x14ac:dyDescent="0.25">
      <c r="A1642" s="9" t="s">
        <v>2815</v>
      </c>
      <c r="B1642" s="10">
        <v>46104</v>
      </c>
      <c r="C1642" s="9" t="s">
        <v>28</v>
      </c>
      <c r="D1642" s="9" t="s">
        <v>51</v>
      </c>
      <c r="E1642" s="11" t="s">
        <v>43</v>
      </c>
      <c r="F1642" s="11" t="s">
        <v>90</v>
      </c>
      <c r="G1642" s="3">
        <v>288.91000000000003</v>
      </c>
      <c r="H1642" s="3">
        <v>173.35</v>
      </c>
      <c r="I1642" s="12">
        <v>2</v>
      </c>
      <c r="J1642" s="9" t="s">
        <v>1424</v>
      </c>
      <c r="K1642" s="9" t="s">
        <v>49</v>
      </c>
      <c r="L1642" s="13">
        <v>0</v>
      </c>
      <c r="M1642" s="9" t="s">
        <v>34</v>
      </c>
    </row>
    <row r="1643" spans="1:13" ht="20.25" customHeight="1" x14ac:dyDescent="0.25">
      <c r="A1643" s="9" t="s">
        <v>2816</v>
      </c>
      <c r="B1643" s="10">
        <v>46105</v>
      </c>
      <c r="C1643" s="9" t="s">
        <v>54</v>
      </c>
      <c r="D1643" s="9" t="s">
        <v>29</v>
      </c>
      <c r="E1643" s="11" t="s">
        <v>58</v>
      </c>
      <c r="F1643" s="11" t="s">
        <v>68</v>
      </c>
      <c r="G1643" s="3">
        <v>337.06</v>
      </c>
      <c r="H1643" s="3">
        <v>211.87</v>
      </c>
      <c r="I1643" s="12">
        <v>1</v>
      </c>
      <c r="J1643" s="9" t="s">
        <v>879</v>
      </c>
      <c r="K1643" s="9" t="s">
        <v>49</v>
      </c>
      <c r="L1643" s="13">
        <v>0</v>
      </c>
      <c r="M1643" s="9" t="s">
        <v>34</v>
      </c>
    </row>
    <row r="1644" spans="1:13" ht="20.25" customHeight="1" x14ac:dyDescent="0.25">
      <c r="A1644" s="9" t="s">
        <v>2817</v>
      </c>
      <c r="B1644" s="10">
        <v>46105</v>
      </c>
      <c r="C1644" s="9" t="s">
        <v>54</v>
      </c>
      <c r="D1644" s="9" t="s">
        <v>51</v>
      </c>
      <c r="E1644" s="11" t="s">
        <v>37</v>
      </c>
      <c r="F1644" s="11" t="s">
        <v>55</v>
      </c>
      <c r="G1644" s="3">
        <v>260.02</v>
      </c>
      <c r="H1644" s="3">
        <v>158.9</v>
      </c>
      <c r="I1644" s="12">
        <v>3</v>
      </c>
      <c r="J1644" s="9" t="s">
        <v>998</v>
      </c>
      <c r="K1644" s="9" t="s">
        <v>49</v>
      </c>
      <c r="L1644" s="13">
        <v>0</v>
      </c>
      <c r="M1644" s="9" t="s">
        <v>34</v>
      </c>
    </row>
    <row r="1645" spans="1:13" ht="20.25" customHeight="1" x14ac:dyDescent="0.25">
      <c r="A1645" s="9" t="s">
        <v>2818</v>
      </c>
      <c r="B1645" s="10">
        <v>46106</v>
      </c>
      <c r="C1645" s="9" t="s">
        <v>28</v>
      </c>
      <c r="D1645" s="9" t="s">
        <v>51</v>
      </c>
      <c r="E1645" s="11" t="s">
        <v>58</v>
      </c>
      <c r="F1645" s="11" t="s">
        <v>87</v>
      </c>
      <c r="G1645" s="3">
        <v>173.35</v>
      </c>
      <c r="H1645" s="3">
        <v>105.93</v>
      </c>
      <c r="I1645" s="12">
        <v>1</v>
      </c>
      <c r="J1645" s="9" t="s">
        <v>2474</v>
      </c>
      <c r="K1645" s="9" t="s">
        <v>49</v>
      </c>
      <c r="L1645" s="13">
        <v>0</v>
      </c>
      <c r="M1645" s="9" t="s">
        <v>34</v>
      </c>
    </row>
    <row r="1646" spans="1:13" ht="20.25" customHeight="1" x14ac:dyDescent="0.25">
      <c r="A1646" s="9" t="s">
        <v>2819</v>
      </c>
      <c r="B1646" s="10">
        <v>46106</v>
      </c>
      <c r="C1646" s="9" t="s">
        <v>28</v>
      </c>
      <c r="D1646" s="9" t="s">
        <v>29</v>
      </c>
      <c r="E1646" s="11" t="s">
        <v>43</v>
      </c>
      <c r="F1646" s="11" t="s">
        <v>44</v>
      </c>
      <c r="G1646" s="3">
        <v>86.67</v>
      </c>
      <c r="H1646" s="3">
        <v>38.520000000000003</v>
      </c>
      <c r="I1646" s="12">
        <v>2</v>
      </c>
      <c r="J1646" s="9" t="s">
        <v>2820</v>
      </c>
      <c r="K1646" s="9" t="s">
        <v>49</v>
      </c>
      <c r="L1646" s="13">
        <v>0</v>
      </c>
      <c r="M1646" s="9" t="s">
        <v>34</v>
      </c>
    </row>
    <row r="1647" spans="1:13" ht="20.25" customHeight="1" x14ac:dyDescent="0.25">
      <c r="A1647" s="9" t="s">
        <v>2821</v>
      </c>
      <c r="B1647" s="10">
        <v>46106</v>
      </c>
      <c r="C1647" s="9" t="s">
        <v>36</v>
      </c>
      <c r="D1647" s="9" t="s">
        <v>29</v>
      </c>
      <c r="E1647" s="11" t="s">
        <v>58</v>
      </c>
      <c r="F1647" s="11" t="s">
        <v>87</v>
      </c>
      <c r="G1647" s="3">
        <v>-173.35</v>
      </c>
      <c r="H1647" s="3">
        <v>-105.93</v>
      </c>
      <c r="I1647" s="12">
        <v>-1</v>
      </c>
      <c r="J1647" s="9" t="s">
        <v>2822</v>
      </c>
      <c r="K1647" s="9" t="s">
        <v>49</v>
      </c>
      <c r="L1647" s="13">
        <v>0</v>
      </c>
      <c r="M1647" s="9" t="s">
        <v>76</v>
      </c>
    </row>
    <row r="1648" spans="1:13" ht="20.25" customHeight="1" x14ac:dyDescent="0.25">
      <c r="A1648" s="9" t="s">
        <v>2823</v>
      </c>
      <c r="B1648" s="10">
        <v>46107</v>
      </c>
      <c r="C1648" s="9" t="s">
        <v>28</v>
      </c>
      <c r="D1648" s="9" t="s">
        <v>42</v>
      </c>
      <c r="E1648" s="11" t="s">
        <v>43</v>
      </c>
      <c r="F1648" s="11" t="s">
        <v>90</v>
      </c>
      <c r="G1648" s="3">
        <v>144.46</v>
      </c>
      <c r="H1648" s="3">
        <v>86.67</v>
      </c>
      <c r="I1648" s="12">
        <v>1</v>
      </c>
      <c r="J1648" s="9" t="s">
        <v>1363</v>
      </c>
      <c r="K1648" s="9" t="s">
        <v>49</v>
      </c>
      <c r="L1648" s="13">
        <v>0</v>
      </c>
      <c r="M1648" s="9" t="s">
        <v>34</v>
      </c>
    </row>
    <row r="1649" spans="1:13" ht="20.25" customHeight="1" x14ac:dyDescent="0.25">
      <c r="A1649" s="9" t="s">
        <v>2824</v>
      </c>
      <c r="B1649" s="10">
        <v>46107</v>
      </c>
      <c r="C1649" s="9" t="s">
        <v>41</v>
      </c>
      <c r="D1649" s="9" t="s">
        <v>42</v>
      </c>
      <c r="E1649" s="11" t="s">
        <v>43</v>
      </c>
      <c r="F1649" s="11" t="s">
        <v>90</v>
      </c>
      <c r="G1649" s="3">
        <v>144.46</v>
      </c>
      <c r="H1649" s="3">
        <v>86.67</v>
      </c>
      <c r="I1649" s="12">
        <v>1</v>
      </c>
      <c r="J1649" s="9" t="s">
        <v>2825</v>
      </c>
      <c r="K1649" s="9" t="s">
        <v>49</v>
      </c>
      <c r="L1649" s="13">
        <v>0</v>
      </c>
      <c r="M1649" s="9" t="s">
        <v>34</v>
      </c>
    </row>
    <row r="1650" spans="1:13" ht="20.25" customHeight="1" x14ac:dyDescent="0.25">
      <c r="A1650" s="9" t="s">
        <v>2826</v>
      </c>
      <c r="B1650" s="10">
        <v>46108</v>
      </c>
      <c r="C1650" s="9" t="s">
        <v>54</v>
      </c>
      <c r="D1650" s="9" t="s">
        <v>29</v>
      </c>
      <c r="E1650" s="11" t="s">
        <v>58</v>
      </c>
      <c r="F1650" s="11" t="s">
        <v>87</v>
      </c>
      <c r="G1650" s="3">
        <v>173.35</v>
      </c>
      <c r="H1650" s="3">
        <v>105.93</v>
      </c>
      <c r="I1650" s="12">
        <v>1</v>
      </c>
      <c r="J1650" s="9" t="s">
        <v>2827</v>
      </c>
      <c r="K1650" s="9" t="s">
        <v>33</v>
      </c>
      <c r="L1650" s="13">
        <v>1</v>
      </c>
      <c r="M1650" s="9" t="s">
        <v>34</v>
      </c>
    </row>
    <row r="1651" spans="1:13" ht="20.25" customHeight="1" x14ac:dyDescent="0.25">
      <c r="A1651" s="9" t="s">
        <v>2828</v>
      </c>
      <c r="B1651" s="10">
        <v>46108</v>
      </c>
      <c r="C1651" s="9" t="s">
        <v>41</v>
      </c>
      <c r="D1651" s="9" t="s">
        <v>29</v>
      </c>
      <c r="E1651" s="11" t="s">
        <v>30</v>
      </c>
      <c r="F1651" s="11" t="s">
        <v>31</v>
      </c>
      <c r="G1651" s="3">
        <v>1251.95</v>
      </c>
      <c r="H1651" s="3">
        <v>866.74</v>
      </c>
      <c r="I1651" s="12">
        <v>2</v>
      </c>
      <c r="J1651" s="9" t="s">
        <v>846</v>
      </c>
      <c r="K1651" s="9" t="s">
        <v>49</v>
      </c>
      <c r="L1651" s="13">
        <v>0</v>
      </c>
      <c r="M1651" s="9" t="s">
        <v>34</v>
      </c>
    </row>
    <row r="1652" spans="1:13" ht="20.25" customHeight="1" x14ac:dyDescent="0.25">
      <c r="A1652" s="9" t="s">
        <v>2829</v>
      </c>
      <c r="B1652" s="10">
        <v>46108</v>
      </c>
      <c r="C1652" s="9" t="s">
        <v>54</v>
      </c>
      <c r="D1652" s="9" t="s">
        <v>29</v>
      </c>
      <c r="E1652" s="11" t="s">
        <v>58</v>
      </c>
      <c r="F1652" s="11" t="s">
        <v>59</v>
      </c>
      <c r="G1652" s="3">
        <v>288.91000000000003</v>
      </c>
      <c r="H1652" s="3">
        <v>173.35</v>
      </c>
      <c r="I1652" s="12">
        <v>2</v>
      </c>
      <c r="J1652" s="9" t="s">
        <v>2830</v>
      </c>
      <c r="K1652" s="9" t="s">
        <v>33</v>
      </c>
      <c r="L1652" s="13">
        <v>1</v>
      </c>
      <c r="M1652" s="9" t="s">
        <v>34</v>
      </c>
    </row>
    <row r="1653" spans="1:13" ht="20.25" customHeight="1" x14ac:dyDescent="0.25">
      <c r="A1653" s="9" t="s">
        <v>2831</v>
      </c>
      <c r="B1653" s="10">
        <v>46108</v>
      </c>
      <c r="C1653" s="9" t="s">
        <v>36</v>
      </c>
      <c r="D1653" s="9" t="s">
        <v>42</v>
      </c>
      <c r="E1653" s="11" t="s">
        <v>43</v>
      </c>
      <c r="F1653" s="11" t="s">
        <v>47</v>
      </c>
      <c r="G1653" s="3">
        <v>211.87</v>
      </c>
      <c r="H1653" s="3">
        <v>125.2</v>
      </c>
      <c r="I1653" s="12">
        <v>2</v>
      </c>
      <c r="J1653" s="9" t="s">
        <v>2832</v>
      </c>
      <c r="K1653" s="9" t="s">
        <v>49</v>
      </c>
      <c r="L1653" s="13">
        <v>0</v>
      </c>
      <c r="M1653" s="9" t="s">
        <v>34</v>
      </c>
    </row>
    <row r="1654" spans="1:13" ht="20.25" customHeight="1" x14ac:dyDescent="0.25">
      <c r="A1654" s="9" t="s">
        <v>2833</v>
      </c>
      <c r="B1654" s="10">
        <v>46108</v>
      </c>
      <c r="C1654" s="9" t="s">
        <v>28</v>
      </c>
      <c r="D1654" s="9" t="s">
        <v>29</v>
      </c>
      <c r="E1654" s="11" t="s">
        <v>30</v>
      </c>
      <c r="F1654" s="11" t="s">
        <v>31</v>
      </c>
      <c r="G1654" s="3">
        <v>625.98</v>
      </c>
      <c r="H1654" s="3">
        <v>433.37</v>
      </c>
      <c r="I1654" s="12">
        <v>1</v>
      </c>
      <c r="J1654" s="9" t="s">
        <v>2834</v>
      </c>
      <c r="K1654" s="9" t="s">
        <v>49</v>
      </c>
      <c r="L1654" s="13">
        <v>0</v>
      </c>
      <c r="M1654" s="9" t="s">
        <v>34</v>
      </c>
    </row>
    <row r="1655" spans="1:13" ht="20.25" customHeight="1" x14ac:dyDescent="0.25">
      <c r="A1655" s="9" t="s">
        <v>2835</v>
      </c>
      <c r="B1655" s="10">
        <v>46108</v>
      </c>
      <c r="C1655" s="9" t="s">
        <v>41</v>
      </c>
      <c r="D1655" s="9" t="s">
        <v>51</v>
      </c>
      <c r="E1655" s="11" t="s">
        <v>58</v>
      </c>
      <c r="F1655" s="11" t="s">
        <v>87</v>
      </c>
      <c r="G1655" s="3">
        <v>173.35</v>
      </c>
      <c r="H1655" s="3">
        <v>105.93</v>
      </c>
      <c r="I1655" s="12">
        <v>1</v>
      </c>
      <c r="J1655" s="9" t="s">
        <v>761</v>
      </c>
      <c r="K1655" s="9" t="s">
        <v>49</v>
      </c>
      <c r="L1655" s="13">
        <v>0</v>
      </c>
      <c r="M1655" s="9" t="s">
        <v>34</v>
      </c>
    </row>
    <row r="1656" spans="1:13" ht="20.25" customHeight="1" x14ac:dyDescent="0.25">
      <c r="A1656" s="9" t="s">
        <v>2836</v>
      </c>
      <c r="B1656" s="10">
        <v>46109</v>
      </c>
      <c r="C1656" s="9" t="s">
        <v>36</v>
      </c>
      <c r="D1656" s="9" t="s">
        <v>29</v>
      </c>
      <c r="E1656" s="11" t="s">
        <v>43</v>
      </c>
      <c r="F1656" s="11" t="s">
        <v>90</v>
      </c>
      <c r="G1656" s="3">
        <v>144.46</v>
      </c>
      <c r="H1656" s="3">
        <v>86.67</v>
      </c>
      <c r="I1656" s="12">
        <v>1</v>
      </c>
      <c r="J1656" s="9" t="s">
        <v>1349</v>
      </c>
      <c r="K1656" s="9" t="s">
        <v>49</v>
      </c>
      <c r="L1656" s="13">
        <v>0</v>
      </c>
      <c r="M1656" s="9" t="s">
        <v>34</v>
      </c>
    </row>
    <row r="1657" spans="1:13" ht="20.25" customHeight="1" x14ac:dyDescent="0.25">
      <c r="A1657" s="9" t="s">
        <v>2837</v>
      </c>
      <c r="B1657" s="10">
        <v>46109</v>
      </c>
      <c r="C1657" s="9" t="s">
        <v>41</v>
      </c>
      <c r="D1657" s="9" t="s">
        <v>51</v>
      </c>
      <c r="E1657" s="11" t="s">
        <v>58</v>
      </c>
      <c r="F1657" s="11" t="s">
        <v>87</v>
      </c>
      <c r="G1657" s="3">
        <v>346.7</v>
      </c>
      <c r="H1657" s="3">
        <v>211.87</v>
      </c>
      <c r="I1657" s="12">
        <v>2</v>
      </c>
      <c r="J1657" s="9" t="s">
        <v>2838</v>
      </c>
      <c r="K1657" s="9" t="s">
        <v>33</v>
      </c>
      <c r="L1657" s="13">
        <v>1</v>
      </c>
      <c r="M1657" s="9" t="s">
        <v>34</v>
      </c>
    </row>
    <row r="1658" spans="1:13" ht="20.25" customHeight="1" x14ac:dyDescent="0.25">
      <c r="A1658" s="9" t="s">
        <v>2839</v>
      </c>
      <c r="B1658" s="10">
        <v>46109</v>
      </c>
      <c r="C1658" s="9" t="s">
        <v>28</v>
      </c>
      <c r="D1658" s="9" t="s">
        <v>29</v>
      </c>
      <c r="E1658" s="11" t="s">
        <v>37</v>
      </c>
      <c r="F1658" s="11" t="s">
        <v>55</v>
      </c>
      <c r="G1658" s="3">
        <v>433.37</v>
      </c>
      <c r="H1658" s="3">
        <v>264.83999999999997</v>
      </c>
      <c r="I1658" s="12">
        <v>5</v>
      </c>
      <c r="J1658" s="9" t="s">
        <v>2840</v>
      </c>
      <c r="K1658" s="9" t="s">
        <v>49</v>
      </c>
      <c r="L1658" s="13">
        <v>0</v>
      </c>
      <c r="M1658" s="9" t="s">
        <v>34</v>
      </c>
    </row>
    <row r="1659" spans="1:13" ht="20.25" customHeight="1" x14ac:dyDescent="0.25">
      <c r="A1659" s="9" t="s">
        <v>2841</v>
      </c>
      <c r="B1659" s="10">
        <v>46110</v>
      </c>
      <c r="C1659" s="9" t="s">
        <v>28</v>
      </c>
      <c r="D1659" s="9" t="s">
        <v>51</v>
      </c>
      <c r="E1659" s="11" t="s">
        <v>30</v>
      </c>
      <c r="F1659" s="11" t="s">
        <v>80</v>
      </c>
      <c r="G1659" s="3">
        <v>818.59</v>
      </c>
      <c r="H1659" s="3">
        <v>577.83000000000004</v>
      </c>
      <c r="I1659" s="12">
        <v>1</v>
      </c>
      <c r="J1659" s="9" t="s">
        <v>614</v>
      </c>
      <c r="K1659" s="9" t="s">
        <v>49</v>
      </c>
      <c r="L1659" s="13">
        <v>0</v>
      </c>
      <c r="M1659" s="9" t="s">
        <v>34</v>
      </c>
    </row>
    <row r="1660" spans="1:13" ht="20.25" customHeight="1" x14ac:dyDescent="0.25">
      <c r="A1660" s="9" t="s">
        <v>2842</v>
      </c>
      <c r="B1660" s="10">
        <v>46111</v>
      </c>
      <c r="C1660" s="9" t="s">
        <v>62</v>
      </c>
      <c r="D1660" s="9" t="s">
        <v>29</v>
      </c>
      <c r="E1660" s="11" t="s">
        <v>30</v>
      </c>
      <c r="F1660" s="11" t="s">
        <v>63</v>
      </c>
      <c r="G1660" s="3">
        <v>1155.6500000000001</v>
      </c>
      <c r="H1660" s="3">
        <v>818.59</v>
      </c>
      <c r="I1660" s="12">
        <v>1</v>
      </c>
      <c r="J1660" s="9" t="s">
        <v>2419</v>
      </c>
      <c r="K1660" s="9" t="s">
        <v>49</v>
      </c>
      <c r="L1660" s="13">
        <v>0</v>
      </c>
      <c r="M1660" s="9" t="s">
        <v>34</v>
      </c>
    </row>
    <row r="1661" spans="1:13" ht="20.25" customHeight="1" x14ac:dyDescent="0.25">
      <c r="A1661" s="9" t="s">
        <v>2843</v>
      </c>
      <c r="B1661" s="10">
        <v>46111</v>
      </c>
      <c r="C1661" s="9" t="s">
        <v>28</v>
      </c>
      <c r="D1661" s="9" t="s">
        <v>51</v>
      </c>
      <c r="E1661" s="11" t="s">
        <v>43</v>
      </c>
      <c r="F1661" s="11" t="s">
        <v>47</v>
      </c>
      <c r="G1661" s="3">
        <v>105.93</v>
      </c>
      <c r="H1661" s="3">
        <v>62.6</v>
      </c>
      <c r="I1661" s="12">
        <v>1</v>
      </c>
      <c r="J1661" s="9" t="s">
        <v>1704</v>
      </c>
      <c r="K1661" s="9" t="s">
        <v>49</v>
      </c>
      <c r="L1661" s="13">
        <v>0</v>
      </c>
      <c r="M1661" s="9" t="s">
        <v>34</v>
      </c>
    </row>
    <row r="1662" spans="1:13" ht="20.25" customHeight="1" x14ac:dyDescent="0.25">
      <c r="A1662" s="9" t="s">
        <v>2844</v>
      </c>
      <c r="B1662" s="10">
        <v>46111</v>
      </c>
      <c r="C1662" s="9" t="s">
        <v>62</v>
      </c>
      <c r="D1662" s="9" t="s">
        <v>29</v>
      </c>
      <c r="E1662" s="11" t="s">
        <v>30</v>
      </c>
      <c r="F1662" s="11" t="s">
        <v>80</v>
      </c>
      <c r="G1662" s="3">
        <v>1637.17</v>
      </c>
      <c r="H1662" s="3">
        <v>1155.6500000000001</v>
      </c>
      <c r="I1662" s="12">
        <v>2</v>
      </c>
      <c r="J1662" s="9" t="s">
        <v>1358</v>
      </c>
      <c r="K1662" s="9" t="s">
        <v>49</v>
      </c>
      <c r="L1662" s="13">
        <v>0</v>
      </c>
      <c r="M1662" s="9" t="s">
        <v>34</v>
      </c>
    </row>
    <row r="1663" spans="1:13" ht="20.25" customHeight="1" x14ac:dyDescent="0.25">
      <c r="A1663" s="9" t="s">
        <v>2845</v>
      </c>
      <c r="B1663" s="10">
        <v>46111</v>
      </c>
      <c r="C1663" s="9" t="s">
        <v>62</v>
      </c>
      <c r="D1663" s="9" t="s">
        <v>51</v>
      </c>
      <c r="E1663" s="11" t="s">
        <v>30</v>
      </c>
      <c r="F1663" s="11" t="s">
        <v>63</v>
      </c>
      <c r="G1663" s="3">
        <v>2311.3000000000002</v>
      </c>
      <c r="H1663" s="3">
        <v>1637.17</v>
      </c>
      <c r="I1663" s="12">
        <v>2</v>
      </c>
      <c r="J1663" s="9" t="s">
        <v>2846</v>
      </c>
      <c r="K1663" s="9" t="s">
        <v>33</v>
      </c>
      <c r="L1663" s="13">
        <v>1</v>
      </c>
      <c r="M1663" s="9" t="s">
        <v>34</v>
      </c>
    </row>
    <row r="1664" spans="1:13" ht="20.25" customHeight="1" x14ac:dyDescent="0.25">
      <c r="A1664" s="9" t="s">
        <v>2847</v>
      </c>
      <c r="B1664" s="10">
        <v>46112</v>
      </c>
      <c r="C1664" s="9" t="s">
        <v>41</v>
      </c>
      <c r="D1664" s="9" t="s">
        <v>42</v>
      </c>
      <c r="E1664" s="11" t="s">
        <v>43</v>
      </c>
      <c r="F1664" s="11" t="s">
        <v>44</v>
      </c>
      <c r="G1664" s="3">
        <v>86.67</v>
      </c>
      <c r="H1664" s="3">
        <v>38.520000000000003</v>
      </c>
      <c r="I1664" s="12">
        <v>2</v>
      </c>
      <c r="J1664" s="9" t="s">
        <v>2848</v>
      </c>
      <c r="K1664" s="9" t="s">
        <v>49</v>
      </c>
      <c r="L1664" s="13">
        <v>0</v>
      </c>
      <c r="M1664" s="9" t="s">
        <v>34</v>
      </c>
    </row>
    <row r="1665" spans="1:13" ht="20.25" customHeight="1" x14ac:dyDescent="0.25">
      <c r="A1665" s="9" t="s">
        <v>2849</v>
      </c>
      <c r="B1665" s="10">
        <v>46112</v>
      </c>
      <c r="C1665" s="9" t="s">
        <v>41</v>
      </c>
      <c r="D1665" s="9" t="s">
        <v>29</v>
      </c>
      <c r="E1665" s="11" t="s">
        <v>58</v>
      </c>
      <c r="F1665" s="11" t="s">
        <v>59</v>
      </c>
      <c r="G1665" s="3">
        <v>144.46</v>
      </c>
      <c r="H1665" s="3">
        <v>86.67</v>
      </c>
      <c r="I1665" s="12">
        <v>1</v>
      </c>
      <c r="J1665" s="9" t="s">
        <v>1731</v>
      </c>
      <c r="K1665" s="9" t="s">
        <v>33</v>
      </c>
      <c r="L1665" s="13">
        <v>1</v>
      </c>
      <c r="M1665" s="9" t="s">
        <v>34</v>
      </c>
    </row>
    <row r="1666" spans="1:13" ht="20.25" customHeight="1" x14ac:dyDescent="0.25">
      <c r="A1666" s="9" t="s">
        <v>2850</v>
      </c>
      <c r="B1666" s="10">
        <v>46112</v>
      </c>
      <c r="C1666" s="9" t="s">
        <v>71</v>
      </c>
      <c r="D1666" s="9" t="s">
        <v>42</v>
      </c>
      <c r="E1666" s="11" t="s">
        <v>43</v>
      </c>
      <c r="F1666" s="11" t="s">
        <v>90</v>
      </c>
      <c r="G1666" s="3">
        <v>288.91000000000003</v>
      </c>
      <c r="H1666" s="3">
        <v>173.35</v>
      </c>
      <c r="I1666" s="12">
        <v>2</v>
      </c>
      <c r="J1666" s="9" t="s">
        <v>2851</v>
      </c>
      <c r="K1666" s="9" t="s">
        <v>33</v>
      </c>
      <c r="L1666" s="13">
        <v>1</v>
      </c>
      <c r="M1666" s="9" t="s">
        <v>34</v>
      </c>
    </row>
    <row r="1667" spans="1:13" ht="20.25" customHeight="1" x14ac:dyDescent="0.25">
      <c r="A1667" s="9" t="s">
        <v>2852</v>
      </c>
      <c r="B1667" s="10">
        <v>46113</v>
      </c>
      <c r="C1667" s="9" t="s">
        <v>54</v>
      </c>
      <c r="D1667" s="9" t="s">
        <v>51</v>
      </c>
      <c r="E1667" s="11" t="s">
        <v>43</v>
      </c>
      <c r="F1667" s="11" t="s">
        <v>90</v>
      </c>
      <c r="G1667" s="3">
        <v>288.91000000000003</v>
      </c>
      <c r="H1667" s="3">
        <v>173.35</v>
      </c>
      <c r="I1667" s="12">
        <v>2</v>
      </c>
      <c r="J1667" s="9" t="s">
        <v>1510</v>
      </c>
      <c r="K1667" s="9" t="s">
        <v>49</v>
      </c>
      <c r="L1667" s="13">
        <v>0</v>
      </c>
      <c r="M1667" s="9" t="s">
        <v>34</v>
      </c>
    </row>
    <row r="1668" spans="1:13" ht="20.25" customHeight="1" x14ac:dyDescent="0.25">
      <c r="A1668" s="9" t="s">
        <v>2853</v>
      </c>
      <c r="B1668" s="10">
        <v>46114</v>
      </c>
      <c r="C1668" s="9" t="s">
        <v>28</v>
      </c>
      <c r="D1668" s="9" t="s">
        <v>29</v>
      </c>
      <c r="E1668" s="11" t="s">
        <v>30</v>
      </c>
      <c r="F1668" s="11" t="s">
        <v>80</v>
      </c>
      <c r="G1668" s="3">
        <v>818.59</v>
      </c>
      <c r="H1668" s="3">
        <v>577.83000000000004</v>
      </c>
      <c r="I1668" s="12">
        <v>1</v>
      </c>
      <c r="J1668" s="9" t="s">
        <v>1720</v>
      </c>
      <c r="K1668" s="9" t="s">
        <v>49</v>
      </c>
      <c r="L1668" s="13">
        <v>0</v>
      </c>
      <c r="M1668" s="9" t="s">
        <v>34</v>
      </c>
    </row>
    <row r="1669" spans="1:13" ht="20.25" customHeight="1" x14ac:dyDescent="0.25">
      <c r="A1669" s="9" t="s">
        <v>2854</v>
      </c>
      <c r="B1669" s="10">
        <v>46115</v>
      </c>
      <c r="C1669" s="9" t="s">
        <v>36</v>
      </c>
      <c r="D1669" s="9" t="s">
        <v>29</v>
      </c>
      <c r="E1669" s="11" t="s">
        <v>30</v>
      </c>
      <c r="F1669" s="11" t="s">
        <v>63</v>
      </c>
      <c r="G1669" s="3">
        <v>1155.6500000000001</v>
      </c>
      <c r="H1669" s="3">
        <v>818.59</v>
      </c>
      <c r="I1669" s="12">
        <v>1</v>
      </c>
      <c r="J1669" s="9" t="s">
        <v>2855</v>
      </c>
      <c r="K1669" s="9" t="s">
        <v>49</v>
      </c>
      <c r="L1669" s="13">
        <v>0</v>
      </c>
      <c r="M1669" s="9" t="s">
        <v>34</v>
      </c>
    </row>
    <row r="1670" spans="1:13" ht="20.25" customHeight="1" x14ac:dyDescent="0.25">
      <c r="A1670" s="9" t="s">
        <v>2856</v>
      </c>
      <c r="B1670" s="10">
        <v>46115</v>
      </c>
      <c r="C1670" s="9" t="s">
        <v>71</v>
      </c>
      <c r="D1670" s="9" t="s">
        <v>29</v>
      </c>
      <c r="E1670" s="11" t="s">
        <v>37</v>
      </c>
      <c r="F1670" s="11" t="s">
        <v>38</v>
      </c>
      <c r="G1670" s="3">
        <v>-115.57</v>
      </c>
      <c r="H1670" s="3">
        <v>-67.41</v>
      </c>
      <c r="I1670" s="12">
        <v>-1</v>
      </c>
      <c r="J1670" s="9" t="s">
        <v>2857</v>
      </c>
      <c r="K1670" s="9" t="s">
        <v>33</v>
      </c>
      <c r="L1670" s="13">
        <v>1</v>
      </c>
      <c r="M1670" s="9" t="s">
        <v>76</v>
      </c>
    </row>
    <row r="1671" spans="1:13" ht="20.25" customHeight="1" x14ac:dyDescent="0.25">
      <c r="A1671" s="9" t="s">
        <v>2858</v>
      </c>
      <c r="B1671" s="10">
        <v>46115</v>
      </c>
      <c r="C1671" s="9" t="s">
        <v>36</v>
      </c>
      <c r="D1671" s="9" t="s">
        <v>51</v>
      </c>
      <c r="E1671" s="11" t="s">
        <v>58</v>
      </c>
      <c r="F1671" s="11" t="s">
        <v>68</v>
      </c>
      <c r="G1671" s="3">
        <v>337.06</v>
      </c>
      <c r="H1671" s="3">
        <v>211.87</v>
      </c>
      <c r="I1671" s="12">
        <v>1</v>
      </c>
      <c r="J1671" s="9" t="s">
        <v>1435</v>
      </c>
      <c r="K1671" s="9" t="s">
        <v>49</v>
      </c>
      <c r="L1671" s="13">
        <v>0</v>
      </c>
      <c r="M1671" s="9" t="s">
        <v>34</v>
      </c>
    </row>
    <row r="1672" spans="1:13" ht="20.25" customHeight="1" x14ac:dyDescent="0.25">
      <c r="A1672" s="9" t="s">
        <v>2859</v>
      </c>
      <c r="B1672" s="10">
        <v>46116</v>
      </c>
      <c r="C1672" s="9" t="s">
        <v>36</v>
      </c>
      <c r="D1672" s="9" t="s">
        <v>51</v>
      </c>
      <c r="E1672" s="11" t="s">
        <v>30</v>
      </c>
      <c r="F1672" s="11" t="s">
        <v>31</v>
      </c>
      <c r="G1672" s="3">
        <v>1877.93</v>
      </c>
      <c r="H1672" s="3">
        <v>1300.1099999999999</v>
      </c>
      <c r="I1672" s="12">
        <v>3</v>
      </c>
      <c r="J1672" s="9" t="s">
        <v>2860</v>
      </c>
      <c r="K1672" s="9" t="s">
        <v>49</v>
      </c>
      <c r="L1672" s="13">
        <v>0</v>
      </c>
      <c r="M1672" s="9" t="s">
        <v>34</v>
      </c>
    </row>
    <row r="1673" spans="1:13" ht="20.25" customHeight="1" x14ac:dyDescent="0.25">
      <c r="A1673" s="9" t="s">
        <v>2861</v>
      </c>
      <c r="B1673" s="10">
        <v>46116</v>
      </c>
      <c r="C1673" s="9" t="s">
        <v>36</v>
      </c>
      <c r="D1673" s="9" t="s">
        <v>29</v>
      </c>
      <c r="E1673" s="11" t="s">
        <v>37</v>
      </c>
      <c r="F1673" s="11" t="s">
        <v>72</v>
      </c>
      <c r="G1673" s="3">
        <v>211.87</v>
      </c>
      <c r="H1673" s="3">
        <v>125.2</v>
      </c>
      <c r="I1673" s="12">
        <v>1</v>
      </c>
      <c r="J1673" s="9" t="s">
        <v>2436</v>
      </c>
      <c r="K1673" s="9" t="s">
        <v>49</v>
      </c>
      <c r="L1673" s="13">
        <v>0</v>
      </c>
      <c r="M1673" s="9" t="s">
        <v>34</v>
      </c>
    </row>
    <row r="1674" spans="1:13" ht="20.25" customHeight="1" x14ac:dyDescent="0.25">
      <c r="A1674" s="9" t="s">
        <v>2862</v>
      </c>
      <c r="B1674" s="10">
        <v>46116</v>
      </c>
      <c r="C1674" s="9" t="s">
        <v>71</v>
      </c>
      <c r="D1674" s="9" t="s">
        <v>51</v>
      </c>
      <c r="E1674" s="11" t="s">
        <v>30</v>
      </c>
      <c r="F1674" s="11" t="s">
        <v>31</v>
      </c>
      <c r="G1674" s="3">
        <v>1251.95</v>
      </c>
      <c r="H1674" s="3">
        <v>866.74</v>
      </c>
      <c r="I1674" s="12">
        <v>2</v>
      </c>
      <c r="J1674" s="9" t="s">
        <v>922</v>
      </c>
      <c r="K1674" s="9" t="s">
        <v>49</v>
      </c>
      <c r="L1674" s="13">
        <v>0</v>
      </c>
      <c r="M1674" s="9" t="s">
        <v>34</v>
      </c>
    </row>
    <row r="1675" spans="1:13" ht="20.25" customHeight="1" x14ac:dyDescent="0.25">
      <c r="A1675" s="9" t="s">
        <v>2863</v>
      </c>
      <c r="B1675" s="10">
        <v>46117</v>
      </c>
      <c r="C1675" s="9" t="s">
        <v>54</v>
      </c>
      <c r="D1675" s="9" t="s">
        <v>42</v>
      </c>
      <c r="E1675" s="11" t="s">
        <v>43</v>
      </c>
      <c r="F1675" s="11" t="s">
        <v>44</v>
      </c>
      <c r="G1675" s="3">
        <v>43.34</v>
      </c>
      <c r="H1675" s="3">
        <v>19.260000000000002</v>
      </c>
      <c r="I1675" s="12">
        <v>1</v>
      </c>
      <c r="J1675" s="9" t="s">
        <v>296</v>
      </c>
      <c r="K1675" s="9" t="s">
        <v>33</v>
      </c>
      <c r="L1675" s="13">
        <v>1</v>
      </c>
      <c r="M1675" s="9" t="s">
        <v>34</v>
      </c>
    </row>
    <row r="1676" spans="1:13" ht="20.25" customHeight="1" x14ac:dyDescent="0.25">
      <c r="A1676" s="9" t="s">
        <v>2864</v>
      </c>
      <c r="B1676" s="10">
        <v>46118</v>
      </c>
      <c r="C1676" s="9" t="s">
        <v>28</v>
      </c>
      <c r="D1676" s="9" t="s">
        <v>42</v>
      </c>
      <c r="E1676" s="11" t="s">
        <v>30</v>
      </c>
      <c r="F1676" s="11" t="s">
        <v>31</v>
      </c>
      <c r="G1676" s="3">
        <v>625.98</v>
      </c>
      <c r="H1676" s="3">
        <v>433.37</v>
      </c>
      <c r="I1676" s="12">
        <v>1</v>
      </c>
      <c r="J1676" s="9" t="s">
        <v>1339</v>
      </c>
      <c r="K1676" s="9" t="s">
        <v>49</v>
      </c>
      <c r="L1676" s="13">
        <v>0</v>
      </c>
      <c r="M1676" s="9" t="s">
        <v>34</v>
      </c>
    </row>
    <row r="1677" spans="1:13" ht="20.25" customHeight="1" x14ac:dyDescent="0.25">
      <c r="A1677" s="9" t="s">
        <v>2865</v>
      </c>
      <c r="B1677" s="10">
        <v>46118</v>
      </c>
      <c r="C1677" s="9" t="s">
        <v>62</v>
      </c>
      <c r="D1677" s="9" t="s">
        <v>51</v>
      </c>
      <c r="E1677" s="11" t="s">
        <v>30</v>
      </c>
      <c r="F1677" s="11" t="s">
        <v>80</v>
      </c>
      <c r="G1677" s="3">
        <v>818.59</v>
      </c>
      <c r="H1677" s="3">
        <v>577.83000000000004</v>
      </c>
      <c r="I1677" s="12">
        <v>1</v>
      </c>
      <c r="J1677" s="9" t="s">
        <v>1360</v>
      </c>
      <c r="K1677" s="9" t="s">
        <v>33</v>
      </c>
      <c r="L1677" s="13">
        <v>1</v>
      </c>
      <c r="M1677" s="9" t="s">
        <v>34</v>
      </c>
    </row>
    <row r="1678" spans="1:13" ht="20.25" customHeight="1" x14ac:dyDescent="0.25">
      <c r="A1678" s="9" t="s">
        <v>2866</v>
      </c>
      <c r="B1678" s="10">
        <v>46119</v>
      </c>
      <c r="C1678" s="9" t="s">
        <v>41</v>
      </c>
      <c r="D1678" s="9" t="s">
        <v>42</v>
      </c>
      <c r="E1678" s="11" t="s">
        <v>30</v>
      </c>
      <c r="F1678" s="11" t="s">
        <v>63</v>
      </c>
      <c r="G1678" s="3">
        <v>1155.6500000000001</v>
      </c>
      <c r="H1678" s="3">
        <v>818.59</v>
      </c>
      <c r="I1678" s="12">
        <v>1</v>
      </c>
      <c r="J1678" s="9" t="s">
        <v>2867</v>
      </c>
      <c r="K1678" s="9" t="s">
        <v>49</v>
      </c>
      <c r="L1678" s="13">
        <v>0</v>
      </c>
      <c r="M1678" s="9" t="s">
        <v>34</v>
      </c>
    </row>
    <row r="1679" spans="1:13" ht="20.25" customHeight="1" x14ac:dyDescent="0.25">
      <c r="A1679" s="9" t="s">
        <v>2868</v>
      </c>
      <c r="B1679" s="10">
        <v>46120</v>
      </c>
      <c r="C1679" s="9" t="s">
        <v>54</v>
      </c>
      <c r="D1679" s="9" t="s">
        <v>51</v>
      </c>
      <c r="E1679" s="11" t="s">
        <v>43</v>
      </c>
      <c r="F1679" s="11" t="s">
        <v>47</v>
      </c>
      <c r="G1679" s="3">
        <v>105.93</v>
      </c>
      <c r="H1679" s="3">
        <v>62.6</v>
      </c>
      <c r="I1679" s="12">
        <v>1</v>
      </c>
      <c r="J1679" s="9" t="s">
        <v>2869</v>
      </c>
      <c r="K1679" s="9" t="s">
        <v>49</v>
      </c>
      <c r="L1679" s="13">
        <v>0</v>
      </c>
      <c r="M1679" s="9" t="s">
        <v>34</v>
      </c>
    </row>
    <row r="1680" spans="1:13" ht="20.25" customHeight="1" x14ac:dyDescent="0.25">
      <c r="A1680" s="9" t="s">
        <v>2870</v>
      </c>
      <c r="B1680" s="10">
        <v>46120</v>
      </c>
      <c r="C1680" s="9" t="s">
        <v>71</v>
      </c>
      <c r="D1680" s="9" t="s">
        <v>29</v>
      </c>
      <c r="E1680" s="11" t="s">
        <v>37</v>
      </c>
      <c r="F1680" s="11" t="s">
        <v>55</v>
      </c>
      <c r="G1680" s="3">
        <v>86.67</v>
      </c>
      <c r="H1680" s="3">
        <v>52.97</v>
      </c>
      <c r="I1680" s="12">
        <v>1</v>
      </c>
      <c r="J1680" s="9" t="s">
        <v>1367</v>
      </c>
      <c r="K1680" s="9" t="s">
        <v>49</v>
      </c>
      <c r="L1680" s="13">
        <v>0</v>
      </c>
      <c r="M1680" s="9" t="s">
        <v>34</v>
      </c>
    </row>
    <row r="1681" spans="1:13" ht="20.25" customHeight="1" x14ac:dyDescent="0.25">
      <c r="A1681" s="9" t="s">
        <v>2871</v>
      </c>
      <c r="B1681" s="10">
        <v>46120</v>
      </c>
      <c r="C1681" s="9" t="s">
        <v>41</v>
      </c>
      <c r="D1681" s="9" t="s">
        <v>42</v>
      </c>
      <c r="E1681" s="11" t="s">
        <v>43</v>
      </c>
      <c r="F1681" s="11" t="s">
        <v>44</v>
      </c>
      <c r="G1681" s="3">
        <v>43.34</v>
      </c>
      <c r="H1681" s="3">
        <v>19.260000000000002</v>
      </c>
      <c r="I1681" s="12">
        <v>1</v>
      </c>
      <c r="J1681" s="9" t="s">
        <v>2872</v>
      </c>
      <c r="K1681" s="9" t="s">
        <v>49</v>
      </c>
      <c r="L1681" s="13">
        <v>0</v>
      </c>
      <c r="M1681" s="9" t="s">
        <v>34</v>
      </c>
    </row>
    <row r="1682" spans="1:13" ht="20.25" customHeight="1" x14ac:dyDescent="0.25">
      <c r="A1682" s="9" t="s">
        <v>2873</v>
      </c>
      <c r="B1682" s="10">
        <v>46121</v>
      </c>
      <c r="C1682" s="9" t="s">
        <v>28</v>
      </c>
      <c r="D1682" s="9" t="s">
        <v>29</v>
      </c>
      <c r="E1682" s="11" t="s">
        <v>58</v>
      </c>
      <c r="F1682" s="11" t="s">
        <v>68</v>
      </c>
      <c r="G1682" s="3">
        <v>337.06</v>
      </c>
      <c r="H1682" s="3">
        <v>211.87</v>
      </c>
      <c r="I1682" s="12">
        <v>1</v>
      </c>
      <c r="J1682" s="9" t="s">
        <v>768</v>
      </c>
      <c r="K1682" s="9" t="s">
        <v>49</v>
      </c>
      <c r="L1682" s="13">
        <v>0</v>
      </c>
      <c r="M1682" s="9" t="s">
        <v>34</v>
      </c>
    </row>
    <row r="1683" spans="1:13" ht="20.25" customHeight="1" x14ac:dyDescent="0.25">
      <c r="A1683" s="9" t="s">
        <v>2874</v>
      </c>
      <c r="B1683" s="10">
        <v>46121</v>
      </c>
      <c r="C1683" s="9" t="s">
        <v>54</v>
      </c>
      <c r="D1683" s="9" t="s">
        <v>29</v>
      </c>
      <c r="E1683" s="11" t="s">
        <v>58</v>
      </c>
      <c r="F1683" s="11" t="s">
        <v>87</v>
      </c>
      <c r="G1683" s="3">
        <v>173.35</v>
      </c>
      <c r="H1683" s="3">
        <v>105.93</v>
      </c>
      <c r="I1683" s="12">
        <v>1</v>
      </c>
      <c r="J1683" s="9" t="s">
        <v>2246</v>
      </c>
      <c r="K1683" s="9" t="s">
        <v>49</v>
      </c>
      <c r="L1683" s="13">
        <v>0</v>
      </c>
      <c r="M1683" s="9" t="s">
        <v>34</v>
      </c>
    </row>
    <row r="1684" spans="1:13" ht="20.25" customHeight="1" x14ac:dyDescent="0.25">
      <c r="A1684" s="9" t="s">
        <v>2875</v>
      </c>
      <c r="B1684" s="10">
        <v>46121</v>
      </c>
      <c r="C1684" s="9" t="s">
        <v>28</v>
      </c>
      <c r="D1684" s="9" t="s">
        <v>29</v>
      </c>
      <c r="E1684" s="11" t="s">
        <v>30</v>
      </c>
      <c r="F1684" s="11" t="s">
        <v>80</v>
      </c>
      <c r="G1684" s="3">
        <v>818.59</v>
      </c>
      <c r="H1684" s="3">
        <v>577.83000000000004</v>
      </c>
      <c r="I1684" s="12">
        <v>1</v>
      </c>
      <c r="J1684" s="9" t="s">
        <v>1799</v>
      </c>
      <c r="K1684" s="9" t="s">
        <v>49</v>
      </c>
      <c r="L1684" s="13">
        <v>0</v>
      </c>
      <c r="M1684" s="9" t="s">
        <v>34</v>
      </c>
    </row>
    <row r="1685" spans="1:13" ht="20.25" customHeight="1" x14ac:dyDescent="0.25">
      <c r="A1685" s="9" t="s">
        <v>2876</v>
      </c>
      <c r="B1685" s="10">
        <v>46121</v>
      </c>
      <c r="C1685" s="9" t="s">
        <v>54</v>
      </c>
      <c r="D1685" s="9" t="s">
        <v>42</v>
      </c>
      <c r="E1685" s="11" t="s">
        <v>58</v>
      </c>
      <c r="F1685" s="11" t="s">
        <v>87</v>
      </c>
      <c r="G1685" s="3">
        <v>173.35</v>
      </c>
      <c r="H1685" s="3">
        <v>105.93</v>
      </c>
      <c r="I1685" s="12">
        <v>1</v>
      </c>
      <c r="J1685" s="9" t="s">
        <v>2877</v>
      </c>
      <c r="K1685" s="9" t="s">
        <v>49</v>
      </c>
      <c r="L1685" s="13">
        <v>0</v>
      </c>
      <c r="M1685" s="9" t="s">
        <v>34</v>
      </c>
    </row>
    <row r="1686" spans="1:13" ht="20.25" customHeight="1" x14ac:dyDescent="0.25">
      <c r="A1686" s="9" t="s">
        <v>2878</v>
      </c>
      <c r="B1686" s="10">
        <v>46121</v>
      </c>
      <c r="C1686" s="9" t="s">
        <v>62</v>
      </c>
      <c r="D1686" s="9" t="s">
        <v>42</v>
      </c>
      <c r="E1686" s="11" t="s">
        <v>37</v>
      </c>
      <c r="F1686" s="11" t="s">
        <v>72</v>
      </c>
      <c r="G1686" s="3">
        <v>635.61</v>
      </c>
      <c r="H1686" s="3">
        <v>375.59</v>
      </c>
      <c r="I1686" s="12">
        <v>3</v>
      </c>
      <c r="J1686" s="9" t="s">
        <v>2879</v>
      </c>
      <c r="K1686" s="9" t="s">
        <v>49</v>
      </c>
      <c r="L1686" s="13">
        <v>0</v>
      </c>
      <c r="M1686" s="9" t="s">
        <v>34</v>
      </c>
    </row>
    <row r="1687" spans="1:13" ht="20.25" customHeight="1" x14ac:dyDescent="0.25">
      <c r="A1687" s="9" t="s">
        <v>2880</v>
      </c>
      <c r="B1687" s="10">
        <v>46121</v>
      </c>
      <c r="C1687" s="9" t="s">
        <v>28</v>
      </c>
      <c r="D1687" s="9" t="s">
        <v>29</v>
      </c>
      <c r="E1687" s="11" t="s">
        <v>37</v>
      </c>
      <c r="F1687" s="11" t="s">
        <v>72</v>
      </c>
      <c r="G1687" s="3">
        <v>-211.87</v>
      </c>
      <c r="H1687" s="3">
        <v>-125.2</v>
      </c>
      <c r="I1687" s="12">
        <v>-1</v>
      </c>
      <c r="J1687" s="9" t="s">
        <v>2298</v>
      </c>
      <c r="K1687" s="9" t="s">
        <v>49</v>
      </c>
      <c r="L1687" s="13">
        <v>0</v>
      </c>
      <c r="M1687" s="9" t="s">
        <v>76</v>
      </c>
    </row>
    <row r="1688" spans="1:13" ht="20.25" customHeight="1" x14ac:dyDescent="0.25">
      <c r="A1688" s="9" t="s">
        <v>2881</v>
      </c>
      <c r="B1688" s="10">
        <v>46121</v>
      </c>
      <c r="C1688" s="9" t="s">
        <v>28</v>
      </c>
      <c r="D1688" s="9" t="s">
        <v>29</v>
      </c>
      <c r="E1688" s="11" t="s">
        <v>30</v>
      </c>
      <c r="F1688" s="11" t="s">
        <v>80</v>
      </c>
      <c r="G1688" s="3">
        <v>1637.17</v>
      </c>
      <c r="H1688" s="3">
        <v>1155.6500000000001</v>
      </c>
      <c r="I1688" s="12">
        <v>2</v>
      </c>
      <c r="J1688" s="9" t="s">
        <v>2882</v>
      </c>
      <c r="K1688" s="9" t="s">
        <v>33</v>
      </c>
      <c r="L1688" s="13">
        <v>1</v>
      </c>
      <c r="M1688" s="9" t="s">
        <v>34</v>
      </c>
    </row>
    <row r="1689" spans="1:13" ht="20.25" customHeight="1" x14ac:dyDescent="0.25">
      <c r="A1689" s="9" t="s">
        <v>2883</v>
      </c>
      <c r="B1689" s="10">
        <v>46122</v>
      </c>
      <c r="C1689" s="9" t="s">
        <v>41</v>
      </c>
      <c r="D1689" s="9" t="s">
        <v>29</v>
      </c>
      <c r="E1689" s="11" t="s">
        <v>43</v>
      </c>
      <c r="F1689" s="11" t="s">
        <v>44</v>
      </c>
      <c r="G1689" s="3">
        <v>43.34</v>
      </c>
      <c r="H1689" s="3">
        <v>19.260000000000002</v>
      </c>
      <c r="I1689" s="12">
        <v>1</v>
      </c>
      <c r="J1689" s="9" t="s">
        <v>2884</v>
      </c>
      <c r="K1689" s="9" t="s">
        <v>33</v>
      </c>
      <c r="L1689" s="13">
        <v>1</v>
      </c>
      <c r="M1689" s="9" t="s">
        <v>34</v>
      </c>
    </row>
    <row r="1690" spans="1:13" ht="20.25" customHeight="1" x14ac:dyDescent="0.25">
      <c r="A1690" s="9" t="s">
        <v>2885</v>
      </c>
      <c r="B1690" s="10">
        <v>46123</v>
      </c>
      <c r="C1690" s="9" t="s">
        <v>28</v>
      </c>
      <c r="D1690" s="9" t="s">
        <v>51</v>
      </c>
      <c r="E1690" s="11" t="s">
        <v>30</v>
      </c>
      <c r="F1690" s="11" t="s">
        <v>63</v>
      </c>
      <c r="G1690" s="3">
        <v>2311.3000000000002</v>
      </c>
      <c r="H1690" s="3">
        <v>1637.17</v>
      </c>
      <c r="I1690" s="12">
        <v>2</v>
      </c>
      <c r="J1690" s="9" t="s">
        <v>2886</v>
      </c>
      <c r="K1690" s="9" t="s">
        <v>49</v>
      </c>
      <c r="L1690" s="13">
        <v>0</v>
      </c>
      <c r="M1690" s="9" t="s">
        <v>34</v>
      </c>
    </row>
    <row r="1691" spans="1:13" ht="20.25" customHeight="1" x14ac:dyDescent="0.25">
      <c r="A1691" s="9" t="s">
        <v>2887</v>
      </c>
      <c r="B1691" s="10">
        <v>46123</v>
      </c>
      <c r="C1691" s="9" t="s">
        <v>54</v>
      </c>
      <c r="D1691" s="9" t="s">
        <v>29</v>
      </c>
      <c r="E1691" s="11" t="s">
        <v>43</v>
      </c>
      <c r="F1691" s="11" t="s">
        <v>44</v>
      </c>
      <c r="G1691" s="3">
        <v>43.34</v>
      </c>
      <c r="H1691" s="3">
        <v>19.260000000000002</v>
      </c>
      <c r="I1691" s="12">
        <v>1</v>
      </c>
      <c r="J1691" s="9" t="s">
        <v>2888</v>
      </c>
      <c r="K1691" s="9" t="s">
        <v>49</v>
      </c>
      <c r="L1691" s="13">
        <v>0</v>
      </c>
      <c r="M1691" s="9" t="s">
        <v>34</v>
      </c>
    </row>
    <row r="1692" spans="1:13" ht="20.25" customHeight="1" x14ac:dyDescent="0.25">
      <c r="A1692" s="9" t="s">
        <v>2889</v>
      </c>
      <c r="B1692" s="10">
        <v>46124</v>
      </c>
      <c r="C1692" s="9" t="s">
        <v>28</v>
      </c>
      <c r="D1692" s="9" t="s">
        <v>51</v>
      </c>
      <c r="E1692" s="11" t="s">
        <v>30</v>
      </c>
      <c r="F1692" s="11" t="s">
        <v>31</v>
      </c>
      <c r="G1692" s="3">
        <v>1877.93</v>
      </c>
      <c r="H1692" s="3">
        <v>1300.1099999999999</v>
      </c>
      <c r="I1692" s="12">
        <v>3</v>
      </c>
      <c r="J1692" s="9" t="s">
        <v>2890</v>
      </c>
      <c r="K1692" s="9" t="s">
        <v>49</v>
      </c>
      <c r="L1692" s="13">
        <v>0</v>
      </c>
      <c r="M1692" s="9" t="s">
        <v>34</v>
      </c>
    </row>
    <row r="1693" spans="1:13" ht="20.25" customHeight="1" x14ac:dyDescent="0.25">
      <c r="A1693" s="9" t="s">
        <v>2891</v>
      </c>
      <c r="B1693" s="10">
        <v>46125</v>
      </c>
      <c r="C1693" s="9" t="s">
        <v>28</v>
      </c>
      <c r="D1693" s="9" t="s">
        <v>29</v>
      </c>
      <c r="E1693" s="11" t="s">
        <v>58</v>
      </c>
      <c r="F1693" s="11" t="s">
        <v>68</v>
      </c>
      <c r="G1693" s="3">
        <v>337.06</v>
      </c>
      <c r="H1693" s="3">
        <v>211.87</v>
      </c>
      <c r="I1693" s="12">
        <v>1</v>
      </c>
      <c r="J1693" s="9" t="s">
        <v>2892</v>
      </c>
      <c r="K1693" s="9" t="s">
        <v>49</v>
      </c>
      <c r="L1693" s="13">
        <v>0</v>
      </c>
      <c r="M1693" s="9" t="s">
        <v>34</v>
      </c>
    </row>
    <row r="1694" spans="1:13" ht="20.25" customHeight="1" x14ac:dyDescent="0.25">
      <c r="A1694" s="9" t="s">
        <v>2893</v>
      </c>
      <c r="B1694" s="10">
        <v>46126</v>
      </c>
      <c r="C1694" s="9" t="s">
        <v>62</v>
      </c>
      <c r="D1694" s="9" t="s">
        <v>29</v>
      </c>
      <c r="E1694" s="11" t="s">
        <v>58</v>
      </c>
      <c r="F1694" s="11" t="s">
        <v>68</v>
      </c>
      <c r="G1694" s="3">
        <v>674.13</v>
      </c>
      <c r="H1694" s="3">
        <v>423.74</v>
      </c>
      <c r="I1694" s="12">
        <v>2</v>
      </c>
      <c r="J1694" s="9" t="s">
        <v>1528</v>
      </c>
      <c r="K1694" s="9" t="s">
        <v>49</v>
      </c>
      <c r="L1694" s="13">
        <v>0</v>
      </c>
      <c r="M1694" s="9" t="s">
        <v>34</v>
      </c>
    </row>
    <row r="1695" spans="1:13" ht="20.25" customHeight="1" x14ac:dyDescent="0.25">
      <c r="A1695" s="9" t="s">
        <v>2894</v>
      </c>
      <c r="B1695" s="10">
        <v>46126</v>
      </c>
      <c r="C1695" s="9" t="s">
        <v>41</v>
      </c>
      <c r="D1695" s="9" t="s">
        <v>29</v>
      </c>
      <c r="E1695" s="11" t="s">
        <v>58</v>
      </c>
      <c r="F1695" s="11" t="s">
        <v>59</v>
      </c>
      <c r="G1695" s="3">
        <v>144.46</v>
      </c>
      <c r="H1695" s="3">
        <v>86.67</v>
      </c>
      <c r="I1695" s="12">
        <v>1</v>
      </c>
      <c r="J1695" s="9" t="s">
        <v>2482</v>
      </c>
      <c r="K1695" s="9" t="s">
        <v>49</v>
      </c>
      <c r="L1695" s="13">
        <v>0</v>
      </c>
      <c r="M1695" s="9" t="s">
        <v>34</v>
      </c>
    </row>
    <row r="1696" spans="1:13" ht="20.25" customHeight="1" x14ac:dyDescent="0.25">
      <c r="A1696" s="9" t="s">
        <v>2895</v>
      </c>
      <c r="B1696" s="10">
        <v>46126</v>
      </c>
      <c r="C1696" s="9" t="s">
        <v>54</v>
      </c>
      <c r="D1696" s="9" t="s">
        <v>29</v>
      </c>
      <c r="E1696" s="11" t="s">
        <v>37</v>
      </c>
      <c r="F1696" s="11" t="s">
        <v>55</v>
      </c>
      <c r="G1696" s="3">
        <v>86.67</v>
      </c>
      <c r="H1696" s="3">
        <v>52.97</v>
      </c>
      <c r="I1696" s="12">
        <v>1</v>
      </c>
      <c r="J1696" s="9" t="s">
        <v>2896</v>
      </c>
      <c r="K1696" s="9" t="s">
        <v>49</v>
      </c>
      <c r="L1696" s="13">
        <v>0</v>
      </c>
      <c r="M1696" s="9" t="s">
        <v>34</v>
      </c>
    </row>
    <row r="1697" spans="1:13" ht="20.25" customHeight="1" x14ac:dyDescent="0.25">
      <c r="A1697" s="9" t="s">
        <v>2897</v>
      </c>
      <c r="B1697" s="10">
        <v>46126</v>
      </c>
      <c r="C1697" s="9" t="s">
        <v>36</v>
      </c>
      <c r="D1697" s="9" t="s">
        <v>42</v>
      </c>
      <c r="E1697" s="11" t="s">
        <v>58</v>
      </c>
      <c r="F1697" s="11" t="s">
        <v>68</v>
      </c>
      <c r="G1697" s="3">
        <v>674.13</v>
      </c>
      <c r="H1697" s="3">
        <v>423.74</v>
      </c>
      <c r="I1697" s="12">
        <v>2</v>
      </c>
      <c r="J1697" s="9" t="s">
        <v>831</v>
      </c>
      <c r="K1697" s="9" t="s">
        <v>49</v>
      </c>
      <c r="L1697" s="13">
        <v>0</v>
      </c>
      <c r="M1697" s="9" t="s">
        <v>34</v>
      </c>
    </row>
    <row r="1698" spans="1:13" ht="20.25" customHeight="1" x14ac:dyDescent="0.25">
      <c r="A1698" s="9" t="s">
        <v>2898</v>
      </c>
      <c r="B1698" s="10">
        <v>46126</v>
      </c>
      <c r="C1698" s="9" t="s">
        <v>41</v>
      </c>
      <c r="D1698" s="9" t="s">
        <v>29</v>
      </c>
      <c r="E1698" s="11" t="s">
        <v>58</v>
      </c>
      <c r="F1698" s="11" t="s">
        <v>59</v>
      </c>
      <c r="G1698" s="3">
        <v>144.46</v>
      </c>
      <c r="H1698" s="3">
        <v>86.67</v>
      </c>
      <c r="I1698" s="12">
        <v>1</v>
      </c>
      <c r="J1698" s="9" t="s">
        <v>1543</v>
      </c>
      <c r="K1698" s="9" t="s">
        <v>33</v>
      </c>
      <c r="L1698" s="13">
        <v>1</v>
      </c>
      <c r="M1698" s="9" t="s">
        <v>34</v>
      </c>
    </row>
    <row r="1699" spans="1:13" ht="20.25" customHeight="1" x14ac:dyDescent="0.25">
      <c r="A1699" s="9" t="s">
        <v>2899</v>
      </c>
      <c r="B1699" s="10">
        <v>46126</v>
      </c>
      <c r="C1699" s="9" t="s">
        <v>71</v>
      </c>
      <c r="D1699" s="9" t="s">
        <v>29</v>
      </c>
      <c r="E1699" s="11" t="s">
        <v>37</v>
      </c>
      <c r="F1699" s="11" t="s">
        <v>55</v>
      </c>
      <c r="G1699" s="3">
        <v>86.67</v>
      </c>
      <c r="H1699" s="3">
        <v>52.97</v>
      </c>
      <c r="I1699" s="12">
        <v>1</v>
      </c>
      <c r="J1699" s="9" t="s">
        <v>2900</v>
      </c>
      <c r="K1699" s="9" t="s">
        <v>49</v>
      </c>
      <c r="L1699" s="13">
        <v>0</v>
      </c>
      <c r="M1699" s="9" t="s">
        <v>34</v>
      </c>
    </row>
    <row r="1700" spans="1:13" ht="20.25" customHeight="1" x14ac:dyDescent="0.25">
      <c r="A1700" s="9" t="s">
        <v>2901</v>
      </c>
      <c r="B1700" s="10">
        <v>46126</v>
      </c>
      <c r="C1700" s="9" t="s">
        <v>71</v>
      </c>
      <c r="D1700" s="9" t="s">
        <v>29</v>
      </c>
      <c r="E1700" s="11" t="s">
        <v>37</v>
      </c>
      <c r="F1700" s="11" t="s">
        <v>72</v>
      </c>
      <c r="G1700" s="3">
        <v>211.87</v>
      </c>
      <c r="H1700" s="3">
        <v>125.2</v>
      </c>
      <c r="I1700" s="12">
        <v>1</v>
      </c>
      <c r="J1700" s="9" t="s">
        <v>2587</v>
      </c>
      <c r="K1700" s="9" t="s">
        <v>33</v>
      </c>
      <c r="L1700" s="13">
        <v>1</v>
      </c>
      <c r="M1700" s="9" t="s">
        <v>34</v>
      </c>
    </row>
    <row r="1701" spans="1:13" ht="20.25" customHeight="1" x14ac:dyDescent="0.25">
      <c r="A1701" s="9" t="s">
        <v>2902</v>
      </c>
      <c r="B1701" s="10">
        <v>46126</v>
      </c>
      <c r="C1701" s="9" t="s">
        <v>41</v>
      </c>
      <c r="D1701" s="9" t="s">
        <v>29</v>
      </c>
      <c r="E1701" s="11" t="s">
        <v>43</v>
      </c>
      <c r="F1701" s="11" t="s">
        <v>44</v>
      </c>
      <c r="G1701" s="3">
        <v>86.67</v>
      </c>
      <c r="H1701" s="3">
        <v>38.520000000000003</v>
      </c>
      <c r="I1701" s="12">
        <v>2</v>
      </c>
      <c r="J1701" s="9" t="s">
        <v>2050</v>
      </c>
      <c r="K1701" s="9" t="s">
        <v>49</v>
      </c>
      <c r="L1701" s="13">
        <v>0</v>
      </c>
      <c r="M1701" s="9" t="s">
        <v>34</v>
      </c>
    </row>
    <row r="1702" spans="1:13" ht="20.25" customHeight="1" x14ac:dyDescent="0.25">
      <c r="A1702" s="9" t="s">
        <v>2903</v>
      </c>
      <c r="B1702" s="10">
        <v>46127</v>
      </c>
      <c r="C1702" s="9" t="s">
        <v>71</v>
      </c>
      <c r="D1702" s="9" t="s">
        <v>29</v>
      </c>
      <c r="E1702" s="11" t="s">
        <v>30</v>
      </c>
      <c r="F1702" s="11" t="s">
        <v>63</v>
      </c>
      <c r="G1702" s="3">
        <v>4622.6000000000004</v>
      </c>
      <c r="H1702" s="3">
        <v>3274.34</v>
      </c>
      <c r="I1702" s="12">
        <v>4</v>
      </c>
      <c r="J1702" s="9" t="s">
        <v>900</v>
      </c>
      <c r="K1702" s="9" t="s">
        <v>49</v>
      </c>
      <c r="L1702" s="13">
        <v>0</v>
      </c>
      <c r="M1702" s="9" t="s">
        <v>34</v>
      </c>
    </row>
    <row r="1703" spans="1:13" ht="20.25" customHeight="1" x14ac:dyDescent="0.25">
      <c r="A1703" s="9" t="s">
        <v>2904</v>
      </c>
      <c r="B1703" s="10">
        <v>46128</v>
      </c>
      <c r="C1703" s="9" t="s">
        <v>36</v>
      </c>
      <c r="D1703" s="9" t="s">
        <v>29</v>
      </c>
      <c r="E1703" s="11" t="s">
        <v>37</v>
      </c>
      <c r="F1703" s="11" t="s">
        <v>72</v>
      </c>
      <c r="G1703" s="3">
        <v>211.87</v>
      </c>
      <c r="H1703" s="3">
        <v>125.2</v>
      </c>
      <c r="I1703" s="12">
        <v>1</v>
      </c>
      <c r="J1703" s="9" t="s">
        <v>2451</v>
      </c>
      <c r="K1703" s="9" t="s">
        <v>33</v>
      </c>
      <c r="L1703" s="13">
        <v>1</v>
      </c>
      <c r="M1703" s="9" t="s">
        <v>34</v>
      </c>
    </row>
    <row r="1704" spans="1:13" ht="20.25" customHeight="1" x14ac:dyDescent="0.25">
      <c r="A1704" s="9" t="s">
        <v>2905</v>
      </c>
      <c r="B1704" s="10">
        <v>46128</v>
      </c>
      <c r="C1704" s="9" t="s">
        <v>28</v>
      </c>
      <c r="D1704" s="9" t="s">
        <v>51</v>
      </c>
      <c r="E1704" s="11" t="s">
        <v>37</v>
      </c>
      <c r="F1704" s="11" t="s">
        <v>55</v>
      </c>
      <c r="G1704" s="3">
        <v>173.35</v>
      </c>
      <c r="H1704" s="3">
        <v>105.93</v>
      </c>
      <c r="I1704" s="12">
        <v>2</v>
      </c>
      <c r="J1704" s="9" t="s">
        <v>2906</v>
      </c>
      <c r="K1704" s="9" t="s">
        <v>49</v>
      </c>
      <c r="L1704" s="13">
        <v>0</v>
      </c>
      <c r="M1704" s="9" t="s">
        <v>34</v>
      </c>
    </row>
    <row r="1705" spans="1:13" ht="20.25" customHeight="1" x14ac:dyDescent="0.25">
      <c r="A1705" s="9" t="s">
        <v>2907</v>
      </c>
      <c r="B1705" s="10">
        <v>46128</v>
      </c>
      <c r="C1705" s="9" t="s">
        <v>41</v>
      </c>
      <c r="D1705" s="9" t="s">
        <v>51</v>
      </c>
      <c r="E1705" s="11" t="s">
        <v>58</v>
      </c>
      <c r="F1705" s="11" t="s">
        <v>59</v>
      </c>
      <c r="G1705" s="3">
        <v>-144.46</v>
      </c>
      <c r="H1705" s="3">
        <v>-86.67</v>
      </c>
      <c r="I1705" s="12">
        <v>-1</v>
      </c>
      <c r="J1705" s="9" t="s">
        <v>519</v>
      </c>
      <c r="K1705" s="9" t="s">
        <v>33</v>
      </c>
      <c r="L1705" s="13">
        <v>1</v>
      </c>
      <c r="M1705" s="9" t="s">
        <v>76</v>
      </c>
    </row>
    <row r="1706" spans="1:13" ht="20.25" customHeight="1" x14ac:dyDescent="0.25">
      <c r="A1706" s="9" t="s">
        <v>2908</v>
      </c>
      <c r="B1706" s="10">
        <v>46128</v>
      </c>
      <c r="C1706" s="9" t="s">
        <v>28</v>
      </c>
      <c r="D1706" s="9" t="s">
        <v>29</v>
      </c>
      <c r="E1706" s="11" t="s">
        <v>58</v>
      </c>
      <c r="F1706" s="11" t="s">
        <v>68</v>
      </c>
      <c r="G1706" s="3">
        <v>337.06</v>
      </c>
      <c r="H1706" s="3">
        <v>211.87</v>
      </c>
      <c r="I1706" s="12">
        <v>1</v>
      </c>
      <c r="J1706" s="9" t="s">
        <v>2612</v>
      </c>
      <c r="K1706" s="9" t="s">
        <v>33</v>
      </c>
      <c r="L1706" s="13">
        <v>1</v>
      </c>
      <c r="M1706" s="9" t="s">
        <v>34</v>
      </c>
    </row>
    <row r="1707" spans="1:13" ht="20.25" customHeight="1" x14ac:dyDescent="0.25">
      <c r="A1707" s="9" t="s">
        <v>2909</v>
      </c>
      <c r="B1707" s="10">
        <v>46129</v>
      </c>
      <c r="C1707" s="9" t="s">
        <v>41</v>
      </c>
      <c r="D1707" s="9" t="s">
        <v>29</v>
      </c>
      <c r="E1707" s="11" t="s">
        <v>58</v>
      </c>
      <c r="F1707" s="11" t="s">
        <v>59</v>
      </c>
      <c r="G1707" s="3">
        <v>433.37</v>
      </c>
      <c r="H1707" s="3">
        <v>260.02</v>
      </c>
      <c r="I1707" s="12">
        <v>3</v>
      </c>
      <c r="J1707" s="9" t="s">
        <v>2910</v>
      </c>
      <c r="K1707" s="9" t="s">
        <v>49</v>
      </c>
      <c r="L1707" s="13">
        <v>0</v>
      </c>
      <c r="M1707" s="9" t="s">
        <v>34</v>
      </c>
    </row>
    <row r="1708" spans="1:13" ht="20.25" customHeight="1" x14ac:dyDescent="0.25">
      <c r="A1708" s="9" t="s">
        <v>2911</v>
      </c>
      <c r="B1708" s="10">
        <v>46129</v>
      </c>
      <c r="C1708" s="9" t="s">
        <v>28</v>
      </c>
      <c r="D1708" s="9" t="s">
        <v>42</v>
      </c>
      <c r="E1708" s="11" t="s">
        <v>30</v>
      </c>
      <c r="F1708" s="11" t="s">
        <v>63</v>
      </c>
      <c r="G1708" s="3">
        <v>3466.95</v>
      </c>
      <c r="H1708" s="3">
        <v>2455.7600000000002</v>
      </c>
      <c r="I1708" s="12">
        <v>3</v>
      </c>
      <c r="J1708" s="9" t="s">
        <v>1351</v>
      </c>
      <c r="K1708" s="9" t="s">
        <v>49</v>
      </c>
      <c r="L1708" s="13">
        <v>0</v>
      </c>
      <c r="M1708" s="9" t="s">
        <v>34</v>
      </c>
    </row>
    <row r="1709" spans="1:13" ht="20.25" customHeight="1" x14ac:dyDescent="0.25">
      <c r="A1709" s="9" t="s">
        <v>2912</v>
      </c>
      <c r="B1709" s="10">
        <v>46129</v>
      </c>
      <c r="C1709" s="9" t="s">
        <v>71</v>
      </c>
      <c r="D1709" s="9" t="s">
        <v>29</v>
      </c>
      <c r="E1709" s="11" t="s">
        <v>30</v>
      </c>
      <c r="F1709" s="11" t="s">
        <v>63</v>
      </c>
      <c r="G1709" s="3">
        <v>2311.3000000000002</v>
      </c>
      <c r="H1709" s="3">
        <v>1637.17</v>
      </c>
      <c r="I1709" s="12">
        <v>2</v>
      </c>
      <c r="J1709" s="9" t="s">
        <v>2913</v>
      </c>
      <c r="K1709" s="9" t="s">
        <v>33</v>
      </c>
      <c r="L1709" s="13">
        <v>1</v>
      </c>
      <c r="M1709" s="9" t="s">
        <v>34</v>
      </c>
    </row>
    <row r="1710" spans="1:13" ht="20.25" customHeight="1" x14ac:dyDescent="0.25">
      <c r="A1710" s="9" t="s">
        <v>2914</v>
      </c>
      <c r="B1710" s="10">
        <v>46130</v>
      </c>
      <c r="C1710" s="9" t="s">
        <v>41</v>
      </c>
      <c r="D1710" s="9" t="s">
        <v>29</v>
      </c>
      <c r="E1710" s="11" t="s">
        <v>30</v>
      </c>
      <c r="F1710" s="11" t="s">
        <v>31</v>
      </c>
      <c r="G1710" s="3">
        <v>625.98</v>
      </c>
      <c r="H1710" s="3">
        <v>433.37</v>
      </c>
      <c r="I1710" s="12">
        <v>1</v>
      </c>
      <c r="J1710" s="9" t="s">
        <v>2915</v>
      </c>
      <c r="K1710" s="9" t="s">
        <v>33</v>
      </c>
      <c r="L1710" s="13">
        <v>1</v>
      </c>
      <c r="M1710" s="9" t="s">
        <v>34</v>
      </c>
    </row>
    <row r="1711" spans="1:13" ht="20.25" customHeight="1" x14ac:dyDescent="0.25">
      <c r="A1711" s="9" t="s">
        <v>2916</v>
      </c>
      <c r="B1711" s="10">
        <v>46131</v>
      </c>
      <c r="C1711" s="9" t="s">
        <v>28</v>
      </c>
      <c r="D1711" s="9" t="s">
        <v>29</v>
      </c>
      <c r="E1711" s="11" t="s">
        <v>37</v>
      </c>
      <c r="F1711" s="11" t="s">
        <v>38</v>
      </c>
      <c r="G1711" s="3">
        <v>115.57</v>
      </c>
      <c r="H1711" s="3">
        <v>67.41</v>
      </c>
      <c r="I1711" s="12">
        <v>1</v>
      </c>
      <c r="J1711" s="9" t="s">
        <v>52</v>
      </c>
      <c r="K1711" s="9" t="s">
        <v>49</v>
      </c>
      <c r="L1711" s="13">
        <v>0</v>
      </c>
      <c r="M1711" s="9" t="s">
        <v>34</v>
      </c>
    </row>
    <row r="1712" spans="1:13" ht="20.25" customHeight="1" x14ac:dyDescent="0.25">
      <c r="A1712" s="9" t="s">
        <v>2917</v>
      </c>
      <c r="B1712" s="10">
        <v>46131</v>
      </c>
      <c r="C1712" s="9" t="s">
        <v>28</v>
      </c>
      <c r="D1712" s="9" t="s">
        <v>29</v>
      </c>
      <c r="E1712" s="11" t="s">
        <v>37</v>
      </c>
      <c r="F1712" s="11" t="s">
        <v>55</v>
      </c>
      <c r="G1712" s="3">
        <v>86.67</v>
      </c>
      <c r="H1712" s="3">
        <v>52.97</v>
      </c>
      <c r="I1712" s="12">
        <v>1</v>
      </c>
      <c r="J1712" s="9" t="s">
        <v>2918</v>
      </c>
      <c r="K1712" s="9" t="s">
        <v>49</v>
      </c>
      <c r="L1712" s="13">
        <v>0</v>
      </c>
      <c r="M1712" s="9" t="s">
        <v>34</v>
      </c>
    </row>
    <row r="1713" spans="1:13" ht="20.25" customHeight="1" x14ac:dyDescent="0.25">
      <c r="A1713" s="9" t="s">
        <v>2919</v>
      </c>
      <c r="B1713" s="10">
        <v>46131</v>
      </c>
      <c r="C1713" s="9" t="s">
        <v>28</v>
      </c>
      <c r="D1713" s="9" t="s">
        <v>51</v>
      </c>
      <c r="E1713" s="11" t="s">
        <v>43</v>
      </c>
      <c r="F1713" s="11" t="s">
        <v>90</v>
      </c>
      <c r="G1713" s="3">
        <v>144.46</v>
      </c>
      <c r="H1713" s="3">
        <v>86.67</v>
      </c>
      <c r="I1713" s="12">
        <v>1</v>
      </c>
      <c r="J1713" s="9" t="s">
        <v>2480</v>
      </c>
      <c r="K1713" s="9" t="s">
        <v>49</v>
      </c>
      <c r="L1713" s="13">
        <v>0</v>
      </c>
      <c r="M1713" s="9" t="s">
        <v>34</v>
      </c>
    </row>
    <row r="1714" spans="1:13" ht="20.25" customHeight="1" x14ac:dyDescent="0.25">
      <c r="A1714" s="9" t="s">
        <v>2920</v>
      </c>
      <c r="B1714" s="10">
        <v>46131</v>
      </c>
      <c r="C1714" s="9" t="s">
        <v>71</v>
      </c>
      <c r="D1714" s="9" t="s">
        <v>29</v>
      </c>
      <c r="E1714" s="11" t="s">
        <v>37</v>
      </c>
      <c r="F1714" s="11" t="s">
        <v>55</v>
      </c>
      <c r="G1714" s="3">
        <v>86.67</v>
      </c>
      <c r="H1714" s="3">
        <v>52.97</v>
      </c>
      <c r="I1714" s="12">
        <v>1</v>
      </c>
      <c r="J1714" s="9" t="s">
        <v>334</v>
      </c>
      <c r="K1714" s="9" t="s">
        <v>49</v>
      </c>
      <c r="L1714" s="13">
        <v>0</v>
      </c>
      <c r="M1714" s="9" t="s">
        <v>34</v>
      </c>
    </row>
    <row r="1715" spans="1:13" ht="20.25" customHeight="1" x14ac:dyDescent="0.25">
      <c r="A1715" s="9" t="s">
        <v>2921</v>
      </c>
      <c r="B1715" s="10">
        <v>46132</v>
      </c>
      <c r="C1715" s="9" t="s">
        <v>54</v>
      </c>
      <c r="D1715" s="9" t="s">
        <v>51</v>
      </c>
      <c r="E1715" s="11" t="s">
        <v>30</v>
      </c>
      <c r="F1715" s="11" t="s">
        <v>63</v>
      </c>
      <c r="G1715" s="3">
        <v>2311.3000000000002</v>
      </c>
      <c r="H1715" s="3">
        <v>1637.17</v>
      </c>
      <c r="I1715" s="12">
        <v>2</v>
      </c>
      <c r="J1715" s="9" t="s">
        <v>2922</v>
      </c>
      <c r="K1715" s="9" t="s">
        <v>49</v>
      </c>
      <c r="L1715" s="13">
        <v>0</v>
      </c>
      <c r="M1715" s="9" t="s">
        <v>34</v>
      </c>
    </row>
    <row r="1716" spans="1:13" ht="20.25" customHeight="1" x14ac:dyDescent="0.25">
      <c r="A1716" s="9" t="s">
        <v>2923</v>
      </c>
      <c r="B1716" s="10">
        <v>46132</v>
      </c>
      <c r="C1716" s="9" t="s">
        <v>28</v>
      </c>
      <c r="D1716" s="9" t="s">
        <v>29</v>
      </c>
      <c r="E1716" s="11" t="s">
        <v>43</v>
      </c>
      <c r="F1716" s="11" t="s">
        <v>44</v>
      </c>
      <c r="G1716" s="3">
        <v>130.01</v>
      </c>
      <c r="H1716" s="3">
        <v>57.78</v>
      </c>
      <c r="I1716" s="12">
        <v>3</v>
      </c>
      <c r="J1716" s="9" t="s">
        <v>1292</v>
      </c>
      <c r="K1716" s="9" t="s">
        <v>49</v>
      </c>
      <c r="L1716" s="13">
        <v>0</v>
      </c>
      <c r="M1716" s="9" t="s">
        <v>34</v>
      </c>
    </row>
    <row r="1717" spans="1:13" ht="20.25" customHeight="1" x14ac:dyDescent="0.25">
      <c r="A1717" s="9" t="s">
        <v>2924</v>
      </c>
      <c r="B1717" s="10">
        <v>46132</v>
      </c>
      <c r="C1717" s="9" t="s">
        <v>41</v>
      </c>
      <c r="D1717" s="9" t="s">
        <v>29</v>
      </c>
      <c r="E1717" s="11" t="s">
        <v>43</v>
      </c>
      <c r="F1717" s="11" t="s">
        <v>44</v>
      </c>
      <c r="G1717" s="3">
        <v>43.34</v>
      </c>
      <c r="H1717" s="3">
        <v>19.260000000000002</v>
      </c>
      <c r="I1717" s="12">
        <v>1</v>
      </c>
      <c r="J1717" s="9" t="s">
        <v>1641</v>
      </c>
      <c r="K1717" s="9" t="s">
        <v>49</v>
      </c>
      <c r="L1717" s="13">
        <v>0</v>
      </c>
      <c r="M1717" s="9" t="s">
        <v>34</v>
      </c>
    </row>
    <row r="1718" spans="1:13" ht="20.25" customHeight="1" x14ac:dyDescent="0.25">
      <c r="A1718" s="9" t="s">
        <v>2925</v>
      </c>
      <c r="B1718" s="10">
        <v>46133</v>
      </c>
      <c r="C1718" s="9" t="s">
        <v>36</v>
      </c>
      <c r="D1718" s="9" t="s">
        <v>51</v>
      </c>
      <c r="E1718" s="11" t="s">
        <v>58</v>
      </c>
      <c r="F1718" s="11" t="s">
        <v>87</v>
      </c>
      <c r="G1718" s="3">
        <v>173.35</v>
      </c>
      <c r="H1718" s="3">
        <v>105.93</v>
      </c>
      <c r="I1718" s="12">
        <v>1</v>
      </c>
      <c r="J1718" s="9" t="s">
        <v>1827</v>
      </c>
      <c r="K1718" s="9" t="s">
        <v>49</v>
      </c>
      <c r="L1718" s="13">
        <v>0</v>
      </c>
      <c r="M1718" s="9" t="s">
        <v>34</v>
      </c>
    </row>
    <row r="1719" spans="1:13" ht="20.25" customHeight="1" x14ac:dyDescent="0.25">
      <c r="A1719" s="9" t="s">
        <v>2926</v>
      </c>
      <c r="B1719" s="10">
        <v>46133</v>
      </c>
      <c r="C1719" s="9" t="s">
        <v>36</v>
      </c>
      <c r="D1719" s="9" t="s">
        <v>29</v>
      </c>
      <c r="E1719" s="11" t="s">
        <v>37</v>
      </c>
      <c r="F1719" s="11" t="s">
        <v>55</v>
      </c>
      <c r="G1719" s="3">
        <v>260.02</v>
      </c>
      <c r="H1719" s="3">
        <v>158.9</v>
      </c>
      <c r="I1719" s="12">
        <v>3</v>
      </c>
      <c r="J1719" s="9" t="s">
        <v>2927</v>
      </c>
      <c r="K1719" s="9" t="s">
        <v>49</v>
      </c>
      <c r="L1719" s="13">
        <v>0</v>
      </c>
      <c r="M1719" s="9" t="s">
        <v>34</v>
      </c>
    </row>
    <row r="1720" spans="1:13" ht="20.25" customHeight="1" x14ac:dyDescent="0.25">
      <c r="A1720" s="9" t="s">
        <v>2928</v>
      </c>
      <c r="B1720" s="10">
        <v>46133</v>
      </c>
      <c r="C1720" s="9" t="s">
        <v>62</v>
      </c>
      <c r="D1720" s="9" t="s">
        <v>51</v>
      </c>
      <c r="E1720" s="11" t="s">
        <v>43</v>
      </c>
      <c r="F1720" s="11" t="s">
        <v>47</v>
      </c>
      <c r="G1720" s="3">
        <v>105.93</v>
      </c>
      <c r="H1720" s="3">
        <v>62.6</v>
      </c>
      <c r="I1720" s="12">
        <v>1</v>
      </c>
      <c r="J1720" s="9" t="s">
        <v>2929</v>
      </c>
      <c r="K1720" s="9" t="s">
        <v>33</v>
      </c>
      <c r="L1720" s="13">
        <v>1</v>
      </c>
      <c r="M1720" s="9" t="s">
        <v>34</v>
      </c>
    </row>
    <row r="1721" spans="1:13" ht="20.25" customHeight="1" x14ac:dyDescent="0.25">
      <c r="A1721" s="9" t="s">
        <v>2930</v>
      </c>
      <c r="B1721" s="10">
        <v>46133</v>
      </c>
      <c r="C1721" s="9" t="s">
        <v>36</v>
      </c>
      <c r="D1721" s="9" t="s">
        <v>29</v>
      </c>
      <c r="E1721" s="11" t="s">
        <v>58</v>
      </c>
      <c r="F1721" s="11" t="s">
        <v>68</v>
      </c>
      <c r="G1721" s="3">
        <v>674.13</v>
      </c>
      <c r="H1721" s="3">
        <v>423.74</v>
      </c>
      <c r="I1721" s="12">
        <v>2</v>
      </c>
      <c r="J1721" s="9" t="s">
        <v>2106</v>
      </c>
      <c r="K1721" s="9" t="s">
        <v>33</v>
      </c>
      <c r="L1721" s="13">
        <v>1</v>
      </c>
      <c r="M1721" s="9" t="s">
        <v>34</v>
      </c>
    </row>
    <row r="1722" spans="1:13" ht="20.25" customHeight="1" x14ac:dyDescent="0.25">
      <c r="A1722" s="9" t="s">
        <v>2931</v>
      </c>
      <c r="B1722" s="10">
        <v>46134</v>
      </c>
      <c r="C1722" s="9" t="s">
        <v>36</v>
      </c>
      <c r="D1722" s="9" t="s">
        <v>51</v>
      </c>
      <c r="E1722" s="11" t="s">
        <v>43</v>
      </c>
      <c r="F1722" s="11" t="s">
        <v>47</v>
      </c>
      <c r="G1722" s="3">
        <v>105.93</v>
      </c>
      <c r="H1722" s="3">
        <v>62.6</v>
      </c>
      <c r="I1722" s="12">
        <v>1</v>
      </c>
      <c r="J1722" s="9" t="s">
        <v>1718</v>
      </c>
      <c r="K1722" s="9" t="s">
        <v>49</v>
      </c>
      <c r="L1722" s="13">
        <v>0</v>
      </c>
      <c r="M1722" s="9" t="s">
        <v>34</v>
      </c>
    </row>
    <row r="1723" spans="1:13" ht="20.25" customHeight="1" x14ac:dyDescent="0.25">
      <c r="A1723" s="9" t="s">
        <v>2932</v>
      </c>
      <c r="B1723" s="10">
        <v>46134</v>
      </c>
      <c r="C1723" s="9" t="s">
        <v>28</v>
      </c>
      <c r="D1723" s="9" t="s">
        <v>29</v>
      </c>
      <c r="E1723" s="11" t="s">
        <v>30</v>
      </c>
      <c r="F1723" s="11" t="s">
        <v>63</v>
      </c>
      <c r="G1723" s="3">
        <v>1155.6500000000001</v>
      </c>
      <c r="H1723" s="3">
        <v>818.59</v>
      </c>
      <c r="I1723" s="12">
        <v>1</v>
      </c>
      <c r="J1723" s="9" t="s">
        <v>563</v>
      </c>
      <c r="K1723" s="9" t="s">
        <v>49</v>
      </c>
      <c r="L1723" s="13">
        <v>0</v>
      </c>
      <c r="M1723" s="9" t="s">
        <v>34</v>
      </c>
    </row>
    <row r="1724" spans="1:13" ht="20.25" customHeight="1" x14ac:dyDescent="0.25">
      <c r="A1724" s="9" t="s">
        <v>2933</v>
      </c>
      <c r="B1724" s="10">
        <v>46135</v>
      </c>
      <c r="C1724" s="9" t="s">
        <v>28</v>
      </c>
      <c r="D1724" s="9" t="s">
        <v>42</v>
      </c>
      <c r="E1724" s="11" t="s">
        <v>30</v>
      </c>
      <c r="F1724" s="11" t="s">
        <v>31</v>
      </c>
      <c r="G1724" s="3">
        <v>3129.89</v>
      </c>
      <c r="H1724" s="3">
        <v>2166.84</v>
      </c>
      <c r="I1724" s="12">
        <v>5</v>
      </c>
      <c r="J1724" s="9" t="s">
        <v>2478</v>
      </c>
      <c r="K1724" s="9" t="s">
        <v>49</v>
      </c>
      <c r="L1724" s="13">
        <v>0</v>
      </c>
      <c r="M1724" s="9" t="s">
        <v>34</v>
      </c>
    </row>
    <row r="1725" spans="1:13" ht="20.25" customHeight="1" x14ac:dyDescent="0.25">
      <c r="A1725" s="9" t="s">
        <v>2934</v>
      </c>
      <c r="B1725" s="10">
        <v>46135</v>
      </c>
      <c r="C1725" s="9" t="s">
        <v>28</v>
      </c>
      <c r="D1725" s="9" t="s">
        <v>29</v>
      </c>
      <c r="E1725" s="11" t="s">
        <v>58</v>
      </c>
      <c r="F1725" s="11" t="s">
        <v>87</v>
      </c>
      <c r="G1725" s="3">
        <v>173.35</v>
      </c>
      <c r="H1725" s="3">
        <v>105.93</v>
      </c>
      <c r="I1725" s="12">
        <v>1</v>
      </c>
      <c r="J1725" s="9" t="s">
        <v>2935</v>
      </c>
      <c r="K1725" s="9" t="s">
        <v>49</v>
      </c>
      <c r="L1725" s="13">
        <v>0</v>
      </c>
      <c r="M1725" s="9" t="s">
        <v>34</v>
      </c>
    </row>
    <row r="1726" spans="1:13" ht="20.25" customHeight="1" x14ac:dyDescent="0.25">
      <c r="A1726" s="9" t="s">
        <v>2936</v>
      </c>
      <c r="B1726" s="10">
        <v>46135</v>
      </c>
      <c r="C1726" s="9" t="s">
        <v>28</v>
      </c>
      <c r="D1726" s="9" t="s">
        <v>42</v>
      </c>
      <c r="E1726" s="11" t="s">
        <v>37</v>
      </c>
      <c r="F1726" s="11" t="s">
        <v>38</v>
      </c>
      <c r="G1726" s="3">
        <v>115.57</v>
      </c>
      <c r="H1726" s="3">
        <v>67.41</v>
      </c>
      <c r="I1726" s="12">
        <v>1</v>
      </c>
      <c r="J1726" s="9" t="s">
        <v>2937</v>
      </c>
      <c r="K1726" s="9" t="s">
        <v>49</v>
      </c>
      <c r="L1726" s="13">
        <v>0</v>
      </c>
      <c r="M1726" s="9" t="s">
        <v>34</v>
      </c>
    </row>
    <row r="1727" spans="1:13" ht="20.25" customHeight="1" x14ac:dyDescent="0.25">
      <c r="A1727" s="9" t="s">
        <v>2938</v>
      </c>
      <c r="B1727" s="10">
        <v>46136</v>
      </c>
      <c r="C1727" s="9" t="s">
        <v>71</v>
      </c>
      <c r="D1727" s="9" t="s">
        <v>29</v>
      </c>
      <c r="E1727" s="11" t="s">
        <v>43</v>
      </c>
      <c r="F1727" s="11" t="s">
        <v>44</v>
      </c>
      <c r="G1727" s="3">
        <v>43.34</v>
      </c>
      <c r="H1727" s="3">
        <v>19.260000000000002</v>
      </c>
      <c r="I1727" s="12">
        <v>1</v>
      </c>
      <c r="J1727" s="9" t="s">
        <v>1243</v>
      </c>
      <c r="K1727" s="9" t="s">
        <v>49</v>
      </c>
      <c r="L1727" s="13">
        <v>0</v>
      </c>
      <c r="M1727" s="9" t="s">
        <v>34</v>
      </c>
    </row>
    <row r="1728" spans="1:13" ht="20.25" customHeight="1" x14ac:dyDescent="0.25">
      <c r="A1728" s="9" t="s">
        <v>2939</v>
      </c>
      <c r="B1728" s="10">
        <v>46136</v>
      </c>
      <c r="C1728" s="9" t="s">
        <v>36</v>
      </c>
      <c r="D1728" s="9" t="s">
        <v>51</v>
      </c>
      <c r="E1728" s="11" t="s">
        <v>43</v>
      </c>
      <c r="F1728" s="11" t="s">
        <v>44</v>
      </c>
      <c r="G1728" s="3">
        <v>-130.01</v>
      </c>
      <c r="H1728" s="3">
        <v>-57.78</v>
      </c>
      <c r="I1728" s="12">
        <v>-3</v>
      </c>
      <c r="J1728" s="9" t="s">
        <v>2940</v>
      </c>
      <c r="K1728" s="9" t="s">
        <v>49</v>
      </c>
      <c r="L1728" s="13">
        <v>0</v>
      </c>
      <c r="M1728" s="9" t="s">
        <v>76</v>
      </c>
    </row>
    <row r="1729" spans="1:13" ht="20.25" customHeight="1" x14ac:dyDescent="0.25">
      <c r="A1729" s="9" t="s">
        <v>2941</v>
      </c>
      <c r="B1729" s="10">
        <v>46136</v>
      </c>
      <c r="C1729" s="9" t="s">
        <v>71</v>
      </c>
      <c r="D1729" s="9" t="s">
        <v>29</v>
      </c>
      <c r="E1729" s="11" t="s">
        <v>58</v>
      </c>
      <c r="F1729" s="11" t="s">
        <v>68</v>
      </c>
      <c r="G1729" s="3">
        <v>1011.19</v>
      </c>
      <c r="H1729" s="3">
        <v>635.61</v>
      </c>
      <c r="I1729" s="12">
        <v>3</v>
      </c>
      <c r="J1729" s="9" t="s">
        <v>45</v>
      </c>
      <c r="K1729" s="9" t="s">
        <v>49</v>
      </c>
      <c r="L1729" s="13">
        <v>0</v>
      </c>
      <c r="M1729" s="9" t="s">
        <v>34</v>
      </c>
    </row>
    <row r="1730" spans="1:13" ht="20.25" customHeight="1" x14ac:dyDescent="0.25">
      <c r="A1730" s="9" t="s">
        <v>2942</v>
      </c>
      <c r="B1730" s="10">
        <v>46136</v>
      </c>
      <c r="C1730" s="9" t="s">
        <v>28</v>
      </c>
      <c r="D1730" s="9" t="s">
        <v>42</v>
      </c>
      <c r="E1730" s="11" t="s">
        <v>30</v>
      </c>
      <c r="F1730" s="11" t="s">
        <v>80</v>
      </c>
      <c r="G1730" s="3">
        <v>-818.59</v>
      </c>
      <c r="H1730" s="3">
        <v>-577.83000000000004</v>
      </c>
      <c r="I1730" s="12">
        <v>-1</v>
      </c>
      <c r="J1730" s="9" t="s">
        <v>1241</v>
      </c>
      <c r="K1730" s="9" t="s">
        <v>49</v>
      </c>
      <c r="L1730" s="13">
        <v>0</v>
      </c>
      <c r="M1730" s="9" t="s">
        <v>76</v>
      </c>
    </row>
    <row r="1731" spans="1:13" ht="20.25" customHeight="1" x14ac:dyDescent="0.25">
      <c r="A1731" s="9" t="s">
        <v>2943</v>
      </c>
      <c r="B1731" s="10">
        <v>46137</v>
      </c>
      <c r="C1731" s="9" t="s">
        <v>28</v>
      </c>
      <c r="D1731" s="9" t="s">
        <v>29</v>
      </c>
      <c r="E1731" s="11" t="s">
        <v>43</v>
      </c>
      <c r="F1731" s="11" t="s">
        <v>90</v>
      </c>
      <c r="G1731" s="3">
        <v>144.46</v>
      </c>
      <c r="H1731" s="3">
        <v>86.67</v>
      </c>
      <c r="I1731" s="12">
        <v>1</v>
      </c>
      <c r="J1731" s="9" t="s">
        <v>2940</v>
      </c>
      <c r="K1731" s="9" t="s">
        <v>49</v>
      </c>
      <c r="L1731" s="13">
        <v>0</v>
      </c>
      <c r="M1731" s="9" t="s">
        <v>34</v>
      </c>
    </row>
    <row r="1732" spans="1:13" ht="20.25" customHeight="1" x14ac:dyDescent="0.25">
      <c r="A1732" s="9" t="s">
        <v>2944</v>
      </c>
      <c r="B1732" s="10">
        <v>46137</v>
      </c>
      <c r="C1732" s="9" t="s">
        <v>41</v>
      </c>
      <c r="D1732" s="9" t="s">
        <v>29</v>
      </c>
      <c r="E1732" s="11" t="s">
        <v>37</v>
      </c>
      <c r="F1732" s="11" t="s">
        <v>38</v>
      </c>
      <c r="G1732" s="3">
        <v>231.13</v>
      </c>
      <c r="H1732" s="3">
        <v>134.83000000000001</v>
      </c>
      <c r="I1732" s="12">
        <v>2</v>
      </c>
      <c r="J1732" s="9" t="s">
        <v>189</v>
      </c>
      <c r="K1732" s="9" t="s">
        <v>49</v>
      </c>
      <c r="L1732" s="13">
        <v>0</v>
      </c>
      <c r="M1732" s="9" t="s">
        <v>34</v>
      </c>
    </row>
    <row r="1733" spans="1:13" ht="20.25" customHeight="1" x14ac:dyDescent="0.25">
      <c r="A1733" s="9" t="s">
        <v>2945</v>
      </c>
      <c r="B1733" s="10">
        <v>46137</v>
      </c>
      <c r="C1733" s="9" t="s">
        <v>62</v>
      </c>
      <c r="D1733" s="9" t="s">
        <v>29</v>
      </c>
      <c r="E1733" s="11" t="s">
        <v>30</v>
      </c>
      <c r="F1733" s="11" t="s">
        <v>31</v>
      </c>
      <c r="G1733" s="3">
        <v>625.98</v>
      </c>
      <c r="H1733" s="3">
        <v>433.37</v>
      </c>
      <c r="I1733" s="12">
        <v>1</v>
      </c>
      <c r="J1733" s="9" t="s">
        <v>2369</v>
      </c>
      <c r="K1733" s="9" t="s">
        <v>49</v>
      </c>
      <c r="L1733" s="13">
        <v>0</v>
      </c>
      <c r="M1733" s="9" t="s">
        <v>34</v>
      </c>
    </row>
    <row r="1734" spans="1:13" ht="20.25" customHeight="1" x14ac:dyDescent="0.25">
      <c r="A1734" s="9" t="s">
        <v>2946</v>
      </c>
      <c r="B1734" s="10">
        <v>46137</v>
      </c>
      <c r="C1734" s="9" t="s">
        <v>28</v>
      </c>
      <c r="D1734" s="9" t="s">
        <v>29</v>
      </c>
      <c r="E1734" s="11" t="s">
        <v>58</v>
      </c>
      <c r="F1734" s="11" t="s">
        <v>87</v>
      </c>
      <c r="G1734" s="3">
        <v>346.7</v>
      </c>
      <c r="H1734" s="3">
        <v>211.87</v>
      </c>
      <c r="I1734" s="12">
        <v>2</v>
      </c>
      <c r="J1734" s="9" t="s">
        <v>2947</v>
      </c>
      <c r="K1734" s="9" t="s">
        <v>49</v>
      </c>
      <c r="L1734" s="13">
        <v>0</v>
      </c>
      <c r="M1734" s="9" t="s">
        <v>34</v>
      </c>
    </row>
    <row r="1735" spans="1:13" ht="20.25" customHeight="1" x14ac:dyDescent="0.25">
      <c r="A1735" s="9" t="s">
        <v>2948</v>
      </c>
      <c r="B1735" s="10">
        <v>46138</v>
      </c>
      <c r="C1735" s="9" t="s">
        <v>54</v>
      </c>
      <c r="D1735" s="9" t="s">
        <v>29</v>
      </c>
      <c r="E1735" s="11" t="s">
        <v>37</v>
      </c>
      <c r="F1735" s="11" t="s">
        <v>72</v>
      </c>
      <c r="G1735" s="3">
        <v>211.87</v>
      </c>
      <c r="H1735" s="3">
        <v>125.2</v>
      </c>
      <c r="I1735" s="12">
        <v>1</v>
      </c>
      <c r="J1735" s="9" t="s">
        <v>1112</v>
      </c>
      <c r="K1735" s="9" t="s">
        <v>49</v>
      </c>
      <c r="L1735" s="13">
        <v>0</v>
      </c>
      <c r="M1735" s="9" t="s">
        <v>34</v>
      </c>
    </row>
    <row r="1736" spans="1:13" ht="20.25" customHeight="1" x14ac:dyDescent="0.25">
      <c r="A1736" s="9" t="s">
        <v>2949</v>
      </c>
      <c r="B1736" s="10">
        <v>46139</v>
      </c>
      <c r="C1736" s="9" t="s">
        <v>71</v>
      </c>
      <c r="D1736" s="9" t="s">
        <v>42</v>
      </c>
      <c r="E1736" s="11" t="s">
        <v>43</v>
      </c>
      <c r="F1736" s="11" t="s">
        <v>44</v>
      </c>
      <c r="G1736" s="3">
        <v>43.34</v>
      </c>
      <c r="H1736" s="3">
        <v>19.260000000000002</v>
      </c>
      <c r="I1736" s="12">
        <v>1</v>
      </c>
      <c r="J1736" s="9" t="s">
        <v>93</v>
      </c>
      <c r="K1736" s="9" t="s">
        <v>49</v>
      </c>
      <c r="L1736" s="13">
        <v>0</v>
      </c>
      <c r="M1736" s="9" t="s">
        <v>34</v>
      </c>
    </row>
    <row r="1737" spans="1:13" ht="20.25" customHeight="1" x14ac:dyDescent="0.25">
      <c r="A1737" s="9" t="s">
        <v>2950</v>
      </c>
      <c r="B1737" s="10">
        <v>46139</v>
      </c>
      <c r="C1737" s="9" t="s">
        <v>71</v>
      </c>
      <c r="D1737" s="9" t="s">
        <v>42</v>
      </c>
      <c r="E1737" s="11" t="s">
        <v>58</v>
      </c>
      <c r="F1737" s="11" t="s">
        <v>68</v>
      </c>
      <c r="G1737" s="3">
        <v>674.13</v>
      </c>
      <c r="H1737" s="3">
        <v>423.74</v>
      </c>
      <c r="I1737" s="12">
        <v>2</v>
      </c>
      <c r="J1737" s="9" t="s">
        <v>2951</v>
      </c>
      <c r="K1737" s="9" t="s">
        <v>33</v>
      </c>
      <c r="L1737" s="13">
        <v>1</v>
      </c>
      <c r="M1737" s="9" t="s">
        <v>34</v>
      </c>
    </row>
    <row r="1738" spans="1:13" ht="20.25" customHeight="1" x14ac:dyDescent="0.25">
      <c r="A1738" s="9" t="s">
        <v>2952</v>
      </c>
      <c r="B1738" s="10">
        <v>46139</v>
      </c>
      <c r="C1738" s="9" t="s">
        <v>71</v>
      </c>
      <c r="D1738" s="9" t="s">
        <v>29</v>
      </c>
      <c r="E1738" s="11" t="s">
        <v>58</v>
      </c>
      <c r="F1738" s="11" t="s">
        <v>87</v>
      </c>
      <c r="G1738" s="3">
        <v>173.35</v>
      </c>
      <c r="H1738" s="3">
        <v>105.93</v>
      </c>
      <c r="I1738" s="12">
        <v>1</v>
      </c>
      <c r="J1738" s="9" t="s">
        <v>2953</v>
      </c>
      <c r="K1738" s="9" t="s">
        <v>49</v>
      </c>
      <c r="L1738" s="13">
        <v>0</v>
      </c>
      <c r="M1738" s="9" t="s">
        <v>34</v>
      </c>
    </row>
    <row r="1739" spans="1:13" ht="20.25" customHeight="1" x14ac:dyDescent="0.25">
      <c r="A1739" s="9" t="s">
        <v>2954</v>
      </c>
      <c r="B1739" s="10">
        <v>46140</v>
      </c>
      <c r="C1739" s="9" t="s">
        <v>28</v>
      </c>
      <c r="D1739" s="9" t="s">
        <v>42</v>
      </c>
      <c r="E1739" s="11" t="s">
        <v>43</v>
      </c>
      <c r="F1739" s="11" t="s">
        <v>47</v>
      </c>
      <c r="G1739" s="3">
        <v>317.8</v>
      </c>
      <c r="H1739" s="3">
        <v>187.79</v>
      </c>
      <c r="I1739" s="12">
        <v>3</v>
      </c>
      <c r="J1739" s="9" t="s">
        <v>2955</v>
      </c>
      <c r="K1739" s="9" t="s">
        <v>49</v>
      </c>
      <c r="L1739" s="13">
        <v>0</v>
      </c>
      <c r="M1739" s="9" t="s">
        <v>34</v>
      </c>
    </row>
    <row r="1740" spans="1:13" ht="20.25" customHeight="1" x14ac:dyDescent="0.25">
      <c r="A1740" s="9" t="s">
        <v>2956</v>
      </c>
      <c r="B1740" s="10">
        <v>46140</v>
      </c>
      <c r="C1740" s="9" t="s">
        <v>28</v>
      </c>
      <c r="D1740" s="9" t="s">
        <v>51</v>
      </c>
      <c r="E1740" s="11" t="s">
        <v>37</v>
      </c>
      <c r="F1740" s="11" t="s">
        <v>72</v>
      </c>
      <c r="G1740" s="3">
        <v>211.87</v>
      </c>
      <c r="H1740" s="3">
        <v>125.2</v>
      </c>
      <c r="I1740" s="12">
        <v>1</v>
      </c>
      <c r="J1740" s="9" t="s">
        <v>720</v>
      </c>
      <c r="K1740" s="9" t="s">
        <v>33</v>
      </c>
      <c r="L1740" s="13">
        <v>1</v>
      </c>
      <c r="M1740" s="9" t="s">
        <v>34</v>
      </c>
    </row>
    <row r="1741" spans="1:13" ht="20.25" customHeight="1" x14ac:dyDescent="0.25">
      <c r="A1741" s="9" t="s">
        <v>2957</v>
      </c>
      <c r="B1741" s="10">
        <v>46140</v>
      </c>
      <c r="C1741" s="9" t="s">
        <v>71</v>
      </c>
      <c r="D1741" s="9" t="s">
        <v>29</v>
      </c>
      <c r="E1741" s="11" t="s">
        <v>58</v>
      </c>
      <c r="F1741" s="11" t="s">
        <v>59</v>
      </c>
      <c r="G1741" s="3">
        <v>144.46</v>
      </c>
      <c r="H1741" s="3">
        <v>86.67</v>
      </c>
      <c r="I1741" s="12">
        <v>1</v>
      </c>
      <c r="J1741" s="9" t="s">
        <v>2622</v>
      </c>
      <c r="K1741" s="9" t="s">
        <v>33</v>
      </c>
      <c r="L1741" s="13">
        <v>1</v>
      </c>
      <c r="M1741" s="9" t="s">
        <v>34</v>
      </c>
    </row>
    <row r="1742" spans="1:13" ht="20.25" customHeight="1" x14ac:dyDescent="0.25">
      <c r="A1742" s="9" t="s">
        <v>2958</v>
      </c>
      <c r="B1742" s="10">
        <v>46140</v>
      </c>
      <c r="C1742" s="9" t="s">
        <v>36</v>
      </c>
      <c r="D1742" s="9" t="s">
        <v>51</v>
      </c>
      <c r="E1742" s="11" t="s">
        <v>30</v>
      </c>
      <c r="F1742" s="11" t="s">
        <v>80</v>
      </c>
      <c r="G1742" s="3">
        <v>4092.93</v>
      </c>
      <c r="H1742" s="3">
        <v>2889.13</v>
      </c>
      <c r="I1742" s="12">
        <v>5</v>
      </c>
      <c r="J1742" s="9" t="s">
        <v>1067</v>
      </c>
      <c r="K1742" s="9" t="s">
        <v>49</v>
      </c>
      <c r="L1742" s="13">
        <v>0</v>
      </c>
      <c r="M1742" s="9" t="s">
        <v>34</v>
      </c>
    </row>
    <row r="1743" spans="1:13" ht="20.25" customHeight="1" x14ac:dyDescent="0.25">
      <c r="A1743" s="9" t="s">
        <v>2959</v>
      </c>
      <c r="B1743" s="10">
        <v>46141</v>
      </c>
      <c r="C1743" s="9" t="s">
        <v>62</v>
      </c>
      <c r="D1743" s="9" t="s">
        <v>51</v>
      </c>
      <c r="E1743" s="11" t="s">
        <v>37</v>
      </c>
      <c r="F1743" s="11" t="s">
        <v>38</v>
      </c>
      <c r="G1743" s="3">
        <v>115.57</v>
      </c>
      <c r="H1743" s="3">
        <v>67.41</v>
      </c>
      <c r="I1743" s="12">
        <v>1</v>
      </c>
      <c r="J1743" s="9" t="s">
        <v>2960</v>
      </c>
      <c r="K1743" s="9" t="s">
        <v>33</v>
      </c>
      <c r="L1743" s="13">
        <v>1</v>
      </c>
      <c r="M1743" s="9" t="s">
        <v>34</v>
      </c>
    </row>
    <row r="1744" spans="1:13" ht="20.25" customHeight="1" x14ac:dyDescent="0.25">
      <c r="A1744" s="9" t="s">
        <v>2961</v>
      </c>
      <c r="B1744" s="10">
        <v>46141</v>
      </c>
      <c r="C1744" s="9" t="s">
        <v>36</v>
      </c>
      <c r="D1744" s="9" t="s">
        <v>42</v>
      </c>
      <c r="E1744" s="11" t="s">
        <v>30</v>
      </c>
      <c r="F1744" s="11" t="s">
        <v>31</v>
      </c>
      <c r="G1744" s="3">
        <v>1251.95</v>
      </c>
      <c r="H1744" s="3">
        <v>866.74</v>
      </c>
      <c r="I1744" s="12">
        <v>2</v>
      </c>
      <c r="J1744" s="9" t="s">
        <v>195</v>
      </c>
      <c r="K1744" s="9" t="s">
        <v>49</v>
      </c>
      <c r="L1744" s="13">
        <v>0</v>
      </c>
      <c r="M1744" s="9" t="s">
        <v>34</v>
      </c>
    </row>
    <row r="1745" spans="1:13" ht="20.25" customHeight="1" x14ac:dyDescent="0.25">
      <c r="A1745" s="9" t="s">
        <v>2962</v>
      </c>
      <c r="B1745" s="10">
        <v>46141</v>
      </c>
      <c r="C1745" s="9" t="s">
        <v>28</v>
      </c>
      <c r="D1745" s="9" t="s">
        <v>29</v>
      </c>
      <c r="E1745" s="11" t="s">
        <v>30</v>
      </c>
      <c r="F1745" s="11" t="s">
        <v>63</v>
      </c>
      <c r="G1745" s="3">
        <v>1155.6500000000001</v>
      </c>
      <c r="H1745" s="3">
        <v>818.59</v>
      </c>
      <c r="I1745" s="12">
        <v>1</v>
      </c>
      <c r="J1745" s="9" t="s">
        <v>2963</v>
      </c>
      <c r="K1745" s="9" t="s">
        <v>49</v>
      </c>
      <c r="L1745" s="13">
        <v>0</v>
      </c>
      <c r="M1745" s="9" t="s">
        <v>34</v>
      </c>
    </row>
    <row r="1746" spans="1:13" ht="20.25" customHeight="1" x14ac:dyDescent="0.25">
      <c r="A1746" s="9" t="s">
        <v>2964</v>
      </c>
      <c r="B1746" s="10">
        <v>46142</v>
      </c>
      <c r="C1746" s="9" t="s">
        <v>41</v>
      </c>
      <c r="D1746" s="9" t="s">
        <v>51</v>
      </c>
      <c r="E1746" s="11" t="s">
        <v>58</v>
      </c>
      <c r="F1746" s="11" t="s">
        <v>87</v>
      </c>
      <c r="G1746" s="3">
        <v>346.7</v>
      </c>
      <c r="H1746" s="3">
        <v>211.87</v>
      </c>
      <c r="I1746" s="12">
        <v>2</v>
      </c>
      <c r="J1746" s="9" t="s">
        <v>2447</v>
      </c>
      <c r="K1746" s="9" t="s">
        <v>49</v>
      </c>
      <c r="L1746" s="13">
        <v>0</v>
      </c>
      <c r="M1746" s="9" t="s">
        <v>34</v>
      </c>
    </row>
    <row r="1747" spans="1:13" ht="20.25" customHeight="1" x14ac:dyDescent="0.25">
      <c r="A1747" s="9" t="s">
        <v>2965</v>
      </c>
      <c r="B1747" s="10">
        <v>46142</v>
      </c>
      <c r="C1747" s="9" t="s">
        <v>28</v>
      </c>
      <c r="D1747" s="9" t="s">
        <v>29</v>
      </c>
      <c r="E1747" s="11" t="s">
        <v>30</v>
      </c>
      <c r="F1747" s="11" t="s">
        <v>80</v>
      </c>
      <c r="G1747" s="3">
        <v>1637.17</v>
      </c>
      <c r="H1747" s="3">
        <v>1155.6500000000001</v>
      </c>
      <c r="I1747" s="12">
        <v>2</v>
      </c>
      <c r="J1747" s="9" t="s">
        <v>2966</v>
      </c>
      <c r="K1747" s="9" t="s">
        <v>49</v>
      </c>
      <c r="L1747" s="13">
        <v>0</v>
      </c>
      <c r="M1747" s="9" t="s">
        <v>34</v>
      </c>
    </row>
    <row r="1748" spans="1:13" ht="20.25" customHeight="1" x14ac:dyDescent="0.25">
      <c r="A1748" s="9" t="s">
        <v>2967</v>
      </c>
      <c r="B1748" s="10">
        <v>46142</v>
      </c>
      <c r="C1748" s="9" t="s">
        <v>71</v>
      </c>
      <c r="D1748" s="9" t="s">
        <v>29</v>
      </c>
      <c r="E1748" s="11" t="s">
        <v>37</v>
      </c>
      <c r="F1748" s="11" t="s">
        <v>38</v>
      </c>
      <c r="G1748" s="3">
        <v>115.57</v>
      </c>
      <c r="H1748" s="3">
        <v>67.41</v>
      </c>
      <c r="I1748" s="12">
        <v>1</v>
      </c>
      <c r="J1748" s="9" t="s">
        <v>806</v>
      </c>
      <c r="K1748" s="9" t="s">
        <v>33</v>
      </c>
      <c r="L1748" s="13">
        <v>1</v>
      </c>
      <c r="M1748" s="9" t="s">
        <v>34</v>
      </c>
    </row>
    <row r="1749" spans="1:13" ht="20.25" customHeight="1" x14ac:dyDescent="0.25">
      <c r="A1749" s="9" t="s">
        <v>2968</v>
      </c>
      <c r="B1749" s="10">
        <v>46142</v>
      </c>
      <c r="C1749" s="9" t="s">
        <v>41</v>
      </c>
      <c r="D1749" s="9" t="s">
        <v>29</v>
      </c>
      <c r="E1749" s="11" t="s">
        <v>30</v>
      </c>
      <c r="F1749" s="11" t="s">
        <v>31</v>
      </c>
      <c r="G1749" s="3">
        <v>1251.95</v>
      </c>
      <c r="H1749" s="3">
        <v>866.74</v>
      </c>
      <c r="I1749" s="12">
        <v>2</v>
      </c>
      <c r="J1749" s="9" t="s">
        <v>2637</v>
      </c>
      <c r="K1749" s="9" t="s">
        <v>33</v>
      </c>
      <c r="L1749" s="13">
        <v>1</v>
      </c>
      <c r="M1749" s="9" t="s">
        <v>34</v>
      </c>
    </row>
    <row r="1750" spans="1:13" ht="20.25" customHeight="1" x14ac:dyDescent="0.25">
      <c r="A1750" s="9" t="s">
        <v>2969</v>
      </c>
      <c r="B1750" s="10">
        <v>46143</v>
      </c>
      <c r="C1750" s="9" t="s">
        <v>62</v>
      </c>
      <c r="D1750" s="9" t="s">
        <v>42</v>
      </c>
      <c r="E1750" s="11" t="s">
        <v>37</v>
      </c>
      <c r="F1750" s="11" t="s">
        <v>72</v>
      </c>
      <c r="G1750" s="3">
        <v>423.74</v>
      </c>
      <c r="H1750" s="3">
        <v>250.39</v>
      </c>
      <c r="I1750" s="12">
        <v>2</v>
      </c>
      <c r="J1750" s="9" t="s">
        <v>2137</v>
      </c>
      <c r="K1750" s="9" t="s">
        <v>33</v>
      </c>
      <c r="L1750" s="13">
        <v>1</v>
      </c>
      <c r="M1750" s="9" t="s">
        <v>34</v>
      </c>
    </row>
    <row r="1751" spans="1:13" ht="20.25" customHeight="1" x14ac:dyDescent="0.25">
      <c r="A1751" s="9" t="s">
        <v>2970</v>
      </c>
      <c r="B1751" s="10">
        <v>46143</v>
      </c>
      <c r="C1751" s="9" t="s">
        <v>41</v>
      </c>
      <c r="D1751" s="9" t="s">
        <v>42</v>
      </c>
      <c r="E1751" s="11" t="s">
        <v>30</v>
      </c>
      <c r="F1751" s="11" t="s">
        <v>63</v>
      </c>
      <c r="G1751" s="3">
        <v>1155.6500000000001</v>
      </c>
      <c r="H1751" s="3">
        <v>818.59</v>
      </c>
      <c r="I1751" s="12">
        <v>1</v>
      </c>
      <c r="J1751" s="9" t="s">
        <v>675</v>
      </c>
      <c r="K1751" s="9" t="s">
        <v>49</v>
      </c>
      <c r="L1751" s="13">
        <v>0</v>
      </c>
      <c r="M1751" s="9" t="s">
        <v>34</v>
      </c>
    </row>
    <row r="1752" spans="1:13" ht="20.25" customHeight="1" x14ac:dyDescent="0.25">
      <c r="A1752" s="9" t="s">
        <v>2971</v>
      </c>
      <c r="B1752" s="10">
        <v>46143</v>
      </c>
      <c r="C1752" s="9" t="s">
        <v>41</v>
      </c>
      <c r="D1752" s="9" t="s">
        <v>51</v>
      </c>
      <c r="E1752" s="11" t="s">
        <v>30</v>
      </c>
      <c r="F1752" s="11" t="s">
        <v>63</v>
      </c>
      <c r="G1752" s="3">
        <v>1155.6500000000001</v>
      </c>
      <c r="H1752" s="3">
        <v>818.59</v>
      </c>
      <c r="I1752" s="12">
        <v>1</v>
      </c>
      <c r="J1752" s="9" t="s">
        <v>2972</v>
      </c>
      <c r="K1752" s="9" t="s">
        <v>49</v>
      </c>
      <c r="L1752" s="13">
        <v>0</v>
      </c>
      <c r="M1752" s="9" t="s">
        <v>34</v>
      </c>
    </row>
    <row r="1753" spans="1:13" ht="20.25" customHeight="1" x14ac:dyDescent="0.25">
      <c r="A1753" s="9" t="s">
        <v>2973</v>
      </c>
      <c r="B1753" s="10">
        <v>46143</v>
      </c>
      <c r="C1753" s="9" t="s">
        <v>41</v>
      </c>
      <c r="D1753" s="9" t="s">
        <v>51</v>
      </c>
      <c r="E1753" s="11" t="s">
        <v>30</v>
      </c>
      <c r="F1753" s="11" t="s">
        <v>31</v>
      </c>
      <c r="G1753" s="3">
        <v>625.98</v>
      </c>
      <c r="H1753" s="3">
        <v>433.37</v>
      </c>
      <c r="I1753" s="12">
        <v>1</v>
      </c>
      <c r="J1753" s="9" t="s">
        <v>850</v>
      </c>
      <c r="K1753" s="9" t="s">
        <v>33</v>
      </c>
      <c r="L1753" s="13">
        <v>1</v>
      </c>
      <c r="M1753" s="9" t="s">
        <v>34</v>
      </c>
    </row>
    <row r="1754" spans="1:13" ht="20.25" customHeight="1" x14ac:dyDescent="0.25">
      <c r="A1754" s="9" t="s">
        <v>2974</v>
      </c>
      <c r="B1754" s="10">
        <v>46144</v>
      </c>
      <c r="C1754" s="9" t="s">
        <v>62</v>
      </c>
      <c r="D1754" s="9" t="s">
        <v>29</v>
      </c>
      <c r="E1754" s="11" t="s">
        <v>43</v>
      </c>
      <c r="F1754" s="11" t="s">
        <v>90</v>
      </c>
      <c r="G1754" s="3">
        <v>144.46</v>
      </c>
      <c r="H1754" s="3">
        <v>86.67</v>
      </c>
      <c r="I1754" s="12">
        <v>1</v>
      </c>
      <c r="J1754" s="9" t="s">
        <v>2461</v>
      </c>
      <c r="K1754" s="9" t="s">
        <v>33</v>
      </c>
      <c r="L1754" s="13">
        <v>1</v>
      </c>
      <c r="M1754" s="9" t="s">
        <v>34</v>
      </c>
    </row>
    <row r="1755" spans="1:13" ht="20.25" customHeight="1" x14ac:dyDescent="0.25">
      <c r="A1755" s="9" t="s">
        <v>2975</v>
      </c>
      <c r="B1755" s="10">
        <v>46144</v>
      </c>
      <c r="C1755" s="9" t="s">
        <v>28</v>
      </c>
      <c r="D1755" s="9" t="s">
        <v>29</v>
      </c>
      <c r="E1755" s="11" t="s">
        <v>43</v>
      </c>
      <c r="F1755" s="11" t="s">
        <v>47</v>
      </c>
      <c r="G1755" s="3">
        <v>-105.93</v>
      </c>
      <c r="H1755" s="3">
        <v>-62.6</v>
      </c>
      <c r="I1755" s="12">
        <v>-1</v>
      </c>
      <c r="J1755" s="9" t="s">
        <v>1267</v>
      </c>
      <c r="K1755" s="9" t="s">
        <v>49</v>
      </c>
      <c r="L1755" s="13">
        <v>0</v>
      </c>
      <c r="M1755" s="9" t="s">
        <v>76</v>
      </c>
    </row>
    <row r="1756" spans="1:13" ht="20.25" customHeight="1" x14ac:dyDescent="0.25">
      <c r="A1756" s="9" t="s">
        <v>2976</v>
      </c>
      <c r="B1756" s="10">
        <v>46144</v>
      </c>
      <c r="C1756" s="9" t="s">
        <v>28</v>
      </c>
      <c r="D1756" s="9" t="s">
        <v>29</v>
      </c>
      <c r="E1756" s="11" t="s">
        <v>30</v>
      </c>
      <c r="F1756" s="11" t="s">
        <v>63</v>
      </c>
      <c r="G1756" s="3">
        <v>1155.6500000000001</v>
      </c>
      <c r="H1756" s="3">
        <v>818.59</v>
      </c>
      <c r="I1756" s="12">
        <v>1</v>
      </c>
      <c r="J1756" s="9" t="s">
        <v>2977</v>
      </c>
      <c r="K1756" s="9" t="s">
        <v>49</v>
      </c>
      <c r="L1756" s="13">
        <v>0</v>
      </c>
      <c r="M1756" s="9" t="s">
        <v>34</v>
      </c>
    </row>
    <row r="1757" spans="1:13" ht="20.25" customHeight="1" x14ac:dyDescent="0.25">
      <c r="A1757" s="9" t="s">
        <v>2978</v>
      </c>
      <c r="B1757" s="10">
        <v>46145</v>
      </c>
      <c r="C1757" s="9" t="s">
        <v>28</v>
      </c>
      <c r="D1757" s="9" t="s">
        <v>29</v>
      </c>
      <c r="E1757" s="11" t="s">
        <v>43</v>
      </c>
      <c r="F1757" s="11" t="s">
        <v>44</v>
      </c>
      <c r="G1757" s="3">
        <v>43.34</v>
      </c>
      <c r="H1757" s="3">
        <v>19.260000000000002</v>
      </c>
      <c r="I1757" s="12">
        <v>1</v>
      </c>
      <c r="J1757" s="9" t="s">
        <v>2979</v>
      </c>
      <c r="K1757" s="9" t="s">
        <v>49</v>
      </c>
      <c r="L1757" s="13">
        <v>0</v>
      </c>
      <c r="M1757" s="9" t="s">
        <v>34</v>
      </c>
    </row>
    <row r="1758" spans="1:13" ht="20.25" customHeight="1" x14ac:dyDescent="0.25">
      <c r="A1758" s="9" t="s">
        <v>2980</v>
      </c>
      <c r="B1758" s="10">
        <v>46145</v>
      </c>
      <c r="C1758" s="9" t="s">
        <v>28</v>
      </c>
      <c r="D1758" s="9" t="s">
        <v>51</v>
      </c>
      <c r="E1758" s="11" t="s">
        <v>37</v>
      </c>
      <c r="F1758" s="11" t="s">
        <v>72</v>
      </c>
      <c r="G1758" s="3">
        <v>423.74</v>
      </c>
      <c r="H1758" s="3">
        <v>250.39</v>
      </c>
      <c r="I1758" s="12">
        <v>2</v>
      </c>
      <c r="J1758" s="9" t="s">
        <v>99</v>
      </c>
      <c r="K1758" s="9" t="s">
        <v>49</v>
      </c>
      <c r="L1758" s="13">
        <v>0</v>
      </c>
      <c r="M1758" s="9" t="s">
        <v>34</v>
      </c>
    </row>
    <row r="1759" spans="1:13" ht="20.25" customHeight="1" x14ac:dyDescent="0.25">
      <c r="A1759" s="9" t="s">
        <v>2981</v>
      </c>
      <c r="B1759" s="10">
        <v>46145</v>
      </c>
      <c r="C1759" s="9" t="s">
        <v>41</v>
      </c>
      <c r="D1759" s="9" t="s">
        <v>51</v>
      </c>
      <c r="E1759" s="11" t="s">
        <v>43</v>
      </c>
      <c r="F1759" s="11" t="s">
        <v>47</v>
      </c>
      <c r="G1759" s="3">
        <v>105.93</v>
      </c>
      <c r="H1759" s="3">
        <v>62.6</v>
      </c>
      <c r="I1759" s="12">
        <v>1</v>
      </c>
      <c r="J1759" s="9" t="s">
        <v>2982</v>
      </c>
      <c r="K1759" s="9" t="s">
        <v>49</v>
      </c>
      <c r="L1759" s="13">
        <v>0</v>
      </c>
      <c r="M1759" s="9" t="s">
        <v>34</v>
      </c>
    </row>
    <row r="1760" spans="1:13" ht="20.25" customHeight="1" x14ac:dyDescent="0.25">
      <c r="A1760" s="9" t="s">
        <v>2983</v>
      </c>
      <c r="B1760" s="10">
        <v>46146</v>
      </c>
      <c r="C1760" s="9" t="s">
        <v>71</v>
      </c>
      <c r="D1760" s="9" t="s">
        <v>29</v>
      </c>
      <c r="E1760" s="11" t="s">
        <v>58</v>
      </c>
      <c r="F1760" s="11" t="s">
        <v>87</v>
      </c>
      <c r="G1760" s="3">
        <v>520.04</v>
      </c>
      <c r="H1760" s="3">
        <v>317.8</v>
      </c>
      <c r="I1760" s="12">
        <v>3</v>
      </c>
      <c r="J1760" s="9" t="s">
        <v>2543</v>
      </c>
      <c r="K1760" s="9" t="s">
        <v>49</v>
      </c>
      <c r="L1760" s="13">
        <v>0</v>
      </c>
      <c r="M1760" s="9" t="s">
        <v>34</v>
      </c>
    </row>
    <row r="1761" spans="1:13" ht="20.25" customHeight="1" x14ac:dyDescent="0.25">
      <c r="A1761" s="9" t="s">
        <v>2984</v>
      </c>
      <c r="B1761" s="10">
        <v>46146</v>
      </c>
      <c r="C1761" s="9" t="s">
        <v>71</v>
      </c>
      <c r="D1761" s="9" t="s">
        <v>29</v>
      </c>
      <c r="E1761" s="11" t="s">
        <v>37</v>
      </c>
      <c r="F1761" s="11" t="s">
        <v>38</v>
      </c>
      <c r="G1761" s="3">
        <v>115.57</v>
      </c>
      <c r="H1761" s="3">
        <v>67.41</v>
      </c>
      <c r="I1761" s="12">
        <v>1</v>
      </c>
      <c r="J1761" s="9" t="s">
        <v>477</v>
      </c>
      <c r="K1761" s="9" t="s">
        <v>49</v>
      </c>
      <c r="L1761" s="13">
        <v>0</v>
      </c>
      <c r="M1761" s="9" t="s">
        <v>34</v>
      </c>
    </row>
    <row r="1762" spans="1:13" ht="20.25" customHeight="1" x14ac:dyDescent="0.25">
      <c r="A1762" s="9" t="s">
        <v>2985</v>
      </c>
      <c r="B1762" s="10">
        <v>46146</v>
      </c>
      <c r="C1762" s="9" t="s">
        <v>28</v>
      </c>
      <c r="D1762" s="9" t="s">
        <v>29</v>
      </c>
      <c r="E1762" s="11" t="s">
        <v>30</v>
      </c>
      <c r="F1762" s="11" t="s">
        <v>31</v>
      </c>
      <c r="G1762" s="3">
        <v>625.98</v>
      </c>
      <c r="H1762" s="3">
        <v>433.37</v>
      </c>
      <c r="I1762" s="12">
        <v>1</v>
      </c>
      <c r="J1762" s="9" t="s">
        <v>1725</v>
      </c>
      <c r="K1762" s="9" t="s">
        <v>49</v>
      </c>
      <c r="L1762" s="13">
        <v>0</v>
      </c>
      <c r="M1762" s="9" t="s">
        <v>34</v>
      </c>
    </row>
    <row r="1763" spans="1:13" ht="20.25" customHeight="1" x14ac:dyDescent="0.25">
      <c r="A1763" s="9" t="s">
        <v>2986</v>
      </c>
      <c r="B1763" s="10">
        <v>46147</v>
      </c>
      <c r="C1763" s="9" t="s">
        <v>41</v>
      </c>
      <c r="D1763" s="9" t="s">
        <v>29</v>
      </c>
      <c r="E1763" s="11" t="s">
        <v>58</v>
      </c>
      <c r="F1763" s="11" t="s">
        <v>87</v>
      </c>
      <c r="G1763" s="3">
        <v>346.7</v>
      </c>
      <c r="H1763" s="3">
        <v>211.87</v>
      </c>
      <c r="I1763" s="12">
        <v>2</v>
      </c>
      <c r="J1763" s="9" t="s">
        <v>2987</v>
      </c>
      <c r="K1763" s="9" t="s">
        <v>49</v>
      </c>
      <c r="L1763" s="13">
        <v>0</v>
      </c>
      <c r="M1763" s="9" t="s">
        <v>34</v>
      </c>
    </row>
    <row r="1764" spans="1:13" ht="20.25" customHeight="1" x14ac:dyDescent="0.25">
      <c r="A1764" s="9" t="s">
        <v>2988</v>
      </c>
      <c r="B1764" s="10">
        <v>46148</v>
      </c>
      <c r="C1764" s="9" t="s">
        <v>36</v>
      </c>
      <c r="D1764" s="9" t="s">
        <v>42</v>
      </c>
      <c r="E1764" s="11" t="s">
        <v>43</v>
      </c>
      <c r="F1764" s="11" t="s">
        <v>47</v>
      </c>
      <c r="G1764" s="3">
        <v>105.93</v>
      </c>
      <c r="H1764" s="3">
        <v>62.6</v>
      </c>
      <c r="I1764" s="12">
        <v>1</v>
      </c>
      <c r="J1764" s="9" t="s">
        <v>407</v>
      </c>
      <c r="K1764" s="9" t="s">
        <v>33</v>
      </c>
      <c r="L1764" s="13">
        <v>1</v>
      </c>
      <c r="M1764" s="9" t="s">
        <v>34</v>
      </c>
    </row>
    <row r="1765" spans="1:13" ht="20.25" customHeight="1" x14ac:dyDescent="0.25">
      <c r="A1765" s="9" t="s">
        <v>2989</v>
      </c>
      <c r="B1765" s="10">
        <v>46148</v>
      </c>
      <c r="C1765" s="9" t="s">
        <v>41</v>
      </c>
      <c r="D1765" s="9" t="s">
        <v>51</v>
      </c>
      <c r="E1765" s="11" t="s">
        <v>58</v>
      </c>
      <c r="F1765" s="11" t="s">
        <v>68</v>
      </c>
      <c r="G1765" s="3">
        <v>337.06</v>
      </c>
      <c r="H1765" s="3">
        <v>211.87</v>
      </c>
      <c r="I1765" s="12">
        <v>1</v>
      </c>
      <c r="J1765" s="9" t="s">
        <v>2990</v>
      </c>
      <c r="K1765" s="9" t="s">
        <v>33</v>
      </c>
      <c r="L1765" s="13">
        <v>1</v>
      </c>
      <c r="M1765" s="9" t="s">
        <v>34</v>
      </c>
    </row>
    <row r="1766" spans="1:13" ht="20.25" customHeight="1" x14ac:dyDescent="0.25">
      <c r="A1766" s="9" t="s">
        <v>2991</v>
      </c>
      <c r="B1766" s="10">
        <v>46148</v>
      </c>
      <c r="C1766" s="9" t="s">
        <v>71</v>
      </c>
      <c r="D1766" s="9" t="s">
        <v>42</v>
      </c>
      <c r="E1766" s="11" t="s">
        <v>30</v>
      </c>
      <c r="F1766" s="11" t="s">
        <v>31</v>
      </c>
      <c r="G1766" s="3">
        <v>625.98</v>
      </c>
      <c r="H1766" s="3">
        <v>433.37</v>
      </c>
      <c r="I1766" s="12">
        <v>1</v>
      </c>
      <c r="J1766" s="9" t="s">
        <v>1585</v>
      </c>
      <c r="K1766" s="9" t="s">
        <v>49</v>
      </c>
      <c r="L1766" s="13">
        <v>0</v>
      </c>
      <c r="M1766" s="9" t="s">
        <v>34</v>
      </c>
    </row>
    <row r="1767" spans="1:13" ht="20.25" customHeight="1" x14ac:dyDescent="0.25">
      <c r="A1767" s="9" t="s">
        <v>2992</v>
      </c>
      <c r="B1767" s="10">
        <v>46148</v>
      </c>
      <c r="C1767" s="9" t="s">
        <v>36</v>
      </c>
      <c r="D1767" s="9" t="s">
        <v>29</v>
      </c>
      <c r="E1767" s="11" t="s">
        <v>30</v>
      </c>
      <c r="F1767" s="11" t="s">
        <v>31</v>
      </c>
      <c r="G1767" s="3">
        <v>625.98</v>
      </c>
      <c r="H1767" s="3">
        <v>433.37</v>
      </c>
      <c r="I1767" s="12">
        <v>1</v>
      </c>
      <c r="J1767" s="9" t="s">
        <v>2739</v>
      </c>
      <c r="K1767" s="9" t="s">
        <v>49</v>
      </c>
      <c r="L1767" s="13">
        <v>0</v>
      </c>
      <c r="M1767" s="9" t="s">
        <v>34</v>
      </c>
    </row>
    <row r="1768" spans="1:13" ht="20.25" customHeight="1" x14ac:dyDescent="0.25">
      <c r="A1768" s="9" t="s">
        <v>2993</v>
      </c>
      <c r="B1768" s="10">
        <v>46149</v>
      </c>
      <c r="C1768" s="9" t="s">
        <v>28</v>
      </c>
      <c r="D1768" s="9" t="s">
        <v>29</v>
      </c>
      <c r="E1768" s="11" t="s">
        <v>37</v>
      </c>
      <c r="F1768" s="11" t="s">
        <v>55</v>
      </c>
      <c r="G1768" s="3">
        <v>86.67</v>
      </c>
      <c r="H1768" s="3">
        <v>52.97</v>
      </c>
      <c r="I1768" s="12">
        <v>1</v>
      </c>
      <c r="J1768" s="9" t="s">
        <v>2994</v>
      </c>
      <c r="K1768" s="9" t="s">
        <v>49</v>
      </c>
      <c r="L1768" s="13">
        <v>0</v>
      </c>
      <c r="M1768" s="9" t="s">
        <v>34</v>
      </c>
    </row>
    <row r="1769" spans="1:13" ht="20.25" customHeight="1" x14ac:dyDescent="0.25">
      <c r="A1769" s="9" t="s">
        <v>2995</v>
      </c>
      <c r="B1769" s="10">
        <v>46150</v>
      </c>
      <c r="C1769" s="9" t="s">
        <v>28</v>
      </c>
      <c r="D1769" s="9" t="s">
        <v>29</v>
      </c>
      <c r="E1769" s="11" t="s">
        <v>37</v>
      </c>
      <c r="F1769" s="11" t="s">
        <v>38</v>
      </c>
      <c r="G1769" s="3">
        <v>577.83000000000004</v>
      </c>
      <c r="H1769" s="3">
        <v>337.06</v>
      </c>
      <c r="I1769" s="12">
        <v>5</v>
      </c>
      <c r="J1769" s="9" t="s">
        <v>2996</v>
      </c>
      <c r="K1769" s="9" t="s">
        <v>33</v>
      </c>
      <c r="L1769" s="13">
        <v>1</v>
      </c>
      <c r="M1769" s="9" t="s">
        <v>34</v>
      </c>
    </row>
    <row r="1770" spans="1:13" ht="20.25" customHeight="1" x14ac:dyDescent="0.25">
      <c r="A1770" s="9" t="s">
        <v>2997</v>
      </c>
      <c r="B1770" s="10">
        <v>46150</v>
      </c>
      <c r="C1770" s="9" t="s">
        <v>54</v>
      </c>
      <c r="D1770" s="9" t="s">
        <v>42</v>
      </c>
      <c r="E1770" s="11" t="s">
        <v>58</v>
      </c>
      <c r="F1770" s="11" t="s">
        <v>87</v>
      </c>
      <c r="G1770" s="3">
        <v>173.35</v>
      </c>
      <c r="H1770" s="3">
        <v>105.93</v>
      </c>
      <c r="I1770" s="12">
        <v>1</v>
      </c>
      <c r="J1770" s="9" t="s">
        <v>2691</v>
      </c>
      <c r="K1770" s="9" t="s">
        <v>49</v>
      </c>
      <c r="L1770" s="13">
        <v>0</v>
      </c>
      <c r="M1770" s="9" t="s">
        <v>34</v>
      </c>
    </row>
    <row r="1771" spans="1:13" ht="20.25" customHeight="1" x14ac:dyDescent="0.25">
      <c r="A1771" s="9" t="s">
        <v>2998</v>
      </c>
      <c r="B1771" s="10">
        <v>46150</v>
      </c>
      <c r="C1771" s="9" t="s">
        <v>62</v>
      </c>
      <c r="D1771" s="9" t="s">
        <v>51</v>
      </c>
      <c r="E1771" s="11" t="s">
        <v>43</v>
      </c>
      <c r="F1771" s="11" t="s">
        <v>90</v>
      </c>
      <c r="G1771" s="3">
        <v>433.37</v>
      </c>
      <c r="H1771" s="3">
        <v>260.02</v>
      </c>
      <c r="I1771" s="12">
        <v>3</v>
      </c>
      <c r="J1771" s="9" t="s">
        <v>2747</v>
      </c>
      <c r="K1771" s="9" t="s">
        <v>33</v>
      </c>
      <c r="L1771" s="13">
        <v>1</v>
      </c>
      <c r="M1771" s="9" t="s">
        <v>34</v>
      </c>
    </row>
    <row r="1772" spans="1:13" ht="20.25" customHeight="1" x14ac:dyDescent="0.25">
      <c r="A1772" s="9" t="s">
        <v>2999</v>
      </c>
      <c r="B1772" s="10">
        <v>46150</v>
      </c>
      <c r="C1772" s="9" t="s">
        <v>71</v>
      </c>
      <c r="D1772" s="9" t="s">
        <v>29</v>
      </c>
      <c r="E1772" s="11" t="s">
        <v>30</v>
      </c>
      <c r="F1772" s="11" t="s">
        <v>31</v>
      </c>
      <c r="G1772" s="3">
        <v>1251.95</v>
      </c>
      <c r="H1772" s="3">
        <v>866.74</v>
      </c>
      <c r="I1772" s="12">
        <v>2</v>
      </c>
      <c r="J1772" s="9" t="s">
        <v>1358</v>
      </c>
      <c r="K1772" s="9" t="s">
        <v>33</v>
      </c>
      <c r="L1772" s="13">
        <v>1</v>
      </c>
      <c r="M1772" s="9" t="s">
        <v>34</v>
      </c>
    </row>
    <row r="1773" spans="1:13" ht="20.25" customHeight="1" x14ac:dyDescent="0.25">
      <c r="A1773" s="9" t="s">
        <v>3000</v>
      </c>
      <c r="B1773" s="10">
        <v>46150</v>
      </c>
      <c r="C1773" s="9" t="s">
        <v>28</v>
      </c>
      <c r="D1773" s="9" t="s">
        <v>51</v>
      </c>
      <c r="E1773" s="11" t="s">
        <v>58</v>
      </c>
      <c r="F1773" s="11" t="s">
        <v>59</v>
      </c>
      <c r="G1773" s="3">
        <v>144.46</v>
      </c>
      <c r="H1773" s="3">
        <v>86.67</v>
      </c>
      <c r="I1773" s="12">
        <v>1</v>
      </c>
      <c r="J1773" s="9" t="s">
        <v>298</v>
      </c>
      <c r="K1773" s="9" t="s">
        <v>49</v>
      </c>
      <c r="L1773" s="13">
        <v>0</v>
      </c>
      <c r="M1773" s="9" t="s">
        <v>34</v>
      </c>
    </row>
    <row r="1774" spans="1:13" ht="20.25" customHeight="1" x14ac:dyDescent="0.25">
      <c r="A1774" s="9" t="s">
        <v>3001</v>
      </c>
      <c r="B1774" s="10">
        <v>46151</v>
      </c>
      <c r="C1774" s="9" t="s">
        <v>36</v>
      </c>
      <c r="D1774" s="9" t="s">
        <v>29</v>
      </c>
      <c r="E1774" s="11" t="s">
        <v>43</v>
      </c>
      <c r="F1774" s="11" t="s">
        <v>90</v>
      </c>
      <c r="G1774" s="3">
        <v>144.46</v>
      </c>
      <c r="H1774" s="3">
        <v>86.67</v>
      </c>
      <c r="I1774" s="12">
        <v>1</v>
      </c>
      <c r="J1774" s="9" t="s">
        <v>3002</v>
      </c>
      <c r="K1774" s="9" t="s">
        <v>49</v>
      </c>
      <c r="L1774" s="13">
        <v>0</v>
      </c>
      <c r="M1774" s="9" t="s">
        <v>34</v>
      </c>
    </row>
    <row r="1775" spans="1:13" ht="20.25" customHeight="1" x14ac:dyDescent="0.25">
      <c r="A1775" s="9" t="s">
        <v>3003</v>
      </c>
      <c r="B1775" s="10">
        <v>46151</v>
      </c>
      <c r="C1775" s="9" t="s">
        <v>41</v>
      </c>
      <c r="D1775" s="9" t="s">
        <v>51</v>
      </c>
      <c r="E1775" s="11" t="s">
        <v>58</v>
      </c>
      <c r="F1775" s="11" t="s">
        <v>59</v>
      </c>
      <c r="G1775" s="3">
        <v>288.91000000000003</v>
      </c>
      <c r="H1775" s="3">
        <v>173.35</v>
      </c>
      <c r="I1775" s="12">
        <v>2</v>
      </c>
      <c r="J1775" s="9" t="s">
        <v>3004</v>
      </c>
      <c r="K1775" s="9" t="s">
        <v>49</v>
      </c>
      <c r="L1775" s="13">
        <v>0</v>
      </c>
      <c r="M1775" s="9" t="s">
        <v>34</v>
      </c>
    </row>
    <row r="1776" spans="1:13" ht="20.25" customHeight="1" x14ac:dyDescent="0.25">
      <c r="A1776" s="9" t="s">
        <v>3005</v>
      </c>
      <c r="B1776" s="10">
        <v>46151</v>
      </c>
      <c r="C1776" s="9" t="s">
        <v>41</v>
      </c>
      <c r="D1776" s="9" t="s">
        <v>42</v>
      </c>
      <c r="E1776" s="11" t="s">
        <v>30</v>
      </c>
      <c r="F1776" s="11" t="s">
        <v>80</v>
      </c>
      <c r="G1776" s="3">
        <v>2455.7600000000002</v>
      </c>
      <c r="H1776" s="3">
        <v>1733.48</v>
      </c>
      <c r="I1776" s="12">
        <v>3</v>
      </c>
      <c r="J1776" s="9" t="s">
        <v>376</v>
      </c>
      <c r="K1776" s="9" t="s">
        <v>33</v>
      </c>
      <c r="L1776" s="13">
        <v>1</v>
      </c>
      <c r="M1776" s="9" t="s">
        <v>34</v>
      </c>
    </row>
    <row r="1777" spans="1:13" ht="20.25" customHeight="1" x14ac:dyDescent="0.25">
      <c r="A1777" s="9" t="s">
        <v>3006</v>
      </c>
      <c r="B1777" s="10">
        <v>46151</v>
      </c>
      <c r="C1777" s="9" t="s">
        <v>28</v>
      </c>
      <c r="D1777" s="9" t="s">
        <v>51</v>
      </c>
      <c r="E1777" s="11" t="s">
        <v>58</v>
      </c>
      <c r="F1777" s="11" t="s">
        <v>68</v>
      </c>
      <c r="G1777" s="3">
        <v>337.06</v>
      </c>
      <c r="H1777" s="3">
        <v>211.87</v>
      </c>
      <c r="I1777" s="12">
        <v>1</v>
      </c>
      <c r="J1777" s="9" t="s">
        <v>3007</v>
      </c>
      <c r="K1777" s="9" t="s">
        <v>49</v>
      </c>
      <c r="L1777" s="13">
        <v>0</v>
      </c>
      <c r="M1777" s="9" t="s">
        <v>34</v>
      </c>
    </row>
    <row r="1778" spans="1:13" ht="20.25" customHeight="1" x14ac:dyDescent="0.25">
      <c r="A1778" s="9" t="s">
        <v>3008</v>
      </c>
      <c r="B1778" s="10">
        <v>46152</v>
      </c>
      <c r="C1778" s="9" t="s">
        <v>28</v>
      </c>
      <c r="D1778" s="9" t="s">
        <v>51</v>
      </c>
      <c r="E1778" s="11" t="s">
        <v>43</v>
      </c>
      <c r="F1778" s="11" t="s">
        <v>44</v>
      </c>
      <c r="G1778" s="3">
        <v>43.34</v>
      </c>
      <c r="H1778" s="3">
        <v>19.260000000000002</v>
      </c>
      <c r="I1778" s="12">
        <v>1</v>
      </c>
      <c r="J1778" s="9" t="s">
        <v>2592</v>
      </c>
      <c r="K1778" s="9" t="s">
        <v>33</v>
      </c>
      <c r="L1778" s="13">
        <v>1</v>
      </c>
      <c r="M1778" s="9" t="s">
        <v>34</v>
      </c>
    </row>
    <row r="1779" spans="1:13" ht="20.25" customHeight="1" x14ac:dyDescent="0.25">
      <c r="A1779" s="9" t="s">
        <v>3009</v>
      </c>
      <c r="B1779" s="10">
        <v>46154</v>
      </c>
      <c r="C1779" s="9" t="s">
        <v>41</v>
      </c>
      <c r="D1779" s="9" t="s">
        <v>29</v>
      </c>
      <c r="E1779" s="11" t="s">
        <v>30</v>
      </c>
      <c r="F1779" s="11" t="s">
        <v>31</v>
      </c>
      <c r="G1779" s="3">
        <v>625.98</v>
      </c>
      <c r="H1779" s="3">
        <v>433.37</v>
      </c>
      <c r="I1779" s="12">
        <v>1</v>
      </c>
      <c r="J1779" s="9" t="s">
        <v>97</v>
      </c>
      <c r="K1779" s="9" t="s">
        <v>49</v>
      </c>
      <c r="L1779" s="13">
        <v>0</v>
      </c>
      <c r="M1779" s="9" t="s">
        <v>34</v>
      </c>
    </row>
    <row r="1780" spans="1:13" ht="20.25" customHeight="1" x14ac:dyDescent="0.25">
      <c r="A1780" s="9" t="s">
        <v>3010</v>
      </c>
      <c r="B1780" s="10">
        <v>46154</v>
      </c>
      <c r="C1780" s="9" t="s">
        <v>36</v>
      </c>
      <c r="D1780" s="9" t="s">
        <v>29</v>
      </c>
      <c r="E1780" s="11" t="s">
        <v>43</v>
      </c>
      <c r="F1780" s="11" t="s">
        <v>44</v>
      </c>
      <c r="G1780" s="3">
        <v>43.34</v>
      </c>
      <c r="H1780" s="3">
        <v>19.260000000000002</v>
      </c>
      <c r="I1780" s="12">
        <v>1</v>
      </c>
      <c r="J1780" s="9" t="s">
        <v>1915</v>
      </c>
      <c r="K1780" s="9" t="s">
        <v>33</v>
      </c>
      <c r="L1780" s="13">
        <v>1</v>
      </c>
      <c r="M1780" s="9" t="s">
        <v>34</v>
      </c>
    </row>
    <row r="1781" spans="1:13" ht="20.25" customHeight="1" x14ac:dyDescent="0.25">
      <c r="A1781" s="9" t="s">
        <v>3011</v>
      </c>
      <c r="B1781" s="10">
        <v>46154</v>
      </c>
      <c r="C1781" s="9" t="s">
        <v>28</v>
      </c>
      <c r="D1781" s="9" t="s">
        <v>29</v>
      </c>
      <c r="E1781" s="11" t="s">
        <v>43</v>
      </c>
      <c r="F1781" s="11" t="s">
        <v>47</v>
      </c>
      <c r="G1781" s="3">
        <v>105.93</v>
      </c>
      <c r="H1781" s="3">
        <v>62.6</v>
      </c>
      <c r="I1781" s="12">
        <v>1</v>
      </c>
      <c r="J1781" s="9" t="s">
        <v>2070</v>
      </c>
      <c r="K1781" s="9" t="s">
        <v>33</v>
      </c>
      <c r="L1781" s="13">
        <v>1</v>
      </c>
      <c r="M1781" s="9" t="s">
        <v>34</v>
      </c>
    </row>
    <row r="1782" spans="1:13" ht="20.25" customHeight="1" x14ac:dyDescent="0.25">
      <c r="A1782" s="9" t="s">
        <v>3012</v>
      </c>
      <c r="B1782" s="10">
        <v>46154</v>
      </c>
      <c r="C1782" s="9" t="s">
        <v>28</v>
      </c>
      <c r="D1782" s="9" t="s">
        <v>29</v>
      </c>
      <c r="E1782" s="11" t="s">
        <v>30</v>
      </c>
      <c r="F1782" s="11" t="s">
        <v>31</v>
      </c>
      <c r="G1782" s="3">
        <v>1877.93</v>
      </c>
      <c r="H1782" s="3">
        <v>1300.1099999999999</v>
      </c>
      <c r="I1782" s="12">
        <v>3</v>
      </c>
      <c r="J1782" s="9" t="s">
        <v>2672</v>
      </c>
      <c r="K1782" s="9" t="s">
        <v>33</v>
      </c>
      <c r="L1782" s="13">
        <v>1</v>
      </c>
      <c r="M1782" s="9" t="s">
        <v>34</v>
      </c>
    </row>
    <row r="1783" spans="1:13" ht="20.25" customHeight="1" x14ac:dyDescent="0.25">
      <c r="A1783" s="9" t="s">
        <v>3013</v>
      </c>
      <c r="B1783" s="10">
        <v>46154</v>
      </c>
      <c r="C1783" s="9" t="s">
        <v>71</v>
      </c>
      <c r="D1783" s="9" t="s">
        <v>51</v>
      </c>
      <c r="E1783" s="11" t="s">
        <v>37</v>
      </c>
      <c r="F1783" s="11" t="s">
        <v>38</v>
      </c>
      <c r="G1783" s="3">
        <v>115.57</v>
      </c>
      <c r="H1783" s="3">
        <v>67.41</v>
      </c>
      <c r="I1783" s="12">
        <v>1</v>
      </c>
      <c r="J1783" s="9" t="s">
        <v>1500</v>
      </c>
      <c r="K1783" s="9" t="s">
        <v>49</v>
      </c>
      <c r="L1783" s="13">
        <v>0</v>
      </c>
      <c r="M1783" s="9" t="s">
        <v>34</v>
      </c>
    </row>
    <row r="1784" spans="1:13" ht="20.25" customHeight="1" x14ac:dyDescent="0.25">
      <c r="A1784" s="9" t="s">
        <v>3014</v>
      </c>
      <c r="B1784" s="10">
        <v>46154</v>
      </c>
      <c r="C1784" s="9" t="s">
        <v>54</v>
      </c>
      <c r="D1784" s="9" t="s">
        <v>51</v>
      </c>
      <c r="E1784" s="11" t="s">
        <v>58</v>
      </c>
      <c r="F1784" s="11" t="s">
        <v>68</v>
      </c>
      <c r="G1784" s="3">
        <v>674.13</v>
      </c>
      <c r="H1784" s="3">
        <v>423.74</v>
      </c>
      <c r="I1784" s="12">
        <v>2</v>
      </c>
      <c r="J1784" s="9" t="s">
        <v>3015</v>
      </c>
      <c r="K1784" s="9" t="s">
        <v>49</v>
      </c>
      <c r="L1784" s="13">
        <v>0</v>
      </c>
      <c r="M1784" s="9" t="s">
        <v>34</v>
      </c>
    </row>
    <row r="1785" spans="1:13" ht="20.25" customHeight="1" x14ac:dyDescent="0.25">
      <c r="A1785" s="9" t="s">
        <v>3016</v>
      </c>
      <c r="B1785" s="10">
        <v>46155</v>
      </c>
      <c r="C1785" s="9" t="s">
        <v>62</v>
      </c>
      <c r="D1785" s="9" t="s">
        <v>29</v>
      </c>
      <c r="E1785" s="11" t="s">
        <v>58</v>
      </c>
      <c r="F1785" s="11" t="s">
        <v>87</v>
      </c>
      <c r="G1785" s="3">
        <v>346.7</v>
      </c>
      <c r="H1785" s="3">
        <v>211.87</v>
      </c>
      <c r="I1785" s="12">
        <v>2</v>
      </c>
      <c r="J1785" s="9" t="s">
        <v>789</v>
      </c>
      <c r="K1785" s="9" t="s">
        <v>33</v>
      </c>
      <c r="L1785" s="13">
        <v>1</v>
      </c>
      <c r="M1785" s="9" t="s">
        <v>34</v>
      </c>
    </row>
    <row r="1786" spans="1:13" ht="20.25" customHeight="1" x14ac:dyDescent="0.25">
      <c r="A1786" s="9" t="s">
        <v>3017</v>
      </c>
      <c r="B1786" s="10">
        <v>46155</v>
      </c>
      <c r="C1786" s="9" t="s">
        <v>71</v>
      </c>
      <c r="D1786" s="9" t="s">
        <v>42</v>
      </c>
      <c r="E1786" s="11" t="s">
        <v>43</v>
      </c>
      <c r="F1786" s="11" t="s">
        <v>44</v>
      </c>
      <c r="G1786" s="3">
        <v>43.34</v>
      </c>
      <c r="H1786" s="3">
        <v>19.260000000000002</v>
      </c>
      <c r="I1786" s="12">
        <v>1</v>
      </c>
      <c r="J1786" s="9" t="s">
        <v>3018</v>
      </c>
      <c r="K1786" s="9" t="s">
        <v>33</v>
      </c>
      <c r="L1786" s="13">
        <v>1</v>
      </c>
      <c r="M1786" s="9" t="s">
        <v>34</v>
      </c>
    </row>
    <row r="1787" spans="1:13" ht="20.25" customHeight="1" x14ac:dyDescent="0.25">
      <c r="A1787" s="9" t="s">
        <v>3019</v>
      </c>
      <c r="B1787" s="10">
        <v>46155</v>
      </c>
      <c r="C1787" s="9" t="s">
        <v>71</v>
      </c>
      <c r="D1787" s="9" t="s">
        <v>29</v>
      </c>
      <c r="E1787" s="11" t="s">
        <v>43</v>
      </c>
      <c r="F1787" s="11" t="s">
        <v>44</v>
      </c>
      <c r="G1787" s="3">
        <v>43.34</v>
      </c>
      <c r="H1787" s="3">
        <v>19.260000000000002</v>
      </c>
      <c r="I1787" s="12">
        <v>1</v>
      </c>
      <c r="J1787" s="9" t="s">
        <v>459</v>
      </c>
      <c r="K1787" s="9" t="s">
        <v>49</v>
      </c>
      <c r="L1787" s="13">
        <v>0</v>
      </c>
      <c r="M1787" s="9" t="s">
        <v>34</v>
      </c>
    </row>
    <row r="1788" spans="1:13" ht="20.25" customHeight="1" x14ac:dyDescent="0.25">
      <c r="A1788" s="9" t="s">
        <v>3020</v>
      </c>
      <c r="B1788" s="10">
        <v>46156</v>
      </c>
      <c r="C1788" s="9" t="s">
        <v>28</v>
      </c>
      <c r="D1788" s="9" t="s">
        <v>29</v>
      </c>
      <c r="E1788" s="11" t="s">
        <v>30</v>
      </c>
      <c r="F1788" s="11" t="s">
        <v>31</v>
      </c>
      <c r="G1788" s="3">
        <v>1251.95</v>
      </c>
      <c r="H1788" s="3">
        <v>866.74</v>
      </c>
      <c r="I1788" s="12">
        <v>2</v>
      </c>
      <c r="J1788" s="9" t="s">
        <v>3021</v>
      </c>
      <c r="K1788" s="9" t="s">
        <v>49</v>
      </c>
      <c r="L1788" s="13">
        <v>0</v>
      </c>
      <c r="M1788" s="9" t="s">
        <v>34</v>
      </c>
    </row>
    <row r="1789" spans="1:13" ht="20.25" customHeight="1" x14ac:dyDescent="0.25">
      <c r="A1789" s="9" t="s">
        <v>3022</v>
      </c>
      <c r="B1789" s="10">
        <v>46157</v>
      </c>
      <c r="C1789" s="9" t="s">
        <v>71</v>
      </c>
      <c r="D1789" s="9" t="s">
        <v>29</v>
      </c>
      <c r="E1789" s="11" t="s">
        <v>58</v>
      </c>
      <c r="F1789" s="11" t="s">
        <v>68</v>
      </c>
      <c r="G1789" s="3">
        <v>1011.19</v>
      </c>
      <c r="H1789" s="3">
        <v>635.61</v>
      </c>
      <c r="I1789" s="12">
        <v>3</v>
      </c>
      <c r="J1789" s="9" t="s">
        <v>2927</v>
      </c>
      <c r="K1789" s="9" t="s">
        <v>49</v>
      </c>
      <c r="L1789" s="13">
        <v>0</v>
      </c>
      <c r="M1789" s="9" t="s">
        <v>34</v>
      </c>
    </row>
    <row r="1790" spans="1:13" ht="20.25" customHeight="1" x14ac:dyDescent="0.25">
      <c r="A1790" s="9" t="s">
        <v>3023</v>
      </c>
      <c r="B1790" s="10">
        <v>46157</v>
      </c>
      <c r="C1790" s="9" t="s">
        <v>36</v>
      </c>
      <c r="D1790" s="9" t="s">
        <v>29</v>
      </c>
      <c r="E1790" s="11" t="s">
        <v>58</v>
      </c>
      <c r="F1790" s="11" t="s">
        <v>87</v>
      </c>
      <c r="G1790" s="3">
        <v>346.7</v>
      </c>
      <c r="H1790" s="3">
        <v>211.87</v>
      </c>
      <c r="I1790" s="12">
        <v>2</v>
      </c>
      <c r="J1790" s="9" t="s">
        <v>3024</v>
      </c>
      <c r="K1790" s="9" t="s">
        <v>49</v>
      </c>
      <c r="L1790" s="13">
        <v>0</v>
      </c>
      <c r="M1790" s="9" t="s">
        <v>34</v>
      </c>
    </row>
    <row r="1791" spans="1:13" ht="20.25" customHeight="1" x14ac:dyDescent="0.25">
      <c r="A1791" s="9" t="s">
        <v>3025</v>
      </c>
      <c r="B1791" s="10">
        <v>46157</v>
      </c>
      <c r="C1791" s="9" t="s">
        <v>71</v>
      </c>
      <c r="D1791" s="9" t="s">
        <v>29</v>
      </c>
      <c r="E1791" s="11" t="s">
        <v>58</v>
      </c>
      <c r="F1791" s="11" t="s">
        <v>68</v>
      </c>
      <c r="G1791" s="3">
        <v>337.06</v>
      </c>
      <c r="H1791" s="3">
        <v>211.87</v>
      </c>
      <c r="I1791" s="12">
        <v>1</v>
      </c>
      <c r="J1791" s="9" t="s">
        <v>1424</v>
      </c>
      <c r="K1791" s="9" t="s">
        <v>49</v>
      </c>
      <c r="L1791" s="13">
        <v>0</v>
      </c>
      <c r="M1791" s="9" t="s">
        <v>34</v>
      </c>
    </row>
    <row r="1792" spans="1:13" ht="20.25" customHeight="1" x14ac:dyDescent="0.25">
      <c r="A1792" s="9" t="s">
        <v>3026</v>
      </c>
      <c r="B1792" s="10">
        <v>46159</v>
      </c>
      <c r="C1792" s="9" t="s">
        <v>36</v>
      </c>
      <c r="D1792" s="9" t="s">
        <v>29</v>
      </c>
      <c r="E1792" s="11" t="s">
        <v>58</v>
      </c>
      <c r="F1792" s="11" t="s">
        <v>59</v>
      </c>
      <c r="G1792" s="3">
        <v>144.46</v>
      </c>
      <c r="H1792" s="3">
        <v>86.67</v>
      </c>
      <c r="I1792" s="12">
        <v>1</v>
      </c>
      <c r="J1792" s="9" t="s">
        <v>2339</v>
      </c>
      <c r="K1792" s="9" t="s">
        <v>49</v>
      </c>
      <c r="L1792" s="13">
        <v>0</v>
      </c>
      <c r="M1792" s="9" t="s">
        <v>34</v>
      </c>
    </row>
    <row r="1793" spans="1:13" ht="20.25" customHeight="1" x14ac:dyDescent="0.25">
      <c r="A1793" s="9" t="s">
        <v>3027</v>
      </c>
      <c r="B1793" s="10">
        <v>46159</v>
      </c>
      <c r="C1793" s="9" t="s">
        <v>28</v>
      </c>
      <c r="D1793" s="9" t="s">
        <v>29</v>
      </c>
      <c r="E1793" s="11" t="s">
        <v>30</v>
      </c>
      <c r="F1793" s="11" t="s">
        <v>31</v>
      </c>
      <c r="G1793" s="3">
        <v>625.98</v>
      </c>
      <c r="H1793" s="3">
        <v>433.37</v>
      </c>
      <c r="I1793" s="12">
        <v>1</v>
      </c>
      <c r="J1793" s="9" t="s">
        <v>3028</v>
      </c>
      <c r="K1793" s="9" t="s">
        <v>49</v>
      </c>
      <c r="L1793" s="13">
        <v>0</v>
      </c>
      <c r="M1793" s="9" t="s">
        <v>34</v>
      </c>
    </row>
    <row r="1794" spans="1:13" ht="20.25" customHeight="1" x14ac:dyDescent="0.25">
      <c r="A1794" s="9" t="s">
        <v>3029</v>
      </c>
      <c r="B1794" s="10">
        <v>46160</v>
      </c>
      <c r="C1794" s="9" t="s">
        <v>28</v>
      </c>
      <c r="D1794" s="9" t="s">
        <v>42</v>
      </c>
      <c r="E1794" s="11" t="s">
        <v>37</v>
      </c>
      <c r="F1794" s="11" t="s">
        <v>38</v>
      </c>
      <c r="G1794" s="3">
        <v>115.57</v>
      </c>
      <c r="H1794" s="3">
        <v>67.41</v>
      </c>
      <c r="I1794" s="12">
        <v>1</v>
      </c>
      <c r="J1794" s="9" t="s">
        <v>115</v>
      </c>
      <c r="K1794" s="9" t="s">
        <v>49</v>
      </c>
      <c r="L1794" s="13">
        <v>0</v>
      </c>
      <c r="M1794" s="9" t="s">
        <v>34</v>
      </c>
    </row>
    <row r="1795" spans="1:13" ht="20.25" customHeight="1" x14ac:dyDescent="0.25">
      <c r="A1795" s="9" t="s">
        <v>3030</v>
      </c>
      <c r="B1795" s="10">
        <v>46161</v>
      </c>
      <c r="C1795" s="9" t="s">
        <v>36</v>
      </c>
      <c r="D1795" s="9" t="s">
        <v>29</v>
      </c>
      <c r="E1795" s="11" t="s">
        <v>58</v>
      </c>
      <c r="F1795" s="11" t="s">
        <v>87</v>
      </c>
      <c r="G1795" s="3">
        <v>346.7</v>
      </c>
      <c r="H1795" s="3">
        <v>211.87</v>
      </c>
      <c r="I1795" s="12">
        <v>2</v>
      </c>
      <c r="J1795" s="9" t="s">
        <v>2329</v>
      </c>
      <c r="K1795" s="9" t="s">
        <v>33</v>
      </c>
      <c r="L1795" s="13">
        <v>1</v>
      </c>
      <c r="M1795" s="9" t="s">
        <v>34</v>
      </c>
    </row>
    <row r="1796" spans="1:13" ht="20.25" customHeight="1" x14ac:dyDescent="0.25">
      <c r="A1796" s="9" t="s">
        <v>3031</v>
      </c>
      <c r="B1796" s="10">
        <v>46161</v>
      </c>
      <c r="C1796" s="9" t="s">
        <v>28</v>
      </c>
      <c r="D1796" s="9" t="s">
        <v>29</v>
      </c>
      <c r="E1796" s="11" t="s">
        <v>30</v>
      </c>
      <c r="F1796" s="11" t="s">
        <v>80</v>
      </c>
      <c r="G1796" s="3">
        <v>818.59</v>
      </c>
      <c r="H1796" s="3">
        <v>577.83000000000004</v>
      </c>
      <c r="I1796" s="12">
        <v>1</v>
      </c>
      <c r="J1796" s="9" t="s">
        <v>3032</v>
      </c>
      <c r="K1796" s="9" t="s">
        <v>49</v>
      </c>
      <c r="L1796" s="13">
        <v>0</v>
      </c>
      <c r="M1796" s="9" t="s">
        <v>34</v>
      </c>
    </row>
    <row r="1797" spans="1:13" ht="20.25" customHeight="1" x14ac:dyDescent="0.25">
      <c r="A1797" s="9" t="s">
        <v>3033</v>
      </c>
      <c r="B1797" s="10">
        <v>46161</v>
      </c>
      <c r="C1797" s="9" t="s">
        <v>28</v>
      </c>
      <c r="D1797" s="9" t="s">
        <v>29</v>
      </c>
      <c r="E1797" s="11" t="s">
        <v>43</v>
      </c>
      <c r="F1797" s="11" t="s">
        <v>44</v>
      </c>
      <c r="G1797" s="3">
        <v>86.67</v>
      </c>
      <c r="H1797" s="3">
        <v>38.520000000000003</v>
      </c>
      <c r="I1797" s="12">
        <v>2</v>
      </c>
      <c r="J1797" s="9" t="s">
        <v>3034</v>
      </c>
      <c r="K1797" s="9" t="s">
        <v>49</v>
      </c>
      <c r="L1797" s="13">
        <v>0</v>
      </c>
      <c r="M1797" s="9" t="s">
        <v>34</v>
      </c>
    </row>
    <row r="1798" spans="1:13" ht="20.25" customHeight="1" x14ac:dyDescent="0.25">
      <c r="A1798" s="9" t="s">
        <v>3035</v>
      </c>
      <c r="B1798" s="10">
        <v>46161</v>
      </c>
      <c r="C1798" s="9" t="s">
        <v>62</v>
      </c>
      <c r="D1798" s="9" t="s">
        <v>51</v>
      </c>
      <c r="E1798" s="11" t="s">
        <v>43</v>
      </c>
      <c r="F1798" s="11" t="s">
        <v>44</v>
      </c>
      <c r="G1798" s="3">
        <v>43.34</v>
      </c>
      <c r="H1798" s="3">
        <v>19.260000000000002</v>
      </c>
      <c r="I1798" s="12">
        <v>1</v>
      </c>
      <c r="J1798" s="9" t="s">
        <v>3036</v>
      </c>
      <c r="K1798" s="9" t="s">
        <v>33</v>
      </c>
      <c r="L1798" s="13">
        <v>1</v>
      </c>
      <c r="M1798" s="9" t="s">
        <v>34</v>
      </c>
    </row>
    <row r="1799" spans="1:13" ht="20.25" customHeight="1" x14ac:dyDescent="0.25">
      <c r="A1799" s="9" t="s">
        <v>3037</v>
      </c>
      <c r="B1799" s="10">
        <v>46162</v>
      </c>
      <c r="C1799" s="9" t="s">
        <v>36</v>
      </c>
      <c r="D1799" s="9" t="s">
        <v>29</v>
      </c>
      <c r="E1799" s="11" t="s">
        <v>58</v>
      </c>
      <c r="F1799" s="11" t="s">
        <v>59</v>
      </c>
      <c r="G1799" s="3">
        <v>288.91000000000003</v>
      </c>
      <c r="H1799" s="3">
        <v>173.35</v>
      </c>
      <c r="I1799" s="12">
        <v>2</v>
      </c>
      <c r="J1799" s="9" t="s">
        <v>798</v>
      </c>
      <c r="K1799" s="9" t="s">
        <v>49</v>
      </c>
      <c r="L1799" s="13">
        <v>0</v>
      </c>
      <c r="M1799" s="9" t="s">
        <v>34</v>
      </c>
    </row>
    <row r="1800" spans="1:13" ht="20.25" customHeight="1" x14ac:dyDescent="0.25">
      <c r="A1800" s="9" t="s">
        <v>3038</v>
      </c>
      <c r="B1800" s="10">
        <v>46162</v>
      </c>
      <c r="C1800" s="9" t="s">
        <v>71</v>
      </c>
      <c r="D1800" s="9" t="s">
        <v>42</v>
      </c>
      <c r="E1800" s="11" t="s">
        <v>30</v>
      </c>
      <c r="F1800" s="11" t="s">
        <v>80</v>
      </c>
      <c r="G1800" s="3">
        <v>3274.34</v>
      </c>
      <c r="H1800" s="3">
        <v>2311.3000000000002</v>
      </c>
      <c r="I1800" s="12">
        <v>4</v>
      </c>
      <c r="J1800" s="9" t="s">
        <v>1594</v>
      </c>
      <c r="K1800" s="9" t="s">
        <v>49</v>
      </c>
      <c r="L1800" s="13">
        <v>0</v>
      </c>
      <c r="M1800" s="9" t="s">
        <v>34</v>
      </c>
    </row>
    <row r="1801" spans="1:13" ht="20.25" customHeight="1" x14ac:dyDescent="0.25">
      <c r="A1801" s="9" t="s">
        <v>3039</v>
      </c>
      <c r="B1801" s="10">
        <v>46162</v>
      </c>
      <c r="C1801" s="9" t="s">
        <v>54</v>
      </c>
      <c r="D1801" s="9" t="s">
        <v>51</v>
      </c>
      <c r="E1801" s="11" t="s">
        <v>37</v>
      </c>
      <c r="F1801" s="11" t="s">
        <v>72</v>
      </c>
      <c r="G1801" s="3">
        <v>211.87</v>
      </c>
      <c r="H1801" s="3">
        <v>125.2</v>
      </c>
      <c r="I1801" s="12">
        <v>1</v>
      </c>
      <c r="J1801" s="9" t="s">
        <v>2872</v>
      </c>
      <c r="K1801" s="9" t="s">
        <v>49</v>
      </c>
      <c r="L1801" s="13">
        <v>0</v>
      </c>
      <c r="M1801" s="9" t="s">
        <v>34</v>
      </c>
    </row>
    <row r="1802" spans="1:13" ht="20.25" customHeight="1" x14ac:dyDescent="0.25">
      <c r="A1802" s="9" t="s">
        <v>3040</v>
      </c>
      <c r="B1802" s="10">
        <v>46163</v>
      </c>
      <c r="C1802" s="9" t="s">
        <v>62</v>
      </c>
      <c r="D1802" s="9" t="s">
        <v>51</v>
      </c>
      <c r="E1802" s="11" t="s">
        <v>30</v>
      </c>
      <c r="F1802" s="11" t="s">
        <v>63</v>
      </c>
      <c r="G1802" s="3">
        <v>3466.95</v>
      </c>
      <c r="H1802" s="3">
        <v>2455.7600000000002</v>
      </c>
      <c r="I1802" s="12">
        <v>3</v>
      </c>
      <c r="J1802" s="9" t="s">
        <v>3041</v>
      </c>
      <c r="K1802" s="9" t="s">
        <v>49</v>
      </c>
      <c r="L1802" s="13">
        <v>0</v>
      </c>
      <c r="M1802" s="9" t="s">
        <v>34</v>
      </c>
    </row>
    <row r="1803" spans="1:13" ht="20.25" customHeight="1" x14ac:dyDescent="0.25">
      <c r="A1803" s="9" t="s">
        <v>3042</v>
      </c>
      <c r="B1803" s="10">
        <v>46163</v>
      </c>
      <c r="C1803" s="9" t="s">
        <v>71</v>
      </c>
      <c r="D1803" s="9" t="s">
        <v>51</v>
      </c>
      <c r="E1803" s="11" t="s">
        <v>30</v>
      </c>
      <c r="F1803" s="11" t="s">
        <v>80</v>
      </c>
      <c r="G1803" s="3">
        <v>818.59</v>
      </c>
      <c r="H1803" s="3">
        <v>577.83000000000004</v>
      </c>
      <c r="I1803" s="12">
        <v>1</v>
      </c>
      <c r="J1803" s="9" t="s">
        <v>1354</v>
      </c>
      <c r="K1803" s="9" t="s">
        <v>49</v>
      </c>
      <c r="L1803" s="13">
        <v>0</v>
      </c>
      <c r="M1803" s="9" t="s">
        <v>34</v>
      </c>
    </row>
    <row r="1804" spans="1:13" ht="20.25" customHeight="1" x14ac:dyDescent="0.25">
      <c r="A1804" s="9" t="s">
        <v>3043</v>
      </c>
      <c r="B1804" s="10">
        <v>46164</v>
      </c>
      <c r="C1804" s="9" t="s">
        <v>54</v>
      </c>
      <c r="D1804" s="9" t="s">
        <v>29</v>
      </c>
      <c r="E1804" s="11" t="s">
        <v>37</v>
      </c>
      <c r="F1804" s="11" t="s">
        <v>38</v>
      </c>
      <c r="G1804" s="3">
        <v>115.57</v>
      </c>
      <c r="H1804" s="3">
        <v>67.41</v>
      </c>
      <c r="I1804" s="12">
        <v>1</v>
      </c>
      <c r="J1804" s="9" t="s">
        <v>300</v>
      </c>
      <c r="K1804" s="9" t="s">
        <v>49</v>
      </c>
      <c r="L1804" s="13">
        <v>0</v>
      </c>
      <c r="M1804" s="9" t="s">
        <v>34</v>
      </c>
    </row>
    <row r="1805" spans="1:13" ht="20.25" customHeight="1" x14ac:dyDescent="0.25">
      <c r="A1805" s="9" t="s">
        <v>3044</v>
      </c>
      <c r="B1805" s="10">
        <v>46164</v>
      </c>
      <c r="C1805" s="9" t="s">
        <v>36</v>
      </c>
      <c r="D1805" s="9" t="s">
        <v>29</v>
      </c>
      <c r="E1805" s="11" t="s">
        <v>30</v>
      </c>
      <c r="F1805" s="11" t="s">
        <v>31</v>
      </c>
      <c r="G1805" s="3">
        <v>1877.93</v>
      </c>
      <c r="H1805" s="3">
        <v>1300.1099999999999</v>
      </c>
      <c r="I1805" s="12">
        <v>3</v>
      </c>
      <c r="J1805" s="9" t="s">
        <v>1947</v>
      </c>
      <c r="K1805" s="9" t="s">
        <v>49</v>
      </c>
      <c r="L1805" s="13">
        <v>0</v>
      </c>
      <c r="M1805" s="9" t="s">
        <v>34</v>
      </c>
    </row>
    <row r="1806" spans="1:13" ht="20.25" customHeight="1" x14ac:dyDescent="0.25">
      <c r="A1806" s="9" t="s">
        <v>3045</v>
      </c>
      <c r="B1806" s="10">
        <v>46164</v>
      </c>
      <c r="C1806" s="9" t="s">
        <v>36</v>
      </c>
      <c r="D1806" s="9" t="s">
        <v>29</v>
      </c>
      <c r="E1806" s="11" t="s">
        <v>30</v>
      </c>
      <c r="F1806" s="11" t="s">
        <v>63</v>
      </c>
      <c r="G1806" s="3">
        <v>3466.95</v>
      </c>
      <c r="H1806" s="3">
        <v>2455.7600000000002</v>
      </c>
      <c r="I1806" s="12">
        <v>3</v>
      </c>
      <c r="J1806" s="9" t="s">
        <v>3046</v>
      </c>
      <c r="K1806" s="9" t="s">
        <v>33</v>
      </c>
      <c r="L1806" s="13">
        <v>1</v>
      </c>
      <c r="M1806" s="9" t="s">
        <v>34</v>
      </c>
    </row>
    <row r="1807" spans="1:13" ht="20.25" customHeight="1" x14ac:dyDescent="0.25">
      <c r="A1807" s="9" t="s">
        <v>3047</v>
      </c>
      <c r="B1807" s="10">
        <v>46164</v>
      </c>
      <c r="C1807" s="9" t="s">
        <v>36</v>
      </c>
      <c r="D1807" s="9" t="s">
        <v>51</v>
      </c>
      <c r="E1807" s="11" t="s">
        <v>30</v>
      </c>
      <c r="F1807" s="11" t="s">
        <v>80</v>
      </c>
      <c r="G1807" s="3">
        <v>818.59</v>
      </c>
      <c r="H1807" s="3">
        <v>577.83000000000004</v>
      </c>
      <c r="I1807" s="12">
        <v>1</v>
      </c>
      <c r="J1807" s="9" t="s">
        <v>1465</v>
      </c>
      <c r="K1807" s="9" t="s">
        <v>33</v>
      </c>
      <c r="L1807" s="13">
        <v>1</v>
      </c>
      <c r="M1807" s="9" t="s">
        <v>34</v>
      </c>
    </row>
    <row r="1808" spans="1:13" ht="20.25" customHeight="1" x14ac:dyDescent="0.25">
      <c r="A1808" s="9" t="s">
        <v>3048</v>
      </c>
      <c r="B1808" s="10">
        <v>46164</v>
      </c>
      <c r="C1808" s="9" t="s">
        <v>41</v>
      </c>
      <c r="D1808" s="9" t="s">
        <v>29</v>
      </c>
      <c r="E1808" s="11" t="s">
        <v>30</v>
      </c>
      <c r="F1808" s="11" t="s">
        <v>80</v>
      </c>
      <c r="G1808" s="3">
        <v>818.59</v>
      </c>
      <c r="H1808" s="3">
        <v>577.83000000000004</v>
      </c>
      <c r="I1808" s="12">
        <v>1</v>
      </c>
      <c r="J1808" s="9" t="s">
        <v>1086</v>
      </c>
      <c r="K1808" s="9" t="s">
        <v>33</v>
      </c>
      <c r="L1808" s="13">
        <v>1</v>
      </c>
      <c r="M1808" s="9" t="s">
        <v>34</v>
      </c>
    </row>
    <row r="1809" spans="1:13" ht="20.25" customHeight="1" x14ac:dyDescent="0.25">
      <c r="A1809" s="9" t="s">
        <v>3049</v>
      </c>
      <c r="B1809" s="10">
        <v>46165</v>
      </c>
      <c r="C1809" s="9" t="s">
        <v>41</v>
      </c>
      <c r="D1809" s="9" t="s">
        <v>29</v>
      </c>
      <c r="E1809" s="11" t="s">
        <v>30</v>
      </c>
      <c r="F1809" s="11" t="s">
        <v>80</v>
      </c>
      <c r="G1809" s="3">
        <v>1637.17</v>
      </c>
      <c r="H1809" s="3">
        <v>1155.6500000000001</v>
      </c>
      <c r="I1809" s="12">
        <v>2</v>
      </c>
      <c r="J1809" s="9" t="s">
        <v>2877</v>
      </c>
      <c r="K1809" s="9" t="s">
        <v>49</v>
      </c>
      <c r="L1809" s="13">
        <v>0</v>
      </c>
      <c r="M1809" s="9" t="s">
        <v>34</v>
      </c>
    </row>
    <row r="1810" spans="1:13" ht="20.25" customHeight="1" x14ac:dyDescent="0.25">
      <c r="A1810" s="9" t="s">
        <v>3050</v>
      </c>
      <c r="B1810" s="10">
        <v>46165</v>
      </c>
      <c r="C1810" s="9" t="s">
        <v>36</v>
      </c>
      <c r="D1810" s="9" t="s">
        <v>42</v>
      </c>
      <c r="E1810" s="11" t="s">
        <v>43</v>
      </c>
      <c r="F1810" s="11" t="s">
        <v>47</v>
      </c>
      <c r="G1810" s="3">
        <v>211.87</v>
      </c>
      <c r="H1810" s="3">
        <v>125.2</v>
      </c>
      <c r="I1810" s="12">
        <v>2</v>
      </c>
      <c r="J1810" s="9" t="s">
        <v>3051</v>
      </c>
      <c r="K1810" s="9" t="s">
        <v>49</v>
      </c>
      <c r="L1810" s="13">
        <v>0</v>
      </c>
      <c r="M1810" s="9" t="s">
        <v>34</v>
      </c>
    </row>
    <row r="1811" spans="1:13" ht="20.25" customHeight="1" x14ac:dyDescent="0.25">
      <c r="A1811" s="9" t="s">
        <v>3052</v>
      </c>
      <c r="B1811" s="10">
        <v>46165</v>
      </c>
      <c r="C1811" s="9" t="s">
        <v>28</v>
      </c>
      <c r="D1811" s="9" t="s">
        <v>29</v>
      </c>
      <c r="E1811" s="11" t="s">
        <v>30</v>
      </c>
      <c r="F1811" s="11" t="s">
        <v>31</v>
      </c>
      <c r="G1811" s="3">
        <v>625.98</v>
      </c>
      <c r="H1811" s="3">
        <v>433.37</v>
      </c>
      <c r="I1811" s="12">
        <v>1</v>
      </c>
      <c r="J1811" s="9" t="s">
        <v>3053</v>
      </c>
      <c r="K1811" s="9" t="s">
        <v>33</v>
      </c>
      <c r="L1811" s="13">
        <v>1</v>
      </c>
      <c r="M1811" s="9" t="s">
        <v>34</v>
      </c>
    </row>
    <row r="1812" spans="1:13" ht="20.25" customHeight="1" x14ac:dyDescent="0.25">
      <c r="A1812" s="9" t="s">
        <v>3054</v>
      </c>
      <c r="B1812" s="10">
        <v>46165</v>
      </c>
      <c r="C1812" s="9" t="s">
        <v>71</v>
      </c>
      <c r="D1812" s="9" t="s">
        <v>42</v>
      </c>
      <c r="E1812" s="11" t="s">
        <v>30</v>
      </c>
      <c r="F1812" s="11" t="s">
        <v>63</v>
      </c>
      <c r="G1812" s="3">
        <v>2311.3000000000002</v>
      </c>
      <c r="H1812" s="3">
        <v>1637.17</v>
      </c>
      <c r="I1812" s="12">
        <v>2</v>
      </c>
      <c r="J1812" s="9" t="s">
        <v>3055</v>
      </c>
      <c r="K1812" s="9" t="s">
        <v>49</v>
      </c>
      <c r="L1812" s="13">
        <v>0</v>
      </c>
      <c r="M1812" s="9" t="s">
        <v>34</v>
      </c>
    </row>
    <row r="1813" spans="1:13" ht="20.25" customHeight="1" x14ac:dyDescent="0.25">
      <c r="A1813" s="9" t="s">
        <v>3056</v>
      </c>
      <c r="B1813" s="10">
        <v>46166</v>
      </c>
      <c r="C1813" s="9" t="s">
        <v>28</v>
      </c>
      <c r="D1813" s="9" t="s">
        <v>51</v>
      </c>
      <c r="E1813" s="11" t="s">
        <v>30</v>
      </c>
      <c r="F1813" s="11" t="s">
        <v>31</v>
      </c>
      <c r="G1813" s="3">
        <v>625.98</v>
      </c>
      <c r="H1813" s="3">
        <v>433.37</v>
      </c>
      <c r="I1813" s="12">
        <v>1</v>
      </c>
      <c r="J1813" s="9" t="s">
        <v>3057</v>
      </c>
      <c r="K1813" s="9" t="s">
        <v>49</v>
      </c>
      <c r="L1813" s="13">
        <v>0</v>
      </c>
      <c r="M1813" s="9" t="s">
        <v>34</v>
      </c>
    </row>
    <row r="1814" spans="1:13" ht="20.25" customHeight="1" x14ac:dyDescent="0.25">
      <c r="A1814" s="9" t="s">
        <v>3058</v>
      </c>
      <c r="B1814" s="10">
        <v>46166</v>
      </c>
      <c r="C1814" s="9" t="s">
        <v>71</v>
      </c>
      <c r="D1814" s="9" t="s">
        <v>29</v>
      </c>
      <c r="E1814" s="11" t="s">
        <v>43</v>
      </c>
      <c r="F1814" s="11" t="s">
        <v>47</v>
      </c>
      <c r="G1814" s="3">
        <v>105.93</v>
      </c>
      <c r="H1814" s="3">
        <v>62.6</v>
      </c>
      <c r="I1814" s="12">
        <v>1</v>
      </c>
      <c r="J1814" s="9" t="s">
        <v>3059</v>
      </c>
      <c r="K1814" s="9" t="s">
        <v>33</v>
      </c>
      <c r="L1814" s="13">
        <v>1</v>
      </c>
      <c r="M1814" s="9" t="s">
        <v>34</v>
      </c>
    </row>
    <row r="1815" spans="1:13" ht="20.25" customHeight="1" x14ac:dyDescent="0.25">
      <c r="A1815" s="9" t="s">
        <v>3060</v>
      </c>
      <c r="B1815" s="10">
        <v>46167</v>
      </c>
      <c r="C1815" s="9" t="s">
        <v>41</v>
      </c>
      <c r="D1815" s="9" t="s">
        <v>29</v>
      </c>
      <c r="E1815" s="11" t="s">
        <v>58</v>
      </c>
      <c r="F1815" s="11" t="s">
        <v>87</v>
      </c>
      <c r="G1815" s="3">
        <v>173.35</v>
      </c>
      <c r="H1815" s="3">
        <v>105.93</v>
      </c>
      <c r="I1815" s="12">
        <v>1</v>
      </c>
      <c r="J1815" s="9" t="s">
        <v>213</v>
      </c>
      <c r="K1815" s="9" t="s">
        <v>49</v>
      </c>
      <c r="L1815" s="13">
        <v>0</v>
      </c>
      <c r="M1815" s="9" t="s">
        <v>34</v>
      </c>
    </row>
    <row r="1816" spans="1:13" ht="20.25" customHeight="1" x14ac:dyDescent="0.25">
      <c r="A1816" s="9" t="s">
        <v>3061</v>
      </c>
      <c r="B1816" s="10">
        <v>46167</v>
      </c>
      <c r="C1816" s="9" t="s">
        <v>41</v>
      </c>
      <c r="D1816" s="9" t="s">
        <v>29</v>
      </c>
      <c r="E1816" s="11" t="s">
        <v>58</v>
      </c>
      <c r="F1816" s="11" t="s">
        <v>68</v>
      </c>
      <c r="G1816" s="3">
        <v>337.06</v>
      </c>
      <c r="H1816" s="3">
        <v>211.87</v>
      </c>
      <c r="I1816" s="12">
        <v>1</v>
      </c>
      <c r="J1816" s="9" t="s">
        <v>3062</v>
      </c>
      <c r="K1816" s="9" t="s">
        <v>49</v>
      </c>
      <c r="L1816" s="13">
        <v>0</v>
      </c>
      <c r="M1816" s="9" t="s">
        <v>34</v>
      </c>
    </row>
    <row r="1817" spans="1:13" ht="20.25" customHeight="1" x14ac:dyDescent="0.25">
      <c r="A1817" s="9" t="s">
        <v>3063</v>
      </c>
      <c r="B1817" s="10">
        <v>46167</v>
      </c>
      <c r="C1817" s="9" t="s">
        <v>41</v>
      </c>
      <c r="D1817" s="9" t="s">
        <v>51</v>
      </c>
      <c r="E1817" s="11" t="s">
        <v>43</v>
      </c>
      <c r="F1817" s="11" t="s">
        <v>90</v>
      </c>
      <c r="G1817" s="3">
        <v>433.37</v>
      </c>
      <c r="H1817" s="3">
        <v>260.02</v>
      </c>
      <c r="I1817" s="12">
        <v>3</v>
      </c>
      <c r="J1817" s="9" t="s">
        <v>131</v>
      </c>
      <c r="K1817" s="9" t="s">
        <v>49</v>
      </c>
      <c r="L1817" s="13">
        <v>0</v>
      </c>
      <c r="M1817" s="9" t="s">
        <v>34</v>
      </c>
    </row>
    <row r="1818" spans="1:13" ht="20.25" customHeight="1" x14ac:dyDescent="0.25">
      <c r="A1818" s="9" t="s">
        <v>3064</v>
      </c>
      <c r="B1818" s="10">
        <v>46168</v>
      </c>
      <c r="C1818" s="9" t="s">
        <v>54</v>
      </c>
      <c r="D1818" s="9" t="s">
        <v>51</v>
      </c>
      <c r="E1818" s="11" t="s">
        <v>58</v>
      </c>
      <c r="F1818" s="11" t="s">
        <v>68</v>
      </c>
      <c r="G1818" s="3">
        <v>337.06</v>
      </c>
      <c r="H1818" s="3">
        <v>211.87</v>
      </c>
      <c r="I1818" s="12">
        <v>1</v>
      </c>
      <c r="J1818" s="9" t="s">
        <v>3065</v>
      </c>
      <c r="K1818" s="9" t="s">
        <v>49</v>
      </c>
      <c r="L1818" s="13">
        <v>0</v>
      </c>
      <c r="M1818" s="9" t="s">
        <v>34</v>
      </c>
    </row>
    <row r="1819" spans="1:13" ht="20.25" customHeight="1" x14ac:dyDescent="0.25">
      <c r="A1819" s="9" t="s">
        <v>3066</v>
      </c>
      <c r="B1819" s="10">
        <v>46168</v>
      </c>
      <c r="C1819" s="9" t="s">
        <v>36</v>
      </c>
      <c r="D1819" s="9" t="s">
        <v>51</v>
      </c>
      <c r="E1819" s="11" t="s">
        <v>58</v>
      </c>
      <c r="F1819" s="11" t="s">
        <v>59</v>
      </c>
      <c r="G1819" s="3">
        <v>577.83000000000004</v>
      </c>
      <c r="H1819" s="3">
        <v>346.7</v>
      </c>
      <c r="I1819" s="12">
        <v>4</v>
      </c>
      <c r="J1819" s="9" t="s">
        <v>2130</v>
      </c>
      <c r="K1819" s="9" t="s">
        <v>49</v>
      </c>
      <c r="L1819" s="13">
        <v>0</v>
      </c>
      <c r="M1819" s="9" t="s">
        <v>34</v>
      </c>
    </row>
    <row r="1820" spans="1:13" ht="20.25" customHeight="1" x14ac:dyDescent="0.25">
      <c r="A1820" s="9" t="s">
        <v>3067</v>
      </c>
      <c r="B1820" s="10">
        <v>46169</v>
      </c>
      <c r="C1820" s="9" t="s">
        <v>41</v>
      </c>
      <c r="D1820" s="9" t="s">
        <v>42</v>
      </c>
      <c r="E1820" s="11" t="s">
        <v>30</v>
      </c>
      <c r="F1820" s="11" t="s">
        <v>63</v>
      </c>
      <c r="G1820" s="3">
        <v>1155.6500000000001</v>
      </c>
      <c r="H1820" s="3">
        <v>818.59</v>
      </c>
      <c r="I1820" s="12">
        <v>1</v>
      </c>
      <c r="J1820" s="9" t="s">
        <v>2433</v>
      </c>
      <c r="K1820" s="9" t="s">
        <v>49</v>
      </c>
      <c r="L1820" s="13">
        <v>0</v>
      </c>
      <c r="M1820" s="9" t="s">
        <v>34</v>
      </c>
    </row>
    <row r="1821" spans="1:13" ht="20.25" customHeight="1" x14ac:dyDescent="0.25">
      <c r="A1821" s="9" t="s">
        <v>3068</v>
      </c>
      <c r="B1821" s="10">
        <v>46169</v>
      </c>
      <c r="C1821" s="9" t="s">
        <v>71</v>
      </c>
      <c r="D1821" s="9" t="s">
        <v>51</v>
      </c>
      <c r="E1821" s="11" t="s">
        <v>58</v>
      </c>
      <c r="F1821" s="11" t="s">
        <v>59</v>
      </c>
      <c r="G1821" s="3">
        <v>288.91000000000003</v>
      </c>
      <c r="H1821" s="3">
        <v>173.35</v>
      </c>
      <c r="I1821" s="12">
        <v>2</v>
      </c>
      <c r="J1821" s="9" t="s">
        <v>1692</v>
      </c>
      <c r="K1821" s="9" t="s">
        <v>33</v>
      </c>
      <c r="L1821" s="13">
        <v>1</v>
      </c>
      <c r="M1821" s="9" t="s">
        <v>34</v>
      </c>
    </row>
    <row r="1822" spans="1:13" ht="20.25" customHeight="1" x14ac:dyDescent="0.25">
      <c r="A1822" s="9" t="s">
        <v>3069</v>
      </c>
      <c r="B1822" s="10">
        <v>46170</v>
      </c>
      <c r="C1822" s="9" t="s">
        <v>28</v>
      </c>
      <c r="D1822" s="9" t="s">
        <v>29</v>
      </c>
      <c r="E1822" s="11" t="s">
        <v>58</v>
      </c>
      <c r="F1822" s="11" t="s">
        <v>68</v>
      </c>
      <c r="G1822" s="3">
        <v>674.13</v>
      </c>
      <c r="H1822" s="3">
        <v>423.74</v>
      </c>
      <c r="I1822" s="12">
        <v>2</v>
      </c>
      <c r="J1822" s="9" t="s">
        <v>1838</v>
      </c>
      <c r="K1822" s="9" t="s">
        <v>49</v>
      </c>
      <c r="L1822" s="13">
        <v>0</v>
      </c>
      <c r="M1822" s="9" t="s">
        <v>34</v>
      </c>
    </row>
    <row r="1823" spans="1:13" ht="20.25" customHeight="1" x14ac:dyDescent="0.25">
      <c r="A1823" s="9" t="s">
        <v>3070</v>
      </c>
      <c r="B1823" s="10">
        <v>46170</v>
      </c>
      <c r="C1823" s="9" t="s">
        <v>28</v>
      </c>
      <c r="D1823" s="9" t="s">
        <v>29</v>
      </c>
      <c r="E1823" s="11" t="s">
        <v>37</v>
      </c>
      <c r="F1823" s="11" t="s">
        <v>38</v>
      </c>
      <c r="G1823" s="3">
        <v>231.13</v>
      </c>
      <c r="H1823" s="3">
        <v>134.83000000000001</v>
      </c>
      <c r="I1823" s="12">
        <v>2</v>
      </c>
      <c r="J1823" s="9" t="s">
        <v>3071</v>
      </c>
      <c r="K1823" s="9" t="s">
        <v>49</v>
      </c>
      <c r="L1823" s="13">
        <v>0</v>
      </c>
      <c r="M1823" s="9" t="s">
        <v>34</v>
      </c>
    </row>
    <row r="1824" spans="1:13" ht="20.25" customHeight="1" x14ac:dyDescent="0.25">
      <c r="A1824" s="9" t="s">
        <v>3072</v>
      </c>
      <c r="B1824" s="10">
        <v>46170</v>
      </c>
      <c r="C1824" s="9" t="s">
        <v>28</v>
      </c>
      <c r="D1824" s="9" t="s">
        <v>42</v>
      </c>
      <c r="E1824" s="11" t="s">
        <v>30</v>
      </c>
      <c r="F1824" s="11" t="s">
        <v>80</v>
      </c>
      <c r="G1824" s="3">
        <v>1637.17</v>
      </c>
      <c r="H1824" s="3">
        <v>1155.6500000000001</v>
      </c>
      <c r="I1824" s="12">
        <v>2</v>
      </c>
      <c r="J1824" s="9" t="s">
        <v>781</v>
      </c>
      <c r="K1824" s="9" t="s">
        <v>49</v>
      </c>
      <c r="L1824" s="13">
        <v>0</v>
      </c>
      <c r="M1824" s="9" t="s">
        <v>34</v>
      </c>
    </row>
    <row r="1825" spans="1:13" ht="20.25" customHeight="1" x14ac:dyDescent="0.25">
      <c r="A1825" s="9" t="s">
        <v>3073</v>
      </c>
      <c r="B1825" s="10">
        <v>46171</v>
      </c>
      <c r="C1825" s="9" t="s">
        <v>36</v>
      </c>
      <c r="D1825" s="9" t="s">
        <v>29</v>
      </c>
      <c r="E1825" s="11" t="s">
        <v>37</v>
      </c>
      <c r="F1825" s="11" t="s">
        <v>72</v>
      </c>
      <c r="G1825" s="3">
        <v>211.87</v>
      </c>
      <c r="H1825" s="3">
        <v>125.2</v>
      </c>
      <c r="I1825" s="12">
        <v>1</v>
      </c>
      <c r="J1825" s="9" t="s">
        <v>804</v>
      </c>
      <c r="K1825" s="9" t="s">
        <v>49</v>
      </c>
      <c r="L1825" s="13">
        <v>0</v>
      </c>
      <c r="M1825" s="9" t="s">
        <v>34</v>
      </c>
    </row>
    <row r="1826" spans="1:13" ht="20.25" customHeight="1" x14ac:dyDescent="0.25">
      <c r="A1826" s="9" t="s">
        <v>3074</v>
      </c>
      <c r="B1826" s="10">
        <v>46171</v>
      </c>
      <c r="C1826" s="9" t="s">
        <v>71</v>
      </c>
      <c r="D1826" s="9" t="s">
        <v>29</v>
      </c>
      <c r="E1826" s="11" t="s">
        <v>30</v>
      </c>
      <c r="F1826" s="11" t="s">
        <v>31</v>
      </c>
      <c r="G1826" s="3">
        <v>1877.93</v>
      </c>
      <c r="H1826" s="3">
        <v>1300.1099999999999</v>
      </c>
      <c r="I1826" s="12">
        <v>3</v>
      </c>
      <c r="J1826" s="9" t="s">
        <v>3075</v>
      </c>
      <c r="K1826" s="9" t="s">
        <v>49</v>
      </c>
      <c r="L1826" s="13">
        <v>0</v>
      </c>
      <c r="M1826" s="9" t="s">
        <v>34</v>
      </c>
    </row>
    <row r="1827" spans="1:13" ht="20.25" customHeight="1" x14ac:dyDescent="0.25">
      <c r="A1827" s="9" t="s">
        <v>3076</v>
      </c>
      <c r="B1827" s="10">
        <v>46171</v>
      </c>
      <c r="C1827" s="9" t="s">
        <v>54</v>
      </c>
      <c r="D1827" s="9" t="s">
        <v>51</v>
      </c>
      <c r="E1827" s="11" t="s">
        <v>30</v>
      </c>
      <c r="F1827" s="11" t="s">
        <v>31</v>
      </c>
      <c r="G1827" s="3">
        <v>1251.95</v>
      </c>
      <c r="H1827" s="3">
        <v>866.74</v>
      </c>
      <c r="I1827" s="12">
        <v>2</v>
      </c>
      <c r="J1827" s="9" t="s">
        <v>1567</v>
      </c>
      <c r="K1827" s="9" t="s">
        <v>49</v>
      </c>
      <c r="L1827" s="13">
        <v>0</v>
      </c>
      <c r="M1827" s="9" t="s">
        <v>34</v>
      </c>
    </row>
    <row r="1828" spans="1:13" ht="20.25" customHeight="1" x14ac:dyDescent="0.25">
      <c r="A1828" s="9" t="s">
        <v>3077</v>
      </c>
      <c r="B1828" s="10">
        <v>46171</v>
      </c>
      <c r="C1828" s="9" t="s">
        <v>28</v>
      </c>
      <c r="D1828" s="9" t="s">
        <v>29</v>
      </c>
      <c r="E1828" s="11" t="s">
        <v>58</v>
      </c>
      <c r="F1828" s="11" t="s">
        <v>87</v>
      </c>
      <c r="G1828" s="3">
        <v>173.35</v>
      </c>
      <c r="H1828" s="3">
        <v>105.93</v>
      </c>
      <c r="I1828" s="12">
        <v>1</v>
      </c>
      <c r="J1828" s="9" t="s">
        <v>3078</v>
      </c>
      <c r="K1828" s="9" t="s">
        <v>49</v>
      </c>
      <c r="L1828" s="13">
        <v>0</v>
      </c>
      <c r="M1828" s="9" t="s">
        <v>34</v>
      </c>
    </row>
    <row r="1829" spans="1:13" ht="20.25" customHeight="1" x14ac:dyDescent="0.25">
      <c r="A1829" s="9" t="s">
        <v>3079</v>
      </c>
      <c r="B1829" s="10">
        <v>46171</v>
      </c>
      <c r="C1829" s="9" t="s">
        <v>28</v>
      </c>
      <c r="D1829" s="9" t="s">
        <v>42</v>
      </c>
      <c r="E1829" s="11" t="s">
        <v>43</v>
      </c>
      <c r="F1829" s="11" t="s">
        <v>44</v>
      </c>
      <c r="G1829" s="3">
        <v>86.67</v>
      </c>
      <c r="H1829" s="3">
        <v>38.520000000000003</v>
      </c>
      <c r="I1829" s="12">
        <v>2</v>
      </c>
      <c r="J1829" s="9" t="s">
        <v>3080</v>
      </c>
      <c r="K1829" s="9" t="s">
        <v>33</v>
      </c>
      <c r="L1829" s="13">
        <v>1</v>
      </c>
      <c r="M1829" s="9" t="s">
        <v>34</v>
      </c>
    </row>
    <row r="1830" spans="1:13" ht="20.25" customHeight="1" x14ac:dyDescent="0.25">
      <c r="A1830" s="9" t="s">
        <v>3081</v>
      </c>
      <c r="B1830" s="10">
        <v>46171</v>
      </c>
      <c r="C1830" s="9" t="s">
        <v>62</v>
      </c>
      <c r="D1830" s="9" t="s">
        <v>51</v>
      </c>
      <c r="E1830" s="11" t="s">
        <v>58</v>
      </c>
      <c r="F1830" s="11" t="s">
        <v>68</v>
      </c>
      <c r="G1830" s="3">
        <v>337.06</v>
      </c>
      <c r="H1830" s="3">
        <v>211.87</v>
      </c>
      <c r="I1830" s="12">
        <v>1</v>
      </c>
      <c r="J1830" s="9" t="s">
        <v>3082</v>
      </c>
      <c r="K1830" s="9" t="s">
        <v>49</v>
      </c>
      <c r="L1830" s="13">
        <v>0</v>
      </c>
      <c r="M1830" s="9" t="s">
        <v>34</v>
      </c>
    </row>
    <row r="1831" spans="1:13" ht="20.25" customHeight="1" x14ac:dyDescent="0.25">
      <c r="A1831" s="9" t="s">
        <v>3083</v>
      </c>
      <c r="B1831" s="10">
        <v>46174</v>
      </c>
      <c r="C1831" s="9" t="s">
        <v>28</v>
      </c>
      <c r="D1831" s="9" t="s">
        <v>29</v>
      </c>
      <c r="E1831" s="11" t="s">
        <v>37</v>
      </c>
      <c r="F1831" s="11" t="s">
        <v>55</v>
      </c>
      <c r="G1831" s="3">
        <v>86.67</v>
      </c>
      <c r="H1831" s="3">
        <v>52.97</v>
      </c>
      <c r="I1831" s="12">
        <v>1</v>
      </c>
      <c r="J1831" s="9" t="s">
        <v>3084</v>
      </c>
      <c r="K1831" s="9" t="s">
        <v>33</v>
      </c>
      <c r="L1831" s="13">
        <v>1</v>
      </c>
      <c r="M1831" s="9" t="s">
        <v>34</v>
      </c>
    </row>
    <row r="1832" spans="1:13" ht="20.25" customHeight="1" x14ac:dyDescent="0.25">
      <c r="A1832" s="9" t="s">
        <v>3085</v>
      </c>
      <c r="B1832" s="10">
        <v>46174</v>
      </c>
      <c r="C1832" s="9" t="s">
        <v>36</v>
      </c>
      <c r="D1832" s="9" t="s">
        <v>42</v>
      </c>
      <c r="E1832" s="11" t="s">
        <v>30</v>
      </c>
      <c r="F1832" s="11" t="s">
        <v>80</v>
      </c>
      <c r="G1832" s="3">
        <v>2455.7600000000002</v>
      </c>
      <c r="H1832" s="3">
        <v>1733.48</v>
      </c>
      <c r="I1832" s="12">
        <v>3</v>
      </c>
      <c r="J1832" s="9" t="s">
        <v>1265</v>
      </c>
      <c r="K1832" s="9" t="s">
        <v>49</v>
      </c>
      <c r="L1832" s="13">
        <v>0</v>
      </c>
      <c r="M1832" s="9" t="s">
        <v>34</v>
      </c>
    </row>
    <row r="1833" spans="1:13" ht="20.25" customHeight="1" x14ac:dyDescent="0.25">
      <c r="A1833" s="9" t="s">
        <v>3086</v>
      </c>
      <c r="B1833" s="10">
        <v>46174</v>
      </c>
      <c r="C1833" s="9" t="s">
        <v>71</v>
      </c>
      <c r="D1833" s="9" t="s">
        <v>29</v>
      </c>
      <c r="E1833" s="11" t="s">
        <v>30</v>
      </c>
      <c r="F1833" s="11" t="s">
        <v>31</v>
      </c>
      <c r="G1833" s="3">
        <v>625.98</v>
      </c>
      <c r="H1833" s="3">
        <v>433.37</v>
      </c>
      <c r="I1833" s="12">
        <v>1</v>
      </c>
      <c r="J1833" s="9" t="s">
        <v>1810</v>
      </c>
      <c r="K1833" s="9" t="s">
        <v>49</v>
      </c>
      <c r="L1833" s="13">
        <v>0</v>
      </c>
      <c r="M1833" s="9" t="s">
        <v>34</v>
      </c>
    </row>
    <row r="1834" spans="1:13" ht="20.25" customHeight="1" x14ac:dyDescent="0.25">
      <c r="A1834" s="9" t="s">
        <v>3087</v>
      </c>
      <c r="B1834" s="10">
        <v>46175</v>
      </c>
      <c r="C1834" s="9" t="s">
        <v>71</v>
      </c>
      <c r="D1834" s="9" t="s">
        <v>29</v>
      </c>
      <c r="E1834" s="11" t="s">
        <v>30</v>
      </c>
      <c r="F1834" s="11" t="s">
        <v>63</v>
      </c>
      <c r="G1834" s="3">
        <v>2311.3000000000002</v>
      </c>
      <c r="H1834" s="3">
        <v>1637.17</v>
      </c>
      <c r="I1834" s="12">
        <v>2</v>
      </c>
      <c r="J1834" s="9" t="s">
        <v>3088</v>
      </c>
      <c r="K1834" s="9" t="s">
        <v>49</v>
      </c>
      <c r="L1834" s="13">
        <v>0</v>
      </c>
      <c r="M1834" s="9" t="s">
        <v>34</v>
      </c>
    </row>
    <row r="1835" spans="1:13" ht="20.25" customHeight="1" x14ac:dyDescent="0.25">
      <c r="A1835" s="9" t="s">
        <v>3089</v>
      </c>
      <c r="B1835" s="10">
        <v>46176</v>
      </c>
      <c r="C1835" s="9" t="s">
        <v>28</v>
      </c>
      <c r="D1835" s="9" t="s">
        <v>29</v>
      </c>
      <c r="E1835" s="11" t="s">
        <v>58</v>
      </c>
      <c r="F1835" s="11" t="s">
        <v>59</v>
      </c>
      <c r="G1835" s="3">
        <v>144.46</v>
      </c>
      <c r="H1835" s="3">
        <v>86.67</v>
      </c>
      <c r="I1835" s="12">
        <v>1</v>
      </c>
      <c r="J1835" s="9" t="s">
        <v>768</v>
      </c>
      <c r="K1835" s="9" t="s">
        <v>33</v>
      </c>
      <c r="L1835" s="13">
        <v>1</v>
      </c>
      <c r="M1835" s="9" t="s">
        <v>34</v>
      </c>
    </row>
    <row r="1836" spans="1:13" ht="20.25" customHeight="1" x14ac:dyDescent="0.25">
      <c r="A1836" s="9" t="s">
        <v>3090</v>
      </c>
      <c r="B1836" s="10">
        <v>46176</v>
      </c>
      <c r="C1836" s="9" t="s">
        <v>28</v>
      </c>
      <c r="D1836" s="9" t="s">
        <v>29</v>
      </c>
      <c r="E1836" s="11" t="s">
        <v>30</v>
      </c>
      <c r="F1836" s="11" t="s">
        <v>80</v>
      </c>
      <c r="G1836" s="3">
        <v>818.59</v>
      </c>
      <c r="H1836" s="3">
        <v>577.83000000000004</v>
      </c>
      <c r="I1836" s="12">
        <v>1</v>
      </c>
      <c r="J1836" s="9" t="s">
        <v>2935</v>
      </c>
      <c r="K1836" s="9" t="s">
        <v>33</v>
      </c>
      <c r="L1836" s="13">
        <v>1</v>
      </c>
      <c r="M1836" s="9" t="s">
        <v>34</v>
      </c>
    </row>
    <row r="1837" spans="1:13" ht="20.25" customHeight="1" x14ac:dyDescent="0.25">
      <c r="A1837" s="9" t="s">
        <v>3091</v>
      </c>
      <c r="B1837" s="10">
        <v>46177</v>
      </c>
      <c r="C1837" s="9" t="s">
        <v>28</v>
      </c>
      <c r="D1837" s="9" t="s">
        <v>29</v>
      </c>
      <c r="E1837" s="11" t="s">
        <v>30</v>
      </c>
      <c r="F1837" s="11" t="s">
        <v>80</v>
      </c>
      <c r="G1837" s="3">
        <v>818.59</v>
      </c>
      <c r="H1837" s="3">
        <v>577.83000000000004</v>
      </c>
      <c r="I1837" s="12">
        <v>1</v>
      </c>
      <c r="J1837" s="9" t="s">
        <v>3092</v>
      </c>
      <c r="K1837" s="9" t="s">
        <v>33</v>
      </c>
      <c r="L1837" s="13">
        <v>1</v>
      </c>
      <c r="M1837" s="9" t="s">
        <v>34</v>
      </c>
    </row>
    <row r="1838" spans="1:13" ht="20.25" customHeight="1" x14ac:dyDescent="0.25">
      <c r="A1838" s="9" t="s">
        <v>3093</v>
      </c>
      <c r="B1838" s="10">
        <v>46178</v>
      </c>
      <c r="C1838" s="9" t="s">
        <v>71</v>
      </c>
      <c r="D1838" s="9" t="s">
        <v>29</v>
      </c>
      <c r="E1838" s="11" t="s">
        <v>43</v>
      </c>
      <c r="F1838" s="11" t="s">
        <v>90</v>
      </c>
      <c r="G1838" s="3">
        <v>-144.46</v>
      </c>
      <c r="H1838" s="3">
        <v>-86.67</v>
      </c>
      <c r="I1838" s="12">
        <v>-1</v>
      </c>
      <c r="J1838" s="9" t="s">
        <v>3094</v>
      </c>
      <c r="K1838" s="9" t="s">
        <v>49</v>
      </c>
      <c r="L1838" s="13">
        <v>0</v>
      </c>
      <c r="M1838" s="9" t="s">
        <v>76</v>
      </c>
    </row>
    <row r="1839" spans="1:13" ht="20.25" customHeight="1" x14ac:dyDescent="0.25">
      <c r="A1839" s="9" t="s">
        <v>3095</v>
      </c>
      <c r="B1839" s="10">
        <v>46178</v>
      </c>
      <c r="C1839" s="9" t="s">
        <v>71</v>
      </c>
      <c r="D1839" s="9" t="s">
        <v>29</v>
      </c>
      <c r="E1839" s="11" t="s">
        <v>30</v>
      </c>
      <c r="F1839" s="11" t="s">
        <v>63</v>
      </c>
      <c r="G1839" s="3">
        <v>2311.3000000000002</v>
      </c>
      <c r="H1839" s="3">
        <v>1637.17</v>
      </c>
      <c r="I1839" s="12">
        <v>2</v>
      </c>
      <c r="J1839" s="9" t="s">
        <v>2170</v>
      </c>
      <c r="K1839" s="9" t="s">
        <v>49</v>
      </c>
      <c r="L1839" s="13">
        <v>0</v>
      </c>
      <c r="M1839" s="9" t="s">
        <v>34</v>
      </c>
    </row>
    <row r="1840" spans="1:13" ht="20.25" customHeight="1" x14ac:dyDescent="0.25">
      <c r="A1840" s="9" t="s">
        <v>3096</v>
      </c>
      <c r="B1840" s="10">
        <v>46179</v>
      </c>
      <c r="C1840" s="9" t="s">
        <v>28</v>
      </c>
      <c r="D1840" s="9" t="s">
        <v>29</v>
      </c>
      <c r="E1840" s="11" t="s">
        <v>37</v>
      </c>
      <c r="F1840" s="11" t="s">
        <v>55</v>
      </c>
      <c r="G1840" s="3">
        <v>86.67</v>
      </c>
      <c r="H1840" s="3">
        <v>52.97</v>
      </c>
      <c r="I1840" s="12">
        <v>1</v>
      </c>
      <c r="J1840" s="9" t="s">
        <v>3097</v>
      </c>
      <c r="K1840" s="9" t="s">
        <v>33</v>
      </c>
      <c r="L1840" s="13">
        <v>1</v>
      </c>
      <c r="M1840" s="9" t="s">
        <v>34</v>
      </c>
    </row>
    <row r="1841" spans="1:13" ht="20.25" customHeight="1" x14ac:dyDescent="0.25">
      <c r="A1841" s="9" t="s">
        <v>3098</v>
      </c>
      <c r="B1841" s="10">
        <v>46180</v>
      </c>
      <c r="C1841" s="9" t="s">
        <v>71</v>
      </c>
      <c r="D1841" s="9" t="s">
        <v>51</v>
      </c>
      <c r="E1841" s="11" t="s">
        <v>58</v>
      </c>
      <c r="F1841" s="11" t="s">
        <v>59</v>
      </c>
      <c r="G1841" s="3">
        <v>144.46</v>
      </c>
      <c r="H1841" s="3">
        <v>86.67</v>
      </c>
      <c r="I1841" s="12">
        <v>1</v>
      </c>
      <c r="J1841" s="9" t="s">
        <v>3099</v>
      </c>
      <c r="K1841" s="9" t="s">
        <v>33</v>
      </c>
      <c r="L1841" s="13">
        <v>1</v>
      </c>
      <c r="M1841" s="9" t="s">
        <v>34</v>
      </c>
    </row>
    <row r="1842" spans="1:13" ht="20.25" customHeight="1" x14ac:dyDescent="0.25">
      <c r="A1842" s="9" t="s">
        <v>3100</v>
      </c>
      <c r="B1842" s="10">
        <v>46180</v>
      </c>
      <c r="C1842" s="9" t="s">
        <v>54</v>
      </c>
      <c r="D1842" s="9" t="s">
        <v>42</v>
      </c>
      <c r="E1842" s="11" t="s">
        <v>58</v>
      </c>
      <c r="F1842" s="11" t="s">
        <v>87</v>
      </c>
      <c r="G1842" s="3">
        <v>173.35</v>
      </c>
      <c r="H1842" s="3">
        <v>105.93</v>
      </c>
      <c r="I1842" s="12">
        <v>1</v>
      </c>
      <c r="J1842" s="9" t="s">
        <v>397</v>
      </c>
      <c r="K1842" s="9" t="s">
        <v>49</v>
      </c>
      <c r="L1842" s="13">
        <v>0</v>
      </c>
      <c r="M1842" s="9" t="s">
        <v>34</v>
      </c>
    </row>
    <row r="1843" spans="1:13" ht="20.25" customHeight="1" x14ac:dyDescent="0.25">
      <c r="A1843" s="9" t="s">
        <v>3101</v>
      </c>
      <c r="B1843" s="10">
        <v>46180</v>
      </c>
      <c r="C1843" s="9" t="s">
        <v>28</v>
      </c>
      <c r="D1843" s="9" t="s">
        <v>29</v>
      </c>
      <c r="E1843" s="11" t="s">
        <v>37</v>
      </c>
      <c r="F1843" s="11" t="s">
        <v>38</v>
      </c>
      <c r="G1843" s="3">
        <v>115.57</v>
      </c>
      <c r="H1843" s="3">
        <v>67.41</v>
      </c>
      <c r="I1843" s="12">
        <v>1</v>
      </c>
      <c r="J1843" s="9" t="s">
        <v>155</v>
      </c>
      <c r="K1843" s="9" t="s">
        <v>49</v>
      </c>
      <c r="L1843" s="13">
        <v>0</v>
      </c>
      <c r="M1843" s="9" t="s">
        <v>34</v>
      </c>
    </row>
    <row r="1844" spans="1:13" ht="20.25" customHeight="1" x14ac:dyDescent="0.25">
      <c r="A1844" s="9" t="s">
        <v>3102</v>
      </c>
      <c r="B1844" s="10">
        <v>46180</v>
      </c>
      <c r="C1844" s="9" t="s">
        <v>36</v>
      </c>
      <c r="D1844" s="9" t="s">
        <v>29</v>
      </c>
      <c r="E1844" s="11" t="s">
        <v>58</v>
      </c>
      <c r="F1844" s="11" t="s">
        <v>68</v>
      </c>
      <c r="G1844" s="3">
        <v>674.13</v>
      </c>
      <c r="H1844" s="3">
        <v>423.74</v>
      </c>
      <c r="I1844" s="12">
        <v>2</v>
      </c>
      <c r="J1844" s="9" t="s">
        <v>2307</v>
      </c>
      <c r="K1844" s="9" t="s">
        <v>33</v>
      </c>
      <c r="L1844" s="13">
        <v>1</v>
      </c>
      <c r="M1844" s="9" t="s">
        <v>34</v>
      </c>
    </row>
    <row r="1845" spans="1:13" ht="20.25" customHeight="1" x14ac:dyDescent="0.25">
      <c r="A1845" s="9" t="s">
        <v>3103</v>
      </c>
      <c r="B1845" s="10">
        <v>46181</v>
      </c>
      <c r="C1845" s="9" t="s">
        <v>41</v>
      </c>
      <c r="D1845" s="9" t="s">
        <v>29</v>
      </c>
      <c r="E1845" s="11" t="s">
        <v>30</v>
      </c>
      <c r="F1845" s="11" t="s">
        <v>63</v>
      </c>
      <c r="G1845" s="3">
        <v>1155.6500000000001</v>
      </c>
      <c r="H1845" s="3">
        <v>818.59</v>
      </c>
      <c r="I1845" s="12">
        <v>1</v>
      </c>
      <c r="J1845" s="9" t="s">
        <v>3104</v>
      </c>
      <c r="K1845" s="9" t="s">
        <v>49</v>
      </c>
      <c r="L1845" s="13">
        <v>0</v>
      </c>
      <c r="M1845" s="9" t="s">
        <v>34</v>
      </c>
    </row>
    <row r="1846" spans="1:13" ht="20.25" customHeight="1" x14ac:dyDescent="0.25">
      <c r="A1846" s="9" t="s">
        <v>3105</v>
      </c>
      <c r="B1846" s="10">
        <v>46181</v>
      </c>
      <c r="C1846" s="9" t="s">
        <v>28</v>
      </c>
      <c r="D1846" s="9" t="s">
        <v>29</v>
      </c>
      <c r="E1846" s="11" t="s">
        <v>37</v>
      </c>
      <c r="F1846" s="11" t="s">
        <v>72</v>
      </c>
      <c r="G1846" s="3">
        <v>423.74</v>
      </c>
      <c r="H1846" s="3">
        <v>250.39</v>
      </c>
      <c r="I1846" s="12">
        <v>2</v>
      </c>
      <c r="J1846" s="9" t="s">
        <v>3106</v>
      </c>
      <c r="K1846" s="9" t="s">
        <v>49</v>
      </c>
      <c r="L1846" s="13">
        <v>0</v>
      </c>
      <c r="M1846" s="9" t="s">
        <v>34</v>
      </c>
    </row>
    <row r="1847" spans="1:13" ht="20.25" customHeight="1" x14ac:dyDescent="0.25">
      <c r="A1847" s="9" t="s">
        <v>3107</v>
      </c>
      <c r="B1847" s="10">
        <v>46181</v>
      </c>
      <c r="C1847" s="9" t="s">
        <v>36</v>
      </c>
      <c r="D1847" s="9" t="s">
        <v>51</v>
      </c>
      <c r="E1847" s="11" t="s">
        <v>43</v>
      </c>
      <c r="F1847" s="11" t="s">
        <v>47</v>
      </c>
      <c r="G1847" s="3">
        <v>317.8</v>
      </c>
      <c r="H1847" s="3">
        <v>187.79</v>
      </c>
      <c r="I1847" s="12">
        <v>3</v>
      </c>
      <c r="J1847" s="9" t="s">
        <v>1258</v>
      </c>
      <c r="K1847" s="9" t="s">
        <v>49</v>
      </c>
      <c r="L1847" s="13">
        <v>0</v>
      </c>
      <c r="M1847" s="9" t="s">
        <v>34</v>
      </c>
    </row>
    <row r="1848" spans="1:13" ht="20.25" customHeight="1" x14ac:dyDescent="0.25">
      <c r="A1848" s="9" t="s">
        <v>3108</v>
      </c>
      <c r="B1848" s="10">
        <v>46181</v>
      </c>
      <c r="C1848" s="9" t="s">
        <v>71</v>
      </c>
      <c r="D1848" s="9" t="s">
        <v>51</v>
      </c>
      <c r="E1848" s="11" t="s">
        <v>30</v>
      </c>
      <c r="F1848" s="11" t="s">
        <v>80</v>
      </c>
      <c r="G1848" s="3">
        <v>-1637.17</v>
      </c>
      <c r="H1848" s="3">
        <v>-1155.6500000000001</v>
      </c>
      <c r="I1848" s="12">
        <v>-2</v>
      </c>
      <c r="J1848" s="9" t="s">
        <v>340</v>
      </c>
      <c r="K1848" s="9" t="s">
        <v>49</v>
      </c>
      <c r="L1848" s="13">
        <v>0</v>
      </c>
      <c r="M1848" s="9" t="s">
        <v>76</v>
      </c>
    </row>
    <row r="1849" spans="1:13" ht="20.25" customHeight="1" x14ac:dyDescent="0.25">
      <c r="A1849" s="9" t="s">
        <v>3109</v>
      </c>
      <c r="B1849" s="10">
        <v>46181</v>
      </c>
      <c r="C1849" s="9" t="s">
        <v>54</v>
      </c>
      <c r="D1849" s="9" t="s">
        <v>29</v>
      </c>
      <c r="E1849" s="11" t="s">
        <v>30</v>
      </c>
      <c r="F1849" s="11" t="s">
        <v>31</v>
      </c>
      <c r="G1849" s="3">
        <v>1251.95</v>
      </c>
      <c r="H1849" s="3">
        <v>866.74</v>
      </c>
      <c r="I1849" s="12">
        <v>2</v>
      </c>
      <c r="J1849" s="9" t="s">
        <v>185</v>
      </c>
      <c r="K1849" s="9" t="s">
        <v>49</v>
      </c>
      <c r="L1849" s="13">
        <v>0</v>
      </c>
      <c r="M1849" s="9" t="s">
        <v>34</v>
      </c>
    </row>
    <row r="1850" spans="1:13" ht="20.25" customHeight="1" x14ac:dyDescent="0.25">
      <c r="A1850" s="9" t="s">
        <v>3110</v>
      </c>
      <c r="B1850" s="10">
        <v>46181</v>
      </c>
      <c r="C1850" s="9" t="s">
        <v>54</v>
      </c>
      <c r="D1850" s="9" t="s">
        <v>29</v>
      </c>
      <c r="E1850" s="11" t="s">
        <v>43</v>
      </c>
      <c r="F1850" s="11" t="s">
        <v>47</v>
      </c>
      <c r="G1850" s="3">
        <v>105.93</v>
      </c>
      <c r="H1850" s="3">
        <v>62.6</v>
      </c>
      <c r="I1850" s="12">
        <v>1</v>
      </c>
      <c r="J1850" s="9" t="s">
        <v>1151</v>
      </c>
      <c r="K1850" s="9" t="s">
        <v>33</v>
      </c>
      <c r="L1850" s="13">
        <v>1</v>
      </c>
      <c r="M1850" s="9" t="s">
        <v>34</v>
      </c>
    </row>
    <row r="1851" spans="1:13" ht="20.25" customHeight="1" x14ac:dyDescent="0.25">
      <c r="A1851" s="9" t="s">
        <v>3111</v>
      </c>
      <c r="B1851" s="10">
        <v>46182</v>
      </c>
      <c r="C1851" s="9" t="s">
        <v>71</v>
      </c>
      <c r="D1851" s="9" t="s">
        <v>29</v>
      </c>
      <c r="E1851" s="11" t="s">
        <v>58</v>
      </c>
      <c r="F1851" s="11" t="s">
        <v>87</v>
      </c>
      <c r="G1851" s="3">
        <v>173.35</v>
      </c>
      <c r="H1851" s="3">
        <v>105.93</v>
      </c>
      <c r="I1851" s="12">
        <v>1</v>
      </c>
      <c r="J1851" s="9" t="s">
        <v>3112</v>
      </c>
      <c r="K1851" s="9" t="s">
        <v>49</v>
      </c>
      <c r="L1851" s="13">
        <v>0</v>
      </c>
      <c r="M1851" s="9" t="s">
        <v>34</v>
      </c>
    </row>
    <row r="1852" spans="1:13" ht="20.25" customHeight="1" x14ac:dyDescent="0.25">
      <c r="A1852" s="9" t="s">
        <v>3113</v>
      </c>
      <c r="B1852" s="10">
        <v>46182</v>
      </c>
      <c r="C1852" s="9" t="s">
        <v>41</v>
      </c>
      <c r="D1852" s="9" t="s">
        <v>51</v>
      </c>
      <c r="E1852" s="11" t="s">
        <v>37</v>
      </c>
      <c r="F1852" s="11" t="s">
        <v>55</v>
      </c>
      <c r="G1852" s="3">
        <v>260.02</v>
      </c>
      <c r="H1852" s="3">
        <v>158.9</v>
      </c>
      <c r="I1852" s="12">
        <v>3</v>
      </c>
      <c r="J1852" s="9" t="s">
        <v>2264</v>
      </c>
      <c r="K1852" s="9" t="s">
        <v>49</v>
      </c>
      <c r="L1852" s="13">
        <v>0</v>
      </c>
      <c r="M1852" s="9" t="s">
        <v>34</v>
      </c>
    </row>
    <row r="1853" spans="1:13" ht="20.25" customHeight="1" x14ac:dyDescent="0.25">
      <c r="A1853" s="9" t="s">
        <v>3114</v>
      </c>
      <c r="B1853" s="10">
        <v>46182</v>
      </c>
      <c r="C1853" s="9" t="s">
        <v>36</v>
      </c>
      <c r="D1853" s="9" t="s">
        <v>29</v>
      </c>
      <c r="E1853" s="11" t="s">
        <v>58</v>
      </c>
      <c r="F1853" s="11" t="s">
        <v>68</v>
      </c>
      <c r="G1853" s="3">
        <v>674.13</v>
      </c>
      <c r="H1853" s="3">
        <v>423.74</v>
      </c>
      <c r="I1853" s="12">
        <v>2</v>
      </c>
      <c r="J1853" s="9" t="s">
        <v>3115</v>
      </c>
      <c r="K1853" s="9" t="s">
        <v>49</v>
      </c>
      <c r="L1853" s="13">
        <v>0</v>
      </c>
      <c r="M1853" s="9" t="s">
        <v>34</v>
      </c>
    </row>
    <row r="1854" spans="1:13" ht="20.25" customHeight="1" x14ac:dyDescent="0.25">
      <c r="A1854" s="9" t="s">
        <v>3116</v>
      </c>
      <c r="B1854" s="10">
        <v>46182</v>
      </c>
      <c r="C1854" s="9" t="s">
        <v>71</v>
      </c>
      <c r="D1854" s="9" t="s">
        <v>42</v>
      </c>
      <c r="E1854" s="11" t="s">
        <v>30</v>
      </c>
      <c r="F1854" s="11" t="s">
        <v>63</v>
      </c>
      <c r="G1854" s="3">
        <v>2311.3000000000002</v>
      </c>
      <c r="H1854" s="3">
        <v>1637.17</v>
      </c>
      <c r="I1854" s="12">
        <v>2</v>
      </c>
      <c r="J1854" s="9" t="s">
        <v>2990</v>
      </c>
      <c r="K1854" s="9" t="s">
        <v>49</v>
      </c>
      <c r="L1854" s="13">
        <v>0</v>
      </c>
      <c r="M1854" s="9" t="s">
        <v>34</v>
      </c>
    </row>
    <row r="1855" spans="1:13" ht="20.25" customHeight="1" x14ac:dyDescent="0.25">
      <c r="A1855" s="9" t="s">
        <v>3117</v>
      </c>
      <c r="B1855" s="10">
        <v>46183</v>
      </c>
      <c r="C1855" s="9" t="s">
        <v>36</v>
      </c>
      <c r="D1855" s="9" t="s">
        <v>51</v>
      </c>
      <c r="E1855" s="11" t="s">
        <v>37</v>
      </c>
      <c r="F1855" s="11" t="s">
        <v>38</v>
      </c>
      <c r="G1855" s="3">
        <v>231.13</v>
      </c>
      <c r="H1855" s="3">
        <v>134.83000000000001</v>
      </c>
      <c r="I1855" s="12">
        <v>2</v>
      </c>
      <c r="J1855" s="9" t="s">
        <v>1000</v>
      </c>
      <c r="K1855" s="9" t="s">
        <v>49</v>
      </c>
      <c r="L1855" s="13">
        <v>0</v>
      </c>
      <c r="M1855" s="9" t="s">
        <v>34</v>
      </c>
    </row>
    <row r="1856" spans="1:13" ht="20.25" customHeight="1" x14ac:dyDescent="0.25">
      <c r="A1856" s="9" t="s">
        <v>3118</v>
      </c>
      <c r="B1856" s="10">
        <v>46184</v>
      </c>
      <c r="C1856" s="9" t="s">
        <v>28</v>
      </c>
      <c r="D1856" s="9" t="s">
        <v>29</v>
      </c>
      <c r="E1856" s="11" t="s">
        <v>58</v>
      </c>
      <c r="F1856" s="11" t="s">
        <v>59</v>
      </c>
      <c r="G1856" s="3">
        <v>144.46</v>
      </c>
      <c r="H1856" s="3">
        <v>86.67</v>
      </c>
      <c r="I1856" s="12">
        <v>1</v>
      </c>
      <c r="J1856" s="9" t="s">
        <v>3119</v>
      </c>
      <c r="K1856" s="9" t="s">
        <v>49</v>
      </c>
      <c r="L1856" s="13">
        <v>0</v>
      </c>
      <c r="M1856" s="9" t="s">
        <v>34</v>
      </c>
    </row>
    <row r="1857" spans="1:13" ht="20.25" customHeight="1" x14ac:dyDescent="0.25">
      <c r="A1857" s="9" t="s">
        <v>3120</v>
      </c>
      <c r="B1857" s="10">
        <v>46184</v>
      </c>
      <c r="C1857" s="9" t="s">
        <v>41</v>
      </c>
      <c r="D1857" s="9" t="s">
        <v>51</v>
      </c>
      <c r="E1857" s="11" t="s">
        <v>30</v>
      </c>
      <c r="F1857" s="11" t="s">
        <v>80</v>
      </c>
      <c r="G1857" s="3">
        <v>818.59</v>
      </c>
      <c r="H1857" s="3">
        <v>577.83000000000004</v>
      </c>
      <c r="I1857" s="12">
        <v>1</v>
      </c>
      <c r="J1857" s="9" t="s">
        <v>3121</v>
      </c>
      <c r="K1857" s="9" t="s">
        <v>49</v>
      </c>
      <c r="L1857" s="13">
        <v>0</v>
      </c>
      <c r="M1857" s="9" t="s">
        <v>34</v>
      </c>
    </row>
    <row r="1858" spans="1:13" ht="20.25" customHeight="1" x14ac:dyDescent="0.25">
      <c r="A1858" s="9" t="s">
        <v>3122</v>
      </c>
      <c r="B1858" s="10">
        <v>46184</v>
      </c>
      <c r="C1858" s="9" t="s">
        <v>71</v>
      </c>
      <c r="D1858" s="9" t="s">
        <v>42</v>
      </c>
      <c r="E1858" s="11" t="s">
        <v>58</v>
      </c>
      <c r="F1858" s="11" t="s">
        <v>59</v>
      </c>
      <c r="G1858" s="3">
        <v>288.91000000000003</v>
      </c>
      <c r="H1858" s="3">
        <v>173.35</v>
      </c>
      <c r="I1858" s="12">
        <v>2</v>
      </c>
      <c r="J1858" s="9" t="s">
        <v>1684</v>
      </c>
      <c r="K1858" s="9" t="s">
        <v>49</v>
      </c>
      <c r="L1858" s="13">
        <v>0</v>
      </c>
      <c r="M1858" s="9" t="s">
        <v>34</v>
      </c>
    </row>
    <row r="1859" spans="1:13" ht="20.25" customHeight="1" x14ac:dyDescent="0.25">
      <c r="A1859" s="9" t="s">
        <v>3123</v>
      </c>
      <c r="B1859" s="10">
        <v>46184</v>
      </c>
      <c r="C1859" s="9" t="s">
        <v>36</v>
      </c>
      <c r="D1859" s="9" t="s">
        <v>51</v>
      </c>
      <c r="E1859" s="11" t="s">
        <v>43</v>
      </c>
      <c r="F1859" s="11" t="s">
        <v>44</v>
      </c>
      <c r="G1859" s="3">
        <v>86.67</v>
      </c>
      <c r="H1859" s="3">
        <v>38.520000000000003</v>
      </c>
      <c r="I1859" s="12">
        <v>2</v>
      </c>
      <c r="J1859" s="9" t="s">
        <v>3124</v>
      </c>
      <c r="K1859" s="9" t="s">
        <v>33</v>
      </c>
      <c r="L1859" s="13">
        <v>1</v>
      </c>
      <c r="M1859" s="9" t="s">
        <v>34</v>
      </c>
    </row>
    <row r="1860" spans="1:13" ht="20.25" customHeight="1" x14ac:dyDescent="0.25">
      <c r="A1860" s="9" t="s">
        <v>3125</v>
      </c>
      <c r="B1860" s="10">
        <v>46185</v>
      </c>
      <c r="C1860" s="9" t="s">
        <v>62</v>
      </c>
      <c r="D1860" s="9" t="s">
        <v>29</v>
      </c>
      <c r="E1860" s="11" t="s">
        <v>37</v>
      </c>
      <c r="F1860" s="11" t="s">
        <v>72</v>
      </c>
      <c r="G1860" s="3">
        <v>211.87</v>
      </c>
      <c r="H1860" s="3">
        <v>125.2</v>
      </c>
      <c r="I1860" s="12">
        <v>1</v>
      </c>
      <c r="J1860" s="9" t="s">
        <v>3126</v>
      </c>
      <c r="K1860" s="9" t="s">
        <v>33</v>
      </c>
      <c r="L1860" s="13">
        <v>1</v>
      </c>
      <c r="M1860" s="9" t="s">
        <v>34</v>
      </c>
    </row>
    <row r="1861" spans="1:13" ht="20.25" customHeight="1" x14ac:dyDescent="0.25">
      <c r="A1861" s="9" t="s">
        <v>3127</v>
      </c>
      <c r="B1861" s="10">
        <v>46185</v>
      </c>
      <c r="C1861" s="9" t="s">
        <v>28</v>
      </c>
      <c r="D1861" s="9" t="s">
        <v>29</v>
      </c>
      <c r="E1861" s="11" t="s">
        <v>30</v>
      </c>
      <c r="F1861" s="11" t="s">
        <v>31</v>
      </c>
      <c r="G1861" s="3">
        <v>1877.93</v>
      </c>
      <c r="H1861" s="3">
        <v>1300.1099999999999</v>
      </c>
      <c r="I1861" s="12">
        <v>3</v>
      </c>
      <c r="J1861" s="9" t="s">
        <v>3128</v>
      </c>
      <c r="K1861" s="9" t="s">
        <v>33</v>
      </c>
      <c r="L1861" s="13">
        <v>1</v>
      </c>
      <c r="M1861" s="9" t="s">
        <v>34</v>
      </c>
    </row>
    <row r="1862" spans="1:13" ht="20.25" customHeight="1" x14ac:dyDescent="0.25">
      <c r="A1862" s="9" t="s">
        <v>3129</v>
      </c>
      <c r="B1862" s="10">
        <v>46185</v>
      </c>
      <c r="C1862" s="9" t="s">
        <v>36</v>
      </c>
      <c r="D1862" s="9" t="s">
        <v>42</v>
      </c>
      <c r="E1862" s="11" t="s">
        <v>58</v>
      </c>
      <c r="F1862" s="11" t="s">
        <v>59</v>
      </c>
      <c r="G1862" s="3">
        <v>144.46</v>
      </c>
      <c r="H1862" s="3">
        <v>86.67</v>
      </c>
      <c r="I1862" s="12">
        <v>1</v>
      </c>
      <c r="J1862" s="9" t="s">
        <v>2929</v>
      </c>
      <c r="K1862" s="9" t="s">
        <v>49</v>
      </c>
      <c r="L1862" s="13">
        <v>0</v>
      </c>
      <c r="M1862" s="9" t="s">
        <v>34</v>
      </c>
    </row>
    <row r="1863" spans="1:13" ht="20.25" customHeight="1" x14ac:dyDescent="0.25">
      <c r="A1863" s="9" t="s">
        <v>3130</v>
      </c>
      <c r="B1863" s="10">
        <v>46186</v>
      </c>
      <c r="C1863" s="9" t="s">
        <v>28</v>
      </c>
      <c r="D1863" s="9" t="s">
        <v>51</v>
      </c>
      <c r="E1863" s="11" t="s">
        <v>37</v>
      </c>
      <c r="F1863" s="11" t="s">
        <v>38</v>
      </c>
      <c r="G1863" s="3">
        <v>115.57</v>
      </c>
      <c r="H1863" s="3">
        <v>67.41</v>
      </c>
      <c r="I1863" s="12">
        <v>1</v>
      </c>
      <c r="J1863" s="9" t="s">
        <v>3131</v>
      </c>
      <c r="K1863" s="9" t="s">
        <v>49</v>
      </c>
      <c r="L1863" s="13">
        <v>0</v>
      </c>
      <c r="M1863" s="9" t="s">
        <v>34</v>
      </c>
    </row>
    <row r="1864" spans="1:13" ht="20.25" customHeight="1" x14ac:dyDescent="0.25">
      <c r="A1864" s="9" t="s">
        <v>3132</v>
      </c>
      <c r="B1864" s="10">
        <v>46186</v>
      </c>
      <c r="C1864" s="9" t="s">
        <v>41</v>
      </c>
      <c r="D1864" s="9" t="s">
        <v>51</v>
      </c>
      <c r="E1864" s="11" t="s">
        <v>43</v>
      </c>
      <c r="F1864" s="11" t="s">
        <v>47</v>
      </c>
      <c r="G1864" s="3">
        <v>317.8</v>
      </c>
      <c r="H1864" s="3">
        <v>187.79</v>
      </c>
      <c r="I1864" s="12">
        <v>3</v>
      </c>
      <c r="J1864" s="9" t="s">
        <v>1374</v>
      </c>
      <c r="K1864" s="9" t="s">
        <v>33</v>
      </c>
      <c r="L1864" s="13">
        <v>1</v>
      </c>
      <c r="M1864" s="9" t="s">
        <v>34</v>
      </c>
    </row>
    <row r="1865" spans="1:13" ht="20.25" customHeight="1" x14ac:dyDescent="0.25">
      <c r="A1865" s="9" t="s">
        <v>3133</v>
      </c>
      <c r="B1865" s="10">
        <v>46186</v>
      </c>
      <c r="C1865" s="9" t="s">
        <v>41</v>
      </c>
      <c r="D1865" s="9" t="s">
        <v>42</v>
      </c>
      <c r="E1865" s="11" t="s">
        <v>37</v>
      </c>
      <c r="F1865" s="11" t="s">
        <v>72</v>
      </c>
      <c r="G1865" s="3">
        <v>423.74</v>
      </c>
      <c r="H1865" s="3">
        <v>250.39</v>
      </c>
      <c r="I1865" s="12">
        <v>2</v>
      </c>
      <c r="J1865" s="9" t="s">
        <v>802</v>
      </c>
      <c r="K1865" s="9" t="s">
        <v>49</v>
      </c>
      <c r="L1865" s="13">
        <v>0</v>
      </c>
      <c r="M1865" s="9" t="s">
        <v>34</v>
      </c>
    </row>
    <row r="1866" spans="1:13" ht="20.25" customHeight="1" x14ac:dyDescent="0.25">
      <c r="A1866" s="9" t="s">
        <v>3134</v>
      </c>
      <c r="B1866" s="10">
        <v>46186</v>
      </c>
      <c r="C1866" s="9" t="s">
        <v>36</v>
      </c>
      <c r="D1866" s="9" t="s">
        <v>42</v>
      </c>
      <c r="E1866" s="11" t="s">
        <v>30</v>
      </c>
      <c r="F1866" s="11" t="s">
        <v>31</v>
      </c>
      <c r="G1866" s="3">
        <v>625.98</v>
      </c>
      <c r="H1866" s="3">
        <v>433.37</v>
      </c>
      <c r="I1866" s="12">
        <v>1</v>
      </c>
      <c r="J1866" s="9" t="s">
        <v>386</v>
      </c>
      <c r="K1866" s="9" t="s">
        <v>49</v>
      </c>
      <c r="L1866" s="13">
        <v>0</v>
      </c>
      <c r="M1866" s="9" t="s">
        <v>34</v>
      </c>
    </row>
    <row r="1867" spans="1:13" ht="20.25" customHeight="1" x14ac:dyDescent="0.25">
      <c r="A1867" s="9" t="s">
        <v>3135</v>
      </c>
      <c r="B1867" s="10">
        <v>46186</v>
      </c>
      <c r="C1867" s="9" t="s">
        <v>41</v>
      </c>
      <c r="D1867" s="9" t="s">
        <v>42</v>
      </c>
      <c r="E1867" s="11" t="s">
        <v>37</v>
      </c>
      <c r="F1867" s="11" t="s">
        <v>38</v>
      </c>
      <c r="G1867" s="3">
        <v>115.57</v>
      </c>
      <c r="H1867" s="3">
        <v>67.41</v>
      </c>
      <c r="I1867" s="12">
        <v>1</v>
      </c>
      <c r="J1867" s="9" t="s">
        <v>2800</v>
      </c>
      <c r="K1867" s="9" t="s">
        <v>49</v>
      </c>
      <c r="L1867" s="13">
        <v>0</v>
      </c>
      <c r="M1867" s="9" t="s">
        <v>34</v>
      </c>
    </row>
    <row r="1868" spans="1:13" ht="20.25" customHeight="1" x14ac:dyDescent="0.25">
      <c r="A1868" s="9" t="s">
        <v>3136</v>
      </c>
      <c r="B1868" s="10">
        <v>46186</v>
      </c>
      <c r="C1868" s="9" t="s">
        <v>36</v>
      </c>
      <c r="D1868" s="9" t="s">
        <v>29</v>
      </c>
      <c r="E1868" s="11" t="s">
        <v>37</v>
      </c>
      <c r="F1868" s="11" t="s">
        <v>55</v>
      </c>
      <c r="G1868" s="3">
        <v>86.67</v>
      </c>
      <c r="H1868" s="3">
        <v>52.97</v>
      </c>
      <c r="I1868" s="12">
        <v>1</v>
      </c>
      <c r="J1868" s="9" t="s">
        <v>543</v>
      </c>
      <c r="K1868" s="9" t="s">
        <v>33</v>
      </c>
      <c r="L1868" s="13">
        <v>1</v>
      </c>
      <c r="M1868" s="9" t="s">
        <v>34</v>
      </c>
    </row>
    <row r="1869" spans="1:13" ht="20.25" customHeight="1" x14ac:dyDescent="0.25">
      <c r="A1869" s="9" t="s">
        <v>3137</v>
      </c>
      <c r="B1869" s="10">
        <v>46186</v>
      </c>
      <c r="C1869" s="9" t="s">
        <v>41</v>
      </c>
      <c r="D1869" s="9" t="s">
        <v>51</v>
      </c>
      <c r="E1869" s="11" t="s">
        <v>30</v>
      </c>
      <c r="F1869" s="11" t="s">
        <v>31</v>
      </c>
      <c r="G1869" s="3">
        <v>1251.95</v>
      </c>
      <c r="H1869" s="3">
        <v>866.74</v>
      </c>
      <c r="I1869" s="12">
        <v>2</v>
      </c>
      <c r="J1869" s="9" t="s">
        <v>3138</v>
      </c>
      <c r="K1869" s="9" t="s">
        <v>49</v>
      </c>
      <c r="L1869" s="13">
        <v>0</v>
      </c>
      <c r="M1869" s="9" t="s">
        <v>34</v>
      </c>
    </row>
    <row r="1870" spans="1:13" ht="20.25" customHeight="1" x14ac:dyDescent="0.25">
      <c r="A1870" s="9" t="s">
        <v>3139</v>
      </c>
      <c r="B1870" s="10">
        <v>46186</v>
      </c>
      <c r="C1870" s="9" t="s">
        <v>36</v>
      </c>
      <c r="D1870" s="9" t="s">
        <v>51</v>
      </c>
      <c r="E1870" s="11" t="s">
        <v>58</v>
      </c>
      <c r="F1870" s="11" t="s">
        <v>87</v>
      </c>
      <c r="G1870" s="3">
        <v>173.35</v>
      </c>
      <c r="H1870" s="3">
        <v>105.93</v>
      </c>
      <c r="I1870" s="12">
        <v>1</v>
      </c>
      <c r="J1870" s="9" t="s">
        <v>1858</v>
      </c>
      <c r="K1870" s="9" t="s">
        <v>49</v>
      </c>
      <c r="L1870" s="13">
        <v>0</v>
      </c>
      <c r="M1870" s="9" t="s">
        <v>34</v>
      </c>
    </row>
    <row r="1871" spans="1:13" ht="20.25" customHeight="1" x14ac:dyDescent="0.25">
      <c r="A1871" s="9" t="s">
        <v>3140</v>
      </c>
      <c r="B1871" s="10">
        <v>46187</v>
      </c>
      <c r="C1871" s="9" t="s">
        <v>36</v>
      </c>
      <c r="D1871" s="9" t="s">
        <v>51</v>
      </c>
      <c r="E1871" s="11" t="s">
        <v>58</v>
      </c>
      <c r="F1871" s="11" t="s">
        <v>68</v>
      </c>
      <c r="G1871" s="3">
        <v>674.13</v>
      </c>
      <c r="H1871" s="3">
        <v>423.74</v>
      </c>
      <c r="I1871" s="12">
        <v>2</v>
      </c>
      <c r="J1871" s="9" t="s">
        <v>1069</v>
      </c>
      <c r="K1871" s="9" t="s">
        <v>49</v>
      </c>
      <c r="L1871" s="13">
        <v>0</v>
      </c>
      <c r="M1871" s="9" t="s">
        <v>34</v>
      </c>
    </row>
    <row r="1872" spans="1:13" ht="20.25" customHeight="1" x14ac:dyDescent="0.25">
      <c r="A1872" s="9" t="s">
        <v>3141</v>
      </c>
      <c r="B1872" s="10">
        <v>46187</v>
      </c>
      <c r="C1872" s="9" t="s">
        <v>62</v>
      </c>
      <c r="D1872" s="9" t="s">
        <v>51</v>
      </c>
      <c r="E1872" s="11" t="s">
        <v>37</v>
      </c>
      <c r="F1872" s="11" t="s">
        <v>55</v>
      </c>
      <c r="G1872" s="3">
        <v>260.02</v>
      </c>
      <c r="H1872" s="3">
        <v>158.9</v>
      </c>
      <c r="I1872" s="12">
        <v>3</v>
      </c>
      <c r="J1872" s="9" t="s">
        <v>1183</v>
      </c>
      <c r="K1872" s="9" t="s">
        <v>49</v>
      </c>
      <c r="L1872" s="13">
        <v>0</v>
      </c>
      <c r="M1872" s="9" t="s">
        <v>34</v>
      </c>
    </row>
    <row r="1873" spans="1:13" ht="20.25" customHeight="1" x14ac:dyDescent="0.25">
      <c r="A1873" s="9" t="s">
        <v>3142</v>
      </c>
      <c r="B1873" s="10">
        <v>46187</v>
      </c>
      <c r="C1873" s="9" t="s">
        <v>28</v>
      </c>
      <c r="D1873" s="9" t="s">
        <v>29</v>
      </c>
      <c r="E1873" s="11" t="s">
        <v>30</v>
      </c>
      <c r="F1873" s="11" t="s">
        <v>63</v>
      </c>
      <c r="G1873" s="3">
        <v>2311.3000000000002</v>
      </c>
      <c r="H1873" s="3">
        <v>1637.17</v>
      </c>
      <c r="I1873" s="12">
        <v>2</v>
      </c>
      <c r="J1873" s="9" t="s">
        <v>1276</v>
      </c>
      <c r="K1873" s="9" t="s">
        <v>49</v>
      </c>
      <c r="L1873" s="13">
        <v>0</v>
      </c>
      <c r="M1873" s="9" t="s">
        <v>34</v>
      </c>
    </row>
    <row r="1874" spans="1:13" ht="20.25" customHeight="1" x14ac:dyDescent="0.25">
      <c r="A1874" s="9" t="s">
        <v>3143</v>
      </c>
      <c r="B1874" s="10">
        <v>46187</v>
      </c>
      <c r="C1874" s="9" t="s">
        <v>28</v>
      </c>
      <c r="D1874" s="9" t="s">
        <v>51</v>
      </c>
      <c r="E1874" s="11" t="s">
        <v>37</v>
      </c>
      <c r="F1874" s="11" t="s">
        <v>72</v>
      </c>
      <c r="G1874" s="3">
        <v>211.87</v>
      </c>
      <c r="H1874" s="3">
        <v>125.2</v>
      </c>
      <c r="I1874" s="12">
        <v>1</v>
      </c>
      <c r="J1874" s="9" t="s">
        <v>1201</v>
      </c>
      <c r="K1874" s="9" t="s">
        <v>49</v>
      </c>
      <c r="L1874" s="13">
        <v>0</v>
      </c>
      <c r="M1874" s="9" t="s">
        <v>34</v>
      </c>
    </row>
    <row r="1875" spans="1:13" ht="20.25" customHeight="1" x14ac:dyDescent="0.25">
      <c r="A1875" s="9" t="s">
        <v>3144</v>
      </c>
      <c r="B1875" s="10">
        <v>46187</v>
      </c>
      <c r="C1875" s="9" t="s">
        <v>71</v>
      </c>
      <c r="D1875" s="9" t="s">
        <v>51</v>
      </c>
      <c r="E1875" s="11" t="s">
        <v>43</v>
      </c>
      <c r="F1875" s="11" t="s">
        <v>90</v>
      </c>
      <c r="G1875" s="3">
        <v>288.91000000000003</v>
      </c>
      <c r="H1875" s="3">
        <v>173.35</v>
      </c>
      <c r="I1875" s="12">
        <v>2</v>
      </c>
      <c r="J1875" s="9" t="s">
        <v>2260</v>
      </c>
      <c r="K1875" s="9" t="s">
        <v>49</v>
      </c>
      <c r="L1875" s="13">
        <v>0</v>
      </c>
      <c r="M1875" s="9" t="s">
        <v>34</v>
      </c>
    </row>
    <row r="1876" spans="1:13" ht="20.25" customHeight="1" x14ac:dyDescent="0.25">
      <c r="A1876" s="9" t="s">
        <v>3145</v>
      </c>
      <c r="B1876" s="10">
        <v>46188</v>
      </c>
      <c r="C1876" s="9" t="s">
        <v>62</v>
      </c>
      <c r="D1876" s="9" t="s">
        <v>29</v>
      </c>
      <c r="E1876" s="11" t="s">
        <v>43</v>
      </c>
      <c r="F1876" s="11" t="s">
        <v>47</v>
      </c>
      <c r="G1876" s="3">
        <v>105.93</v>
      </c>
      <c r="H1876" s="3">
        <v>62.6</v>
      </c>
      <c r="I1876" s="12">
        <v>1</v>
      </c>
      <c r="J1876" s="9" t="s">
        <v>3146</v>
      </c>
      <c r="K1876" s="9" t="s">
        <v>49</v>
      </c>
      <c r="L1876" s="13">
        <v>0</v>
      </c>
      <c r="M1876" s="9" t="s">
        <v>34</v>
      </c>
    </row>
    <row r="1877" spans="1:13" ht="20.25" customHeight="1" x14ac:dyDescent="0.25">
      <c r="A1877" s="9" t="s">
        <v>3147</v>
      </c>
      <c r="B1877" s="10">
        <v>46188</v>
      </c>
      <c r="C1877" s="9" t="s">
        <v>36</v>
      </c>
      <c r="D1877" s="9" t="s">
        <v>29</v>
      </c>
      <c r="E1877" s="11" t="s">
        <v>43</v>
      </c>
      <c r="F1877" s="11" t="s">
        <v>90</v>
      </c>
      <c r="G1877" s="3">
        <v>144.46</v>
      </c>
      <c r="H1877" s="3">
        <v>86.67</v>
      </c>
      <c r="I1877" s="12">
        <v>1</v>
      </c>
      <c r="J1877" s="9" t="s">
        <v>1376</v>
      </c>
      <c r="K1877" s="9" t="s">
        <v>49</v>
      </c>
      <c r="L1877" s="13">
        <v>0</v>
      </c>
      <c r="M1877" s="9" t="s">
        <v>34</v>
      </c>
    </row>
    <row r="1878" spans="1:13" ht="20.25" customHeight="1" x14ac:dyDescent="0.25">
      <c r="A1878" s="9" t="s">
        <v>3148</v>
      </c>
      <c r="B1878" s="10">
        <v>46189</v>
      </c>
      <c r="C1878" s="9" t="s">
        <v>28</v>
      </c>
      <c r="D1878" s="9" t="s">
        <v>29</v>
      </c>
      <c r="E1878" s="11" t="s">
        <v>43</v>
      </c>
      <c r="F1878" s="11" t="s">
        <v>90</v>
      </c>
      <c r="G1878" s="3">
        <v>144.46</v>
      </c>
      <c r="H1878" s="3">
        <v>86.67</v>
      </c>
      <c r="I1878" s="12">
        <v>1</v>
      </c>
      <c r="J1878" s="9" t="s">
        <v>2310</v>
      </c>
      <c r="K1878" s="9" t="s">
        <v>49</v>
      </c>
      <c r="L1878" s="13">
        <v>0</v>
      </c>
      <c r="M1878" s="9" t="s">
        <v>34</v>
      </c>
    </row>
    <row r="1879" spans="1:13" ht="20.25" customHeight="1" x14ac:dyDescent="0.25">
      <c r="A1879" s="9" t="s">
        <v>3149</v>
      </c>
      <c r="B1879" s="10">
        <v>46189</v>
      </c>
      <c r="C1879" s="9" t="s">
        <v>36</v>
      </c>
      <c r="D1879" s="9" t="s">
        <v>29</v>
      </c>
      <c r="E1879" s="11" t="s">
        <v>30</v>
      </c>
      <c r="F1879" s="11" t="s">
        <v>80</v>
      </c>
      <c r="G1879" s="3">
        <v>818.59</v>
      </c>
      <c r="H1879" s="3">
        <v>577.83000000000004</v>
      </c>
      <c r="I1879" s="12">
        <v>1</v>
      </c>
      <c r="J1879" s="9" t="s">
        <v>429</v>
      </c>
      <c r="K1879" s="9" t="s">
        <v>33</v>
      </c>
      <c r="L1879" s="13">
        <v>1</v>
      </c>
      <c r="M1879" s="9" t="s">
        <v>34</v>
      </c>
    </row>
    <row r="1880" spans="1:13" ht="20.25" customHeight="1" x14ac:dyDescent="0.25">
      <c r="A1880" s="9" t="s">
        <v>3150</v>
      </c>
      <c r="B1880" s="10">
        <v>46190</v>
      </c>
      <c r="C1880" s="9" t="s">
        <v>71</v>
      </c>
      <c r="D1880" s="9" t="s">
        <v>29</v>
      </c>
      <c r="E1880" s="11" t="s">
        <v>37</v>
      </c>
      <c r="F1880" s="11" t="s">
        <v>55</v>
      </c>
      <c r="G1880" s="3">
        <v>260.02</v>
      </c>
      <c r="H1880" s="3">
        <v>158.9</v>
      </c>
      <c r="I1880" s="12">
        <v>3</v>
      </c>
      <c r="J1880" s="9" t="s">
        <v>3151</v>
      </c>
      <c r="K1880" s="9" t="s">
        <v>49</v>
      </c>
      <c r="L1880" s="13">
        <v>0</v>
      </c>
      <c r="M1880" s="9" t="s">
        <v>34</v>
      </c>
    </row>
    <row r="1881" spans="1:13" ht="20.25" customHeight="1" x14ac:dyDescent="0.25">
      <c r="A1881" s="9" t="s">
        <v>3152</v>
      </c>
      <c r="B1881" s="10">
        <v>46190</v>
      </c>
      <c r="C1881" s="9" t="s">
        <v>28</v>
      </c>
      <c r="D1881" s="9" t="s">
        <v>29</v>
      </c>
      <c r="E1881" s="11" t="s">
        <v>58</v>
      </c>
      <c r="F1881" s="11" t="s">
        <v>68</v>
      </c>
      <c r="G1881" s="3">
        <v>337.06</v>
      </c>
      <c r="H1881" s="3">
        <v>211.87</v>
      </c>
      <c r="I1881" s="12">
        <v>1</v>
      </c>
      <c r="J1881" s="9" t="s">
        <v>107</v>
      </c>
      <c r="K1881" s="9" t="s">
        <v>49</v>
      </c>
      <c r="L1881" s="13">
        <v>0</v>
      </c>
      <c r="M1881" s="9" t="s">
        <v>34</v>
      </c>
    </row>
    <row r="1882" spans="1:13" ht="20.25" customHeight="1" x14ac:dyDescent="0.25">
      <c r="A1882" s="9" t="s">
        <v>3153</v>
      </c>
      <c r="B1882" s="10">
        <v>46190</v>
      </c>
      <c r="C1882" s="9" t="s">
        <v>41</v>
      </c>
      <c r="D1882" s="9" t="s">
        <v>51</v>
      </c>
      <c r="E1882" s="11" t="s">
        <v>43</v>
      </c>
      <c r="F1882" s="11" t="s">
        <v>44</v>
      </c>
      <c r="G1882" s="3">
        <v>43.34</v>
      </c>
      <c r="H1882" s="3">
        <v>19.260000000000002</v>
      </c>
      <c r="I1882" s="12">
        <v>1</v>
      </c>
      <c r="J1882" s="9" t="s">
        <v>2185</v>
      </c>
      <c r="K1882" s="9" t="s">
        <v>49</v>
      </c>
      <c r="L1882" s="13">
        <v>0</v>
      </c>
      <c r="M1882" s="9" t="s">
        <v>34</v>
      </c>
    </row>
    <row r="1883" spans="1:13" ht="20.25" customHeight="1" x14ac:dyDescent="0.25">
      <c r="A1883" s="9" t="s">
        <v>3154</v>
      </c>
      <c r="B1883" s="10">
        <v>46190</v>
      </c>
      <c r="C1883" s="9" t="s">
        <v>62</v>
      </c>
      <c r="D1883" s="9" t="s">
        <v>51</v>
      </c>
      <c r="E1883" s="11" t="s">
        <v>30</v>
      </c>
      <c r="F1883" s="11" t="s">
        <v>31</v>
      </c>
      <c r="G1883" s="3">
        <v>2503.91</v>
      </c>
      <c r="H1883" s="3">
        <v>1733.48</v>
      </c>
      <c r="I1883" s="12">
        <v>4</v>
      </c>
      <c r="J1883" s="9" t="s">
        <v>3155</v>
      </c>
      <c r="K1883" s="9" t="s">
        <v>33</v>
      </c>
      <c r="L1883" s="13">
        <v>1</v>
      </c>
      <c r="M1883" s="9" t="s">
        <v>34</v>
      </c>
    </row>
    <row r="1884" spans="1:13" ht="20.25" customHeight="1" x14ac:dyDescent="0.25">
      <c r="A1884" s="9" t="s">
        <v>3156</v>
      </c>
      <c r="B1884" s="10">
        <v>46190</v>
      </c>
      <c r="C1884" s="9" t="s">
        <v>36</v>
      </c>
      <c r="D1884" s="9" t="s">
        <v>51</v>
      </c>
      <c r="E1884" s="11" t="s">
        <v>43</v>
      </c>
      <c r="F1884" s="11" t="s">
        <v>47</v>
      </c>
      <c r="G1884" s="3">
        <v>105.93</v>
      </c>
      <c r="H1884" s="3">
        <v>62.6</v>
      </c>
      <c r="I1884" s="12">
        <v>1</v>
      </c>
      <c r="J1884" s="9" t="s">
        <v>3157</v>
      </c>
      <c r="K1884" s="9" t="s">
        <v>49</v>
      </c>
      <c r="L1884" s="13">
        <v>0</v>
      </c>
      <c r="M1884" s="9" t="s">
        <v>34</v>
      </c>
    </row>
    <row r="1885" spans="1:13" ht="20.25" customHeight="1" x14ac:dyDescent="0.25">
      <c r="A1885" s="9" t="s">
        <v>3158</v>
      </c>
      <c r="B1885" s="10">
        <v>46190</v>
      </c>
      <c r="C1885" s="9" t="s">
        <v>36</v>
      </c>
      <c r="D1885" s="9" t="s">
        <v>42</v>
      </c>
      <c r="E1885" s="11" t="s">
        <v>37</v>
      </c>
      <c r="F1885" s="11" t="s">
        <v>72</v>
      </c>
      <c r="G1885" s="3">
        <v>423.74</v>
      </c>
      <c r="H1885" s="3">
        <v>250.39</v>
      </c>
      <c r="I1885" s="12">
        <v>2</v>
      </c>
      <c r="J1885" s="9" t="s">
        <v>2478</v>
      </c>
      <c r="K1885" s="9" t="s">
        <v>49</v>
      </c>
      <c r="L1885" s="13">
        <v>0</v>
      </c>
      <c r="M1885" s="9" t="s">
        <v>34</v>
      </c>
    </row>
    <row r="1886" spans="1:13" ht="20.25" customHeight="1" x14ac:dyDescent="0.25">
      <c r="A1886" s="9" t="s">
        <v>3159</v>
      </c>
      <c r="B1886" s="10">
        <v>46190</v>
      </c>
      <c r="C1886" s="9" t="s">
        <v>36</v>
      </c>
      <c r="D1886" s="9" t="s">
        <v>29</v>
      </c>
      <c r="E1886" s="11" t="s">
        <v>43</v>
      </c>
      <c r="F1886" s="11" t="s">
        <v>44</v>
      </c>
      <c r="G1886" s="3">
        <v>43.34</v>
      </c>
      <c r="H1886" s="3">
        <v>19.260000000000002</v>
      </c>
      <c r="I1886" s="12">
        <v>1</v>
      </c>
      <c r="J1886" s="9" t="s">
        <v>340</v>
      </c>
      <c r="K1886" s="9" t="s">
        <v>33</v>
      </c>
      <c r="L1886" s="13">
        <v>1</v>
      </c>
      <c r="M1886" s="9" t="s">
        <v>34</v>
      </c>
    </row>
    <row r="1887" spans="1:13" ht="20.25" customHeight="1" x14ac:dyDescent="0.25">
      <c r="A1887" s="9" t="s">
        <v>3160</v>
      </c>
      <c r="B1887" s="10">
        <v>46190</v>
      </c>
      <c r="C1887" s="9" t="s">
        <v>28</v>
      </c>
      <c r="D1887" s="9" t="s">
        <v>29</v>
      </c>
      <c r="E1887" s="11" t="s">
        <v>30</v>
      </c>
      <c r="F1887" s="11" t="s">
        <v>63</v>
      </c>
      <c r="G1887" s="3">
        <v>1155.6500000000001</v>
      </c>
      <c r="H1887" s="3">
        <v>818.59</v>
      </c>
      <c r="I1887" s="12">
        <v>1</v>
      </c>
      <c r="J1887" s="9" t="s">
        <v>3161</v>
      </c>
      <c r="K1887" s="9" t="s">
        <v>49</v>
      </c>
      <c r="L1887" s="13">
        <v>0</v>
      </c>
      <c r="M1887" s="9" t="s">
        <v>34</v>
      </c>
    </row>
    <row r="1888" spans="1:13" ht="20.25" customHeight="1" x14ac:dyDescent="0.25">
      <c r="A1888" s="9" t="s">
        <v>3162</v>
      </c>
      <c r="B1888" s="10">
        <v>46191</v>
      </c>
      <c r="C1888" s="9" t="s">
        <v>54</v>
      </c>
      <c r="D1888" s="9" t="s">
        <v>42</v>
      </c>
      <c r="E1888" s="11" t="s">
        <v>30</v>
      </c>
      <c r="F1888" s="11" t="s">
        <v>31</v>
      </c>
      <c r="G1888" s="3">
        <v>1877.93</v>
      </c>
      <c r="H1888" s="3">
        <v>1300.1099999999999</v>
      </c>
      <c r="I1888" s="12">
        <v>3</v>
      </c>
      <c r="J1888" s="9" t="s">
        <v>2072</v>
      </c>
      <c r="K1888" s="9" t="s">
        <v>49</v>
      </c>
      <c r="L1888" s="13">
        <v>0</v>
      </c>
      <c r="M1888" s="9" t="s">
        <v>34</v>
      </c>
    </row>
    <row r="1889" spans="1:13" ht="20.25" customHeight="1" x14ac:dyDescent="0.25">
      <c r="A1889" s="9" t="s">
        <v>3163</v>
      </c>
      <c r="B1889" s="10">
        <v>46191</v>
      </c>
      <c r="C1889" s="9" t="s">
        <v>36</v>
      </c>
      <c r="D1889" s="9" t="s">
        <v>29</v>
      </c>
      <c r="E1889" s="11" t="s">
        <v>43</v>
      </c>
      <c r="F1889" s="11" t="s">
        <v>90</v>
      </c>
      <c r="G1889" s="3">
        <v>144.46</v>
      </c>
      <c r="H1889" s="3">
        <v>86.67</v>
      </c>
      <c r="I1889" s="12">
        <v>1</v>
      </c>
      <c r="J1889" s="9" t="s">
        <v>970</v>
      </c>
      <c r="K1889" s="9" t="s">
        <v>49</v>
      </c>
      <c r="L1889" s="13">
        <v>0</v>
      </c>
      <c r="M1889" s="9" t="s">
        <v>34</v>
      </c>
    </row>
    <row r="1890" spans="1:13" ht="20.25" customHeight="1" x14ac:dyDescent="0.25">
      <c r="A1890" s="9" t="s">
        <v>3164</v>
      </c>
      <c r="B1890" s="10">
        <v>46192</v>
      </c>
      <c r="C1890" s="9" t="s">
        <v>36</v>
      </c>
      <c r="D1890" s="9" t="s">
        <v>42</v>
      </c>
      <c r="E1890" s="11" t="s">
        <v>30</v>
      </c>
      <c r="F1890" s="11" t="s">
        <v>63</v>
      </c>
      <c r="G1890" s="3">
        <v>1155.6500000000001</v>
      </c>
      <c r="H1890" s="3">
        <v>818.59</v>
      </c>
      <c r="I1890" s="12">
        <v>1</v>
      </c>
      <c r="J1890" s="9" t="s">
        <v>2990</v>
      </c>
      <c r="K1890" s="9" t="s">
        <v>33</v>
      </c>
      <c r="L1890" s="13">
        <v>1</v>
      </c>
      <c r="M1890" s="9" t="s">
        <v>34</v>
      </c>
    </row>
    <row r="1891" spans="1:13" ht="20.25" customHeight="1" x14ac:dyDescent="0.25">
      <c r="A1891" s="9" t="s">
        <v>3165</v>
      </c>
      <c r="B1891" s="10">
        <v>46192</v>
      </c>
      <c r="C1891" s="9" t="s">
        <v>41</v>
      </c>
      <c r="D1891" s="9" t="s">
        <v>42</v>
      </c>
      <c r="E1891" s="11" t="s">
        <v>43</v>
      </c>
      <c r="F1891" s="11" t="s">
        <v>44</v>
      </c>
      <c r="G1891" s="3">
        <v>43.34</v>
      </c>
      <c r="H1891" s="3">
        <v>19.260000000000002</v>
      </c>
      <c r="I1891" s="12">
        <v>1</v>
      </c>
      <c r="J1891" s="9" t="s">
        <v>2048</v>
      </c>
      <c r="K1891" s="9" t="s">
        <v>33</v>
      </c>
      <c r="L1891" s="13">
        <v>1</v>
      </c>
      <c r="M1891" s="9" t="s">
        <v>34</v>
      </c>
    </row>
    <row r="1892" spans="1:13" ht="20.25" customHeight="1" x14ac:dyDescent="0.25">
      <c r="A1892" s="9" t="s">
        <v>3166</v>
      </c>
      <c r="B1892" s="10">
        <v>46192</v>
      </c>
      <c r="C1892" s="9" t="s">
        <v>36</v>
      </c>
      <c r="D1892" s="9" t="s">
        <v>51</v>
      </c>
      <c r="E1892" s="11" t="s">
        <v>30</v>
      </c>
      <c r="F1892" s="11" t="s">
        <v>63</v>
      </c>
      <c r="G1892" s="3">
        <v>1155.6500000000001</v>
      </c>
      <c r="H1892" s="3">
        <v>818.59</v>
      </c>
      <c r="I1892" s="12">
        <v>1</v>
      </c>
      <c r="J1892" s="9" t="s">
        <v>3167</v>
      </c>
      <c r="K1892" s="9" t="s">
        <v>33</v>
      </c>
      <c r="L1892" s="13">
        <v>1</v>
      </c>
      <c r="M1892" s="9" t="s">
        <v>34</v>
      </c>
    </row>
    <row r="1893" spans="1:13" ht="20.25" customHeight="1" x14ac:dyDescent="0.25">
      <c r="A1893" s="9" t="s">
        <v>3168</v>
      </c>
      <c r="B1893" s="10">
        <v>46193</v>
      </c>
      <c r="C1893" s="9" t="s">
        <v>71</v>
      </c>
      <c r="D1893" s="9" t="s">
        <v>42</v>
      </c>
      <c r="E1893" s="11" t="s">
        <v>37</v>
      </c>
      <c r="F1893" s="11" t="s">
        <v>38</v>
      </c>
      <c r="G1893" s="3">
        <v>115.57</v>
      </c>
      <c r="H1893" s="3">
        <v>67.41</v>
      </c>
      <c r="I1893" s="12">
        <v>1</v>
      </c>
      <c r="J1893" s="9" t="s">
        <v>3169</v>
      </c>
      <c r="K1893" s="9" t="s">
        <v>33</v>
      </c>
      <c r="L1893" s="13">
        <v>1</v>
      </c>
      <c r="M1893" s="9" t="s">
        <v>34</v>
      </c>
    </row>
    <row r="1894" spans="1:13" ht="20.25" customHeight="1" x14ac:dyDescent="0.25">
      <c r="A1894" s="9" t="s">
        <v>3170</v>
      </c>
      <c r="B1894" s="10">
        <v>46193</v>
      </c>
      <c r="C1894" s="9" t="s">
        <v>28</v>
      </c>
      <c r="D1894" s="9" t="s">
        <v>29</v>
      </c>
      <c r="E1894" s="11" t="s">
        <v>58</v>
      </c>
      <c r="F1894" s="11" t="s">
        <v>87</v>
      </c>
      <c r="G1894" s="3">
        <v>173.35</v>
      </c>
      <c r="H1894" s="3">
        <v>105.93</v>
      </c>
      <c r="I1894" s="12">
        <v>1</v>
      </c>
      <c r="J1894" s="9" t="s">
        <v>739</v>
      </c>
      <c r="K1894" s="9" t="s">
        <v>49</v>
      </c>
      <c r="L1894" s="13">
        <v>0</v>
      </c>
      <c r="M1894" s="9" t="s">
        <v>34</v>
      </c>
    </row>
    <row r="1895" spans="1:13" ht="20.25" customHeight="1" x14ac:dyDescent="0.25">
      <c r="A1895" s="9" t="s">
        <v>3171</v>
      </c>
      <c r="B1895" s="10">
        <v>46193</v>
      </c>
      <c r="C1895" s="9" t="s">
        <v>54</v>
      </c>
      <c r="D1895" s="9" t="s">
        <v>29</v>
      </c>
      <c r="E1895" s="11" t="s">
        <v>37</v>
      </c>
      <c r="F1895" s="11" t="s">
        <v>72</v>
      </c>
      <c r="G1895" s="3">
        <v>211.87</v>
      </c>
      <c r="H1895" s="3">
        <v>125.2</v>
      </c>
      <c r="I1895" s="12">
        <v>1</v>
      </c>
      <c r="J1895" s="9" t="s">
        <v>219</v>
      </c>
      <c r="K1895" s="9" t="s">
        <v>33</v>
      </c>
      <c r="L1895" s="13">
        <v>1</v>
      </c>
      <c r="M1895" s="9" t="s">
        <v>34</v>
      </c>
    </row>
    <row r="1896" spans="1:13" ht="20.25" customHeight="1" x14ac:dyDescent="0.25">
      <c r="A1896" s="9" t="s">
        <v>3172</v>
      </c>
      <c r="B1896" s="10">
        <v>46194</v>
      </c>
      <c r="C1896" s="9" t="s">
        <v>62</v>
      </c>
      <c r="D1896" s="9" t="s">
        <v>51</v>
      </c>
      <c r="E1896" s="11" t="s">
        <v>37</v>
      </c>
      <c r="F1896" s="11" t="s">
        <v>72</v>
      </c>
      <c r="G1896" s="3">
        <v>423.74</v>
      </c>
      <c r="H1896" s="3">
        <v>250.39</v>
      </c>
      <c r="I1896" s="12">
        <v>2</v>
      </c>
      <c r="J1896" s="9" t="s">
        <v>3173</v>
      </c>
      <c r="K1896" s="9" t="s">
        <v>49</v>
      </c>
      <c r="L1896" s="13">
        <v>0</v>
      </c>
      <c r="M1896" s="9" t="s">
        <v>34</v>
      </c>
    </row>
    <row r="1897" spans="1:13" ht="20.25" customHeight="1" x14ac:dyDescent="0.25">
      <c r="A1897" s="9" t="s">
        <v>3174</v>
      </c>
      <c r="B1897" s="10">
        <v>46194</v>
      </c>
      <c r="C1897" s="9" t="s">
        <v>71</v>
      </c>
      <c r="D1897" s="9" t="s">
        <v>29</v>
      </c>
      <c r="E1897" s="11" t="s">
        <v>58</v>
      </c>
      <c r="F1897" s="11" t="s">
        <v>87</v>
      </c>
      <c r="G1897" s="3">
        <v>173.35</v>
      </c>
      <c r="H1897" s="3">
        <v>105.93</v>
      </c>
      <c r="I1897" s="12">
        <v>1</v>
      </c>
      <c r="J1897" s="9" t="s">
        <v>3175</v>
      </c>
      <c r="K1897" s="9" t="s">
        <v>49</v>
      </c>
      <c r="L1897" s="13">
        <v>0</v>
      </c>
      <c r="M1897" s="9" t="s">
        <v>34</v>
      </c>
    </row>
    <row r="1898" spans="1:13" ht="20.25" customHeight="1" x14ac:dyDescent="0.25">
      <c r="A1898" s="9" t="s">
        <v>3176</v>
      </c>
      <c r="B1898" s="10">
        <v>46194</v>
      </c>
      <c r="C1898" s="9" t="s">
        <v>62</v>
      </c>
      <c r="D1898" s="9" t="s">
        <v>42</v>
      </c>
      <c r="E1898" s="11" t="s">
        <v>30</v>
      </c>
      <c r="F1898" s="11" t="s">
        <v>63</v>
      </c>
      <c r="G1898" s="3">
        <v>1155.6500000000001</v>
      </c>
      <c r="H1898" s="3">
        <v>818.59</v>
      </c>
      <c r="I1898" s="12">
        <v>1</v>
      </c>
      <c r="J1898" s="9" t="s">
        <v>1856</v>
      </c>
      <c r="K1898" s="9" t="s">
        <v>49</v>
      </c>
      <c r="L1898" s="13">
        <v>0</v>
      </c>
      <c r="M1898" s="9" t="s">
        <v>34</v>
      </c>
    </row>
    <row r="1899" spans="1:13" ht="20.25" customHeight="1" x14ac:dyDescent="0.25">
      <c r="A1899" s="9" t="s">
        <v>3177</v>
      </c>
      <c r="B1899" s="10">
        <v>46194</v>
      </c>
      <c r="C1899" s="9" t="s">
        <v>28</v>
      </c>
      <c r="D1899" s="9" t="s">
        <v>29</v>
      </c>
      <c r="E1899" s="11" t="s">
        <v>30</v>
      </c>
      <c r="F1899" s="11" t="s">
        <v>63</v>
      </c>
      <c r="G1899" s="3">
        <v>-1155.6500000000001</v>
      </c>
      <c r="H1899" s="3">
        <v>-818.59</v>
      </c>
      <c r="I1899" s="12">
        <v>-1</v>
      </c>
      <c r="J1899" s="9" t="s">
        <v>3055</v>
      </c>
      <c r="K1899" s="9" t="s">
        <v>33</v>
      </c>
      <c r="L1899" s="13">
        <v>1</v>
      </c>
      <c r="M1899" s="9" t="s">
        <v>76</v>
      </c>
    </row>
    <row r="1900" spans="1:13" ht="20.25" customHeight="1" x14ac:dyDescent="0.25">
      <c r="A1900" s="9" t="s">
        <v>3178</v>
      </c>
      <c r="B1900" s="10">
        <v>46195</v>
      </c>
      <c r="C1900" s="9" t="s">
        <v>36</v>
      </c>
      <c r="D1900" s="9" t="s">
        <v>51</v>
      </c>
      <c r="E1900" s="11" t="s">
        <v>37</v>
      </c>
      <c r="F1900" s="11" t="s">
        <v>72</v>
      </c>
      <c r="G1900" s="3">
        <v>635.61</v>
      </c>
      <c r="H1900" s="3">
        <v>375.59</v>
      </c>
      <c r="I1900" s="12">
        <v>3</v>
      </c>
      <c r="J1900" s="9" t="s">
        <v>280</v>
      </c>
      <c r="K1900" s="9" t="s">
        <v>49</v>
      </c>
      <c r="L1900" s="13">
        <v>0</v>
      </c>
      <c r="M1900" s="9" t="s">
        <v>34</v>
      </c>
    </row>
    <row r="1901" spans="1:13" ht="20.25" customHeight="1" x14ac:dyDescent="0.25">
      <c r="A1901" s="9" t="s">
        <v>3179</v>
      </c>
      <c r="B1901" s="10">
        <v>46196</v>
      </c>
      <c r="C1901" s="9" t="s">
        <v>71</v>
      </c>
      <c r="D1901" s="9" t="s">
        <v>51</v>
      </c>
      <c r="E1901" s="11" t="s">
        <v>58</v>
      </c>
      <c r="F1901" s="11" t="s">
        <v>87</v>
      </c>
      <c r="G1901" s="3">
        <v>520.04</v>
      </c>
      <c r="H1901" s="3">
        <v>317.8</v>
      </c>
      <c r="I1901" s="12">
        <v>3</v>
      </c>
      <c r="J1901" s="9" t="s">
        <v>1258</v>
      </c>
      <c r="K1901" s="9" t="s">
        <v>49</v>
      </c>
      <c r="L1901" s="13">
        <v>0</v>
      </c>
      <c r="M1901" s="9" t="s">
        <v>34</v>
      </c>
    </row>
    <row r="1902" spans="1:13" ht="20.25" customHeight="1" x14ac:dyDescent="0.25">
      <c r="A1902" s="9" t="s">
        <v>3180</v>
      </c>
      <c r="B1902" s="10">
        <v>46196</v>
      </c>
      <c r="C1902" s="9" t="s">
        <v>71</v>
      </c>
      <c r="D1902" s="9" t="s">
        <v>51</v>
      </c>
      <c r="E1902" s="11" t="s">
        <v>37</v>
      </c>
      <c r="F1902" s="11" t="s">
        <v>72</v>
      </c>
      <c r="G1902" s="3">
        <v>423.74</v>
      </c>
      <c r="H1902" s="3">
        <v>250.39</v>
      </c>
      <c r="I1902" s="12">
        <v>2</v>
      </c>
      <c r="J1902" s="9" t="s">
        <v>2577</v>
      </c>
      <c r="K1902" s="9" t="s">
        <v>33</v>
      </c>
      <c r="L1902" s="13">
        <v>1</v>
      </c>
      <c r="M1902" s="9" t="s">
        <v>34</v>
      </c>
    </row>
    <row r="1903" spans="1:13" ht="20.25" customHeight="1" x14ac:dyDescent="0.25">
      <c r="A1903" s="9" t="s">
        <v>3181</v>
      </c>
      <c r="B1903" s="10">
        <v>46196</v>
      </c>
      <c r="C1903" s="9" t="s">
        <v>36</v>
      </c>
      <c r="D1903" s="9" t="s">
        <v>29</v>
      </c>
      <c r="E1903" s="11" t="s">
        <v>58</v>
      </c>
      <c r="F1903" s="11" t="s">
        <v>87</v>
      </c>
      <c r="G1903" s="3">
        <v>520.04</v>
      </c>
      <c r="H1903" s="3">
        <v>317.8</v>
      </c>
      <c r="I1903" s="12">
        <v>3</v>
      </c>
      <c r="J1903" s="9" t="s">
        <v>3182</v>
      </c>
      <c r="K1903" s="9" t="s">
        <v>49</v>
      </c>
      <c r="L1903" s="13">
        <v>0</v>
      </c>
      <c r="M1903" s="9" t="s">
        <v>34</v>
      </c>
    </row>
    <row r="1904" spans="1:13" ht="20.25" customHeight="1" x14ac:dyDescent="0.25">
      <c r="A1904" s="9" t="s">
        <v>3183</v>
      </c>
      <c r="B1904" s="10">
        <v>46197</v>
      </c>
      <c r="C1904" s="9" t="s">
        <v>36</v>
      </c>
      <c r="D1904" s="9" t="s">
        <v>29</v>
      </c>
      <c r="E1904" s="11" t="s">
        <v>58</v>
      </c>
      <c r="F1904" s="11" t="s">
        <v>87</v>
      </c>
      <c r="G1904" s="3">
        <v>173.35</v>
      </c>
      <c r="H1904" s="3">
        <v>105.93</v>
      </c>
      <c r="I1904" s="12">
        <v>1</v>
      </c>
      <c r="J1904" s="9" t="s">
        <v>3184</v>
      </c>
      <c r="K1904" s="9" t="s">
        <v>33</v>
      </c>
      <c r="L1904" s="13">
        <v>1</v>
      </c>
      <c r="M1904" s="9" t="s">
        <v>34</v>
      </c>
    </row>
    <row r="1905" spans="1:13" ht="20.25" customHeight="1" x14ac:dyDescent="0.25">
      <c r="A1905" s="9" t="s">
        <v>3185</v>
      </c>
      <c r="B1905" s="10">
        <v>46197</v>
      </c>
      <c r="C1905" s="9" t="s">
        <v>28</v>
      </c>
      <c r="D1905" s="9" t="s">
        <v>42</v>
      </c>
      <c r="E1905" s="11" t="s">
        <v>58</v>
      </c>
      <c r="F1905" s="11" t="s">
        <v>68</v>
      </c>
      <c r="G1905" s="3">
        <v>337.06</v>
      </c>
      <c r="H1905" s="3">
        <v>211.87</v>
      </c>
      <c r="I1905" s="12">
        <v>1</v>
      </c>
      <c r="J1905" s="9" t="s">
        <v>3059</v>
      </c>
      <c r="K1905" s="9" t="s">
        <v>49</v>
      </c>
      <c r="L1905" s="13">
        <v>0</v>
      </c>
      <c r="M1905" s="9" t="s">
        <v>34</v>
      </c>
    </row>
    <row r="1906" spans="1:13" ht="20.25" customHeight="1" x14ac:dyDescent="0.25">
      <c r="A1906" s="9" t="s">
        <v>3186</v>
      </c>
      <c r="B1906" s="10">
        <v>46197</v>
      </c>
      <c r="C1906" s="9" t="s">
        <v>36</v>
      </c>
      <c r="D1906" s="9" t="s">
        <v>29</v>
      </c>
      <c r="E1906" s="11" t="s">
        <v>30</v>
      </c>
      <c r="F1906" s="11" t="s">
        <v>63</v>
      </c>
      <c r="G1906" s="3">
        <v>2311.3000000000002</v>
      </c>
      <c r="H1906" s="3">
        <v>1637.17</v>
      </c>
      <c r="I1906" s="12">
        <v>2</v>
      </c>
      <c r="J1906" s="9" t="s">
        <v>2315</v>
      </c>
      <c r="K1906" s="9" t="s">
        <v>49</v>
      </c>
      <c r="L1906" s="13">
        <v>0</v>
      </c>
      <c r="M1906" s="9" t="s">
        <v>34</v>
      </c>
    </row>
    <row r="1907" spans="1:13" ht="20.25" customHeight="1" x14ac:dyDescent="0.25">
      <c r="A1907" s="9" t="s">
        <v>3187</v>
      </c>
      <c r="B1907" s="10">
        <v>46198</v>
      </c>
      <c r="C1907" s="9" t="s">
        <v>28</v>
      </c>
      <c r="D1907" s="9" t="s">
        <v>42</v>
      </c>
      <c r="E1907" s="11" t="s">
        <v>58</v>
      </c>
      <c r="F1907" s="11" t="s">
        <v>68</v>
      </c>
      <c r="G1907" s="3">
        <v>674.13</v>
      </c>
      <c r="H1907" s="3">
        <v>423.74</v>
      </c>
      <c r="I1907" s="12">
        <v>2</v>
      </c>
      <c r="J1907" s="9" t="s">
        <v>2987</v>
      </c>
      <c r="K1907" s="9" t="s">
        <v>33</v>
      </c>
      <c r="L1907" s="13">
        <v>1</v>
      </c>
      <c r="M1907" s="9" t="s">
        <v>34</v>
      </c>
    </row>
    <row r="1908" spans="1:13" ht="20.25" customHeight="1" x14ac:dyDescent="0.25">
      <c r="A1908" s="9" t="s">
        <v>3188</v>
      </c>
      <c r="B1908" s="10">
        <v>46199</v>
      </c>
      <c r="C1908" s="9" t="s">
        <v>41</v>
      </c>
      <c r="D1908" s="9" t="s">
        <v>51</v>
      </c>
      <c r="E1908" s="11" t="s">
        <v>43</v>
      </c>
      <c r="F1908" s="11" t="s">
        <v>44</v>
      </c>
      <c r="G1908" s="3">
        <v>43.34</v>
      </c>
      <c r="H1908" s="3">
        <v>19.260000000000002</v>
      </c>
      <c r="I1908" s="12">
        <v>1</v>
      </c>
      <c r="J1908" s="9" t="s">
        <v>1728</v>
      </c>
      <c r="K1908" s="9" t="s">
        <v>33</v>
      </c>
      <c r="L1908" s="13">
        <v>1</v>
      </c>
      <c r="M1908" s="9" t="s">
        <v>34</v>
      </c>
    </row>
    <row r="1909" spans="1:13" ht="20.25" customHeight="1" x14ac:dyDescent="0.25">
      <c r="A1909" s="9" t="s">
        <v>3189</v>
      </c>
      <c r="B1909" s="10">
        <v>46199</v>
      </c>
      <c r="C1909" s="9" t="s">
        <v>28</v>
      </c>
      <c r="D1909" s="9" t="s">
        <v>51</v>
      </c>
      <c r="E1909" s="11" t="s">
        <v>43</v>
      </c>
      <c r="F1909" s="11" t="s">
        <v>90</v>
      </c>
      <c r="G1909" s="3">
        <v>144.46</v>
      </c>
      <c r="H1909" s="3">
        <v>86.67</v>
      </c>
      <c r="I1909" s="12">
        <v>1</v>
      </c>
      <c r="J1909" s="9" t="s">
        <v>60</v>
      </c>
      <c r="K1909" s="9" t="s">
        <v>33</v>
      </c>
      <c r="L1909" s="13">
        <v>1</v>
      </c>
      <c r="M1909" s="9" t="s">
        <v>34</v>
      </c>
    </row>
    <row r="1910" spans="1:13" ht="20.25" customHeight="1" x14ac:dyDescent="0.25">
      <c r="A1910" s="9" t="s">
        <v>3190</v>
      </c>
      <c r="B1910" s="10">
        <v>46199</v>
      </c>
      <c r="C1910" s="9" t="s">
        <v>28</v>
      </c>
      <c r="D1910" s="9" t="s">
        <v>51</v>
      </c>
      <c r="E1910" s="11" t="s">
        <v>58</v>
      </c>
      <c r="F1910" s="11" t="s">
        <v>59</v>
      </c>
      <c r="G1910" s="3">
        <v>722.28</v>
      </c>
      <c r="H1910" s="3">
        <v>433.37</v>
      </c>
      <c r="I1910" s="12">
        <v>5</v>
      </c>
      <c r="J1910" s="9" t="s">
        <v>2058</v>
      </c>
      <c r="K1910" s="9" t="s">
        <v>49</v>
      </c>
      <c r="L1910" s="13">
        <v>0</v>
      </c>
      <c r="M1910" s="9" t="s">
        <v>34</v>
      </c>
    </row>
    <row r="1911" spans="1:13" ht="20.25" customHeight="1" x14ac:dyDescent="0.25">
      <c r="A1911" s="9" t="s">
        <v>3191</v>
      </c>
      <c r="B1911" s="10">
        <v>46200</v>
      </c>
      <c r="C1911" s="9" t="s">
        <v>71</v>
      </c>
      <c r="D1911" s="9" t="s">
        <v>29</v>
      </c>
      <c r="E1911" s="11" t="s">
        <v>37</v>
      </c>
      <c r="F1911" s="11" t="s">
        <v>55</v>
      </c>
      <c r="G1911" s="3">
        <v>173.35</v>
      </c>
      <c r="H1911" s="3">
        <v>105.93</v>
      </c>
      <c r="I1911" s="12">
        <v>2</v>
      </c>
      <c r="J1911" s="9" t="s">
        <v>2032</v>
      </c>
      <c r="K1911" s="9" t="s">
        <v>49</v>
      </c>
      <c r="L1911" s="13">
        <v>0</v>
      </c>
      <c r="M1911" s="9" t="s">
        <v>34</v>
      </c>
    </row>
    <row r="1912" spans="1:13" ht="20.25" customHeight="1" x14ac:dyDescent="0.25">
      <c r="A1912" s="9" t="s">
        <v>3192</v>
      </c>
      <c r="B1912" s="10">
        <v>46200</v>
      </c>
      <c r="C1912" s="9" t="s">
        <v>71</v>
      </c>
      <c r="D1912" s="9" t="s">
        <v>51</v>
      </c>
      <c r="E1912" s="11" t="s">
        <v>43</v>
      </c>
      <c r="F1912" s="11" t="s">
        <v>44</v>
      </c>
      <c r="G1912" s="3">
        <v>43.34</v>
      </c>
      <c r="H1912" s="3">
        <v>19.260000000000002</v>
      </c>
      <c r="I1912" s="12">
        <v>1</v>
      </c>
      <c r="J1912" s="9" t="s">
        <v>3193</v>
      </c>
      <c r="K1912" s="9" t="s">
        <v>49</v>
      </c>
      <c r="L1912" s="13">
        <v>0</v>
      </c>
      <c r="M1912" s="9" t="s">
        <v>34</v>
      </c>
    </row>
    <row r="1913" spans="1:13" ht="20.25" customHeight="1" x14ac:dyDescent="0.25">
      <c r="A1913" s="9" t="s">
        <v>3194</v>
      </c>
      <c r="B1913" s="10">
        <v>46201</v>
      </c>
      <c r="C1913" s="9" t="s">
        <v>54</v>
      </c>
      <c r="D1913" s="9" t="s">
        <v>42</v>
      </c>
      <c r="E1913" s="11" t="s">
        <v>58</v>
      </c>
      <c r="F1913" s="11" t="s">
        <v>68</v>
      </c>
      <c r="G1913" s="3">
        <v>674.13</v>
      </c>
      <c r="H1913" s="3">
        <v>423.74</v>
      </c>
      <c r="I1913" s="12">
        <v>2</v>
      </c>
      <c r="J1913" s="9" t="s">
        <v>2037</v>
      </c>
      <c r="K1913" s="9" t="s">
        <v>49</v>
      </c>
      <c r="L1913" s="13">
        <v>0</v>
      </c>
      <c r="M1913" s="9" t="s">
        <v>34</v>
      </c>
    </row>
    <row r="1914" spans="1:13" ht="20.25" customHeight="1" x14ac:dyDescent="0.25">
      <c r="A1914" s="9" t="s">
        <v>3195</v>
      </c>
      <c r="B1914" s="10">
        <v>46201</v>
      </c>
      <c r="C1914" s="9" t="s">
        <v>71</v>
      </c>
      <c r="D1914" s="9" t="s">
        <v>29</v>
      </c>
      <c r="E1914" s="11" t="s">
        <v>30</v>
      </c>
      <c r="F1914" s="11" t="s">
        <v>63</v>
      </c>
      <c r="G1914" s="3">
        <v>1155.6500000000001</v>
      </c>
      <c r="H1914" s="3">
        <v>818.59</v>
      </c>
      <c r="I1914" s="12">
        <v>1</v>
      </c>
      <c r="J1914" s="9" t="s">
        <v>1582</v>
      </c>
      <c r="K1914" s="9" t="s">
        <v>49</v>
      </c>
      <c r="L1914" s="13">
        <v>0</v>
      </c>
      <c r="M1914" s="9" t="s">
        <v>34</v>
      </c>
    </row>
    <row r="1915" spans="1:13" ht="20.25" customHeight="1" x14ac:dyDescent="0.25">
      <c r="A1915" s="9" t="s">
        <v>3196</v>
      </c>
      <c r="B1915" s="10">
        <v>46202</v>
      </c>
      <c r="C1915" s="9" t="s">
        <v>36</v>
      </c>
      <c r="D1915" s="9" t="s">
        <v>42</v>
      </c>
      <c r="E1915" s="11" t="s">
        <v>30</v>
      </c>
      <c r="F1915" s="11" t="s">
        <v>80</v>
      </c>
      <c r="G1915" s="3">
        <v>818.59</v>
      </c>
      <c r="H1915" s="3">
        <v>577.83000000000004</v>
      </c>
      <c r="I1915" s="12">
        <v>1</v>
      </c>
      <c r="J1915" s="9" t="s">
        <v>2972</v>
      </c>
      <c r="K1915" s="9" t="s">
        <v>49</v>
      </c>
      <c r="L1915" s="13">
        <v>0</v>
      </c>
      <c r="M1915" s="9" t="s">
        <v>34</v>
      </c>
    </row>
    <row r="1916" spans="1:13" ht="20.25" customHeight="1" x14ac:dyDescent="0.25">
      <c r="A1916" s="9" t="s">
        <v>3197</v>
      </c>
      <c r="B1916" s="10">
        <v>46202</v>
      </c>
      <c r="C1916" s="9" t="s">
        <v>54</v>
      </c>
      <c r="D1916" s="9" t="s">
        <v>29</v>
      </c>
      <c r="E1916" s="11" t="s">
        <v>58</v>
      </c>
      <c r="F1916" s="11" t="s">
        <v>59</v>
      </c>
      <c r="G1916" s="3">
        <v>144.46</v>
      </c>
      <c r="H1916" s="3">
        <v>86.67</v>
      </c>
      <c r="I1916" s="12">
        <v>1</v>
      </c>
      <c r="J1916" s="9" t="s">
        <v>3198</v>
      </c>
      <c r="K1916" s="9" t="s">
        <v>33</v>
      </c>
      <c r="L1916" s="13">
        <v>1</v>
      </c>
      <c r="M1916" s="9" t="s">
        <v>34</v>
      </c>
    </row>
    <row r="1917" spans="1:13" ht="20.25" customHeight="1" x14ac:dyDescent="0.25">
      <c r="A1917" s="9" t="s">
        <v>3199</v>
      </c>
      <c r="B1917" s="10">
        <v>46202</v>
      </c>
      <c r="C1917" s="9" t="s">
        <v>71</v>
      </c>
      <c r="D1917" s="9" t="s">
        <v>29</v>
      </c>
      <c r="E1917" s="11" t="s">
        <v>43</v>
      </c>
      <c r="F1917" s="11" t="s">
        <v>44</v>
      </c>
      <c r="G1917" s="3">
        <v>43.34</v>
      </c>
      <c r="H1917" s="3">
        <v>19.260000000000002</v>
      </c>
      <c r="I1917" s="12">
        <v>1</v>
      </c>
      <c r="J1917" s="9" t="s">
        <v>1449</v>
      </c>
      <c r="K1917" s="9" t="s">
        <v>33</v>
      </c>
      <c r="L1917" s="13">
        <v>1</v>
      </c>
      <c r="M1917" s="9" t="s">
        <v>34</v>
      </c>
    </row>
    <row r="1918" spans="1:13" ht="20.25" customHeight="1" x14ac:dyDescent="0.25">
      <c r="A1918" s="9" t="s">
        <v>3200</v>
      </c>
      <c r="B1918" s="10">
        <v>46203</v>
      </c>
      <c r="C1918" s="9" t="s">
        <v>28</v>
      </c>
      <c r="D1918" s="9" t="s">
        <v>29</v>
      </c>
      <c r="E1918" s="11" t="s">
        <v>37</v>
      </c>
      <c r="F1918" s="11" t="s">
        <v>38</v>
      </c>
      <c r="G1918" s="3">
        <v>115.57</v>
      </c>
      <c r="H1918" s="3">
        <v>67.41</v>
      </c>
      <c r="I1918" s="12">
        <v>1</v>
      </c>
      <c r="J1918" s="9" t="s">
        <v>3201</v>
      </c>
      <c r="K1918" s="9" t="s">
        <v>49</v>
      </c>
      <c r="L1918" s="13">
        <v>0</v>
      </c>
      <c r="M1918" s="9" t="s">
        <v>34</v>
      </c>
    </row>
    <row r="1919" spans="1:13" ht="20.25" customHeight="1" x14ac:dyDescent="0.25">
      <c r="A1919" s="9" t="s">
        <v>3202</v>
      </c>
      <c r="B1919" s="10">
        <v>46203</v>
      </c>
      <c r="C1919" s="9" t="s">
        <v>71</v>
      </c>
      <c r="D1919" s="9" t="s">
        <v>42</v>
      </c>
      <c r="E1919" s="11" t="s">
        <v>30</v>
      </c>
      <c r="F1919" s="11" t="s">
        <v>80</v>
      </c>
      <c r="G1919" s="3">
        <v>1637.17</v>
      </c>
      <c r="H1919" s="3">
        <v>1155.6500000000001</v>
      </c>
      <c r="I1919" s="12">
        <v>2</v>
      </c>
      <c r="J1919" s="9" t="s">
        <v>2239</v>
      </c>
      <c r="K1919" s="9" t="s">
        <v>49</v>
      </c>
      <c r="L1919" s="13">
        <v>0</v>
      </c>
      <c r="M1919" s="9" t="s">
        <v>34</v>
      </c>
    </row>
    <row r="1920" spans="1:13" ht="20.25" customHeight="1" x14ac:dyDescent="0.25">
      <c r="A1920" s="9" t="s">
        <v>3203</v>
      </c>
      <c r="B1920" s="10">
        <v>46203</v>
      </c>
      <c r="C1920" s="9" t="s">
        <v>62</v>
      </c>
      <c r="D1920" s="9" t="s">
        <v>29</v>
      </c>
      <c r="E1920" s="11" t="s">
        <v>30</v>
      </c>
      <c r="F1920" s="11" t="s">
        <v>31</v>
      </c>
      <c r="G1920" s="3">
        <v>625.98</v>
      </c>
      <c r="H1920" s="3">
        <v>433.37</v>
      </c>
      <c r="I1920" s="12">
        <v>1</v>
      </c>
      <c r="J1920" s="9" t="s">
        <v>2918</v>
      </c>
      <c r="K1920" s="9" t="s">
        <v>49</v>
      </c>
      <c r="L1920" s="13">
        <v>0</v>
      </c>
      <c r="M1920" s="9" t="s">
        <v>34</v>
      </c>
    </row>
    <row r="1921" spans="1:13" ht="20.25" customHeight="1" x14ac:dyDescent="0.25">
      <c r="A1921" s="9" t="s">
        <v>3204</v>
      </c>
      <c r="B1921" s="10">
        <v>46203</v>
      </c>
      <c r="C1921" s="9" t="s">
        <v>36</v>
      </c>
      <c r="D1921" s="9" t="s">
        <v>42</v>
      </c>
      <c r="E1921" s="11" t="s">
        <v>43</v>
      </c>
      <c r="F1921" s="11" t="s">
        <v>47</v>
      </c>
      <c r="G1921" s="3">
        <v>105.93</v>
      </c>
      <c r="H1921" s="3">
        <v>62.6</v>
      </c>
      <c r="I1921" s="12">
        <v>1</v>
      </c>
      <c r="J1921" s="9" t="s">
        <v>2480</v>
      </c>
      <c r="K1921" s="9" t="s">
        <v>49</v>
      </c>
      <c r="L1921" s="13">
        <v>0</v>
      </c>
      <c r="M1921" s="9" t="s">
        <v>34</v>
      </c>
    </row>
    <row r="1922" spans="1:13" ht="20.25" customHeight="1" x14ac:dyDescent="0.25">
      <c r="A1922" s="9" t="s">
        <v>3205</v>
      </c>
      <c r="B1922" s="10">
        <v>46203</v>
      </c>
      <c r="C1922" s="9" t="s">
        <v>28</v>
      </c>
      <c r="D1922" s="9" t="s">
        <v>42</v>
      </c>
      <c r="E1922" s="11" t="s">
        <v>43</v>
      </c>
      <c r="F1922" s="11" t="s">
        <v>44</v>
      </c>
      <c r="G1922" s="3">
        <v>43.34</v>
      </c>
      <c r="H1922" s="3">
        <v>19.260000000000002</v>
      </c>
      <c r="I1922" s="12">
        <v>1</v>
      </c>
      <c r="J1922" s="9" t="s">
        <v>3206</v>
      </c>
      <c r="K1922" s="9" t="s">
        <v>49</v>
      </c>
      <c r="L1922" s="13">
        <v>0</v>
      </c>
      <c r="M1922" s="9" t="s">
        <v>34</v>
      </c>
    </row>
    <row r="1923" spans="1:13" ht="20.25" customHeight="1" x14ac:dyDescent="0.25">
      <c r="A1923" s="9" t="s">
        <v>3207</v>
      </c>
      <c r="B1923" s="10">
        <v>46204</v>
      </c>
      <c r="C1923" s="9" t="s">
        <v>28</v>
      </c>
      <c r="D1923" s="9" t="s">
        <v>29</v>
      </c>
      <c r="E1923" s="11" t="s">
        <v>37</v>
      </c>
      <c r="F1923" s="11" t="s">
        <v>55</v>
      </c>
      <c r="G1923" s="3">
        <v>86.67</v>
      </c>
      <c r="H1923" s="3">
        <v>52.97</v>
      </c>
      <c r="I1923" s="12">
        <v>1</v>
      </c>
      <c r="J1923" s="9" t="s">
        <v>566</v>
      </c>
      <c r="K1923" s="9" t="s">
        <v>49</v>
      </c>
      <c r="L1923" s="13">
        <v>0</v>
      </c>
      <c r="M1923" s="9" t="s">
        <v>34</v>
      </c>
    </row>
    <row r="1924" spans="1:13" ht="20.25" customHeight="1" x14ac:dyDescent="0.25">
      <c r="A1924" s="9" t="s">
        <v>3208</v>
      </c>
      <c r="B1924" s="10">
        <v>46204</v>
      </c>
      <c r="C1924" s="9" t="s">
        <v>28</v>
      </c>
      <c r="D1924" s="9" t="s">
        <v>29</v>
      </c>
      <c r="E1924" s="11" t="s">
        <v>37</v>
      </c>
      <c r="F1924" s="11" t="s">
        <v>55</v>
      </c>
      <c r="G1924" s="3">
        <v>260.02</v>
      </c>
      <c r="H1924" s="3">
        <v>158.9</v>
      </c>
      <c r="I1924" s="12">
        <v>3</v>
      </c>
      <c r="J1924" s="9" t="s">
        <v>3209</v>
      </c>
      <c r="K1924" s="9" t="s">
        <v>49</v>
      </c>
      <c r="L1924" s="13">
        <v>0</v>
      </c>
      <c r="M1924" s="9" t="s">
        <v>34</v>
      </c>
    </row>
    <row r="1925" spans="1:13" ht="20.25" customHeight="1" x14ac:dyDescent="0.25">
      <c r="A1925" s="9" t="s">
        <v>3210</v>
      </c>
      <c r="B1925" s="10">
        <v>46204</v>
      </c>
      <c r="C1925" s="9" t="s">
        <v>36</v>
      </c>
      <c r="D1925" s="9" t="s">
        <v>51</v>
      </c>
      <c r="E1925" s="11" t="s">
        <v>30</v>
      </c>
      <c r="F1925" s="11" t="s">
        <v>31</v>
      </c>
      <c r="G1925" s="3">
        <v>-1251.95</v>
      </c>
      <c r="H1925" s="3">
        <v>-866.74</v>
      </c>
      <c r="I1925" s="12">
        <v>-2</v>
      </c>
      <c r="J1925" s="9" t="s">
        <v>2346</v>
      </c>
      <c r="K1925" s="9" t="s">
        <v>33</v>
      </c>
      <c r="L1925" s="13">
        <v>1</v>
      </c>
      <c r="M1925" s="9" t="s">
        <v>76</v>
      </c>
    </row>
    <row r="1926" spans="1:13" ht="20.25" customHeight="1" x14ac:dyDescent="0.25">
      <c r="A1926" s="9" t="s">
        <v>3211</v>
      </c>
      <c r="B1926" s="10">
        <v>46205</v>
      </c>
      <c r="C1926" s="9" t="s">
        <v>71</v>
      </c>
      <c r="D1926" s="9" t="s">
        <v>29</v>
      </c>
      <c r="E1926" s="11" t="s">
        <v>43</v>
      </c>
      <c r="F1926" s="11" t="s">
        <v>47</v>
      </c>
      <c r="G1926" s="3">
        <v>423.74</v>
      </c>
      <c r="H1926" s="3">
        <v>250.39</v>
      </c>
      <c r="I1926" s="12">
        <v>4</v>
      </c>
      <c r="J1926" s="9" t="s">
        <v>3212</v>
      </c>
      <c r="K1926" s="9" t="s">
        <v>49</v>
      </c>
      <c r="L1926" s="13">
        <v>0</v>
      </c>
      <c r="M1926" s="9" t="s">
        <v>34</v>
      </c>
    </row>
    <row r="1927" spans="1:13" ht="20.25" customHeight="1" x14ac:dyDescent="0.25">
      <c r="A1927" s="9" t="s">
        <v>3213</v>
      </c>
      <c r="B1927" s="10">
        <v>46205</v>
      </c>
      <c r="C1927" s="9" t="s">
        <v>28</v>
      </c>
      <c r="D1927" s="9" t="s">
        <v>51</v>
      </c>
      <c r="E1927" s="11" t="s">
        <v>43</v>
      </c>
      <c r="F1927" s="11" t="s">
        <v>47</v>
      </c>
      <c r="G1927" s="3">
        <v>529.66999999999996</v>
      </c>
      <c r="H1927" s="3">
        <v>312.99</v>
      </c>
      <c r="I1927" s="12">
        <v>5</v>
      </c>
      <c r="J1927" s="9" t="s">
        <v>3214</v>
      </c>
      <c r="K1927" s="9" t="s">
        <v>49</v>
      </c>
      <c r="L1927" s="13">
        <v>0</v>
      </c>
      <c r="M1927" s="9" t="s">
        <v>34</v>
      </c>
    </row>
    <row r="1928" spans="1:13" ht="20.25" customHeight="1" x14ac:dyDescent="0.25">
      <c r="A1928" s="9" t="s">
        <v>3215</v>
      </c>
      <c r="B1928" s="10">
        <v>46205</v>
      </c>
      <c r="C1928" s="9" t="s">
        <v>62</v>
      </c>
      <c r="D1928" s="9" t="s">
        <v>29</v>
      </c>
      <c r="E1928" s="11" t="s">
        <v>30</v>
      </c>
      <c r="F1928" s="11" t="s">
        <v>80</v>
      </c>
      <c r="G1928" s="3">
        <v>818.59</v>
      </c>
      <c r="H1928" s="3">
        <v>577.83000000000004</v>
      </c>
      <c r="I1928" s="12">
        <v>1</v>
      </c>
      <c r="J1928" s="9" t="s">
        <v>3216</v>
      </c>
      <c r="K1928" s="9" t="s">
        <v>33</v>
      </c>
      <c r="L1928" s="13">
        <v>1</v>
      </c>
      <c r="M1928" s="9" t="s">
        <v>34</v>
      </c>
    </row>
    <row r="1929" spans="1:13" ht="20.25" customHeight="1" x14ac:dyDescent="0.25">
      <c r="A1929" s="9" t="s">
        <v>3217</v>
      </c>
      <c r="B1929" s="10">
        <v>46205</v>
      </c>
      <c r="C1929" s="9" t="s">
        <v>41</v>
      </c>
      <c r="D1929" s="9" t="s">
        <v>29</v>
      </c>
      <c r="E1929" s="11" t="s">
        <v>37</v>
      </c>
      <c r="F1929" s="11" t="s">
        <v>72</v>
      </c>
      <c r="G1929" s="3">
        <v>211.87</v>
      </c>
      <c r="H1929" s="3">
        <v>125.2</v>
      </c>
      <c r="I1929" s="12">
        <v>1</v>
      </c>
      <c r="J1929" s="9" t="s">
        <v>3218</v>
      </c>
      <c r="K1929" s="9" t="s">
        <v>49</v>
      </c>
      <c r="L1929" s="13">
        <v>0</v>
      </c>
      <c r="M1929" s="9" t="s">
        <v>34</v>
      </c>
    </row>
    <row r="1930" spans="1:13" ht="20.25" customHeight="1" x14ac:dyDescent="0.25">
      <c r="A1930" s="9" t="s">
        <v>3219</v>
      </c>
      <c r="B1930" s="10">
        <v>46206</v>
      </c>
      <c r="C1930" s="9" t="s">
        <v>71</v>
      </c>
      <c r="D1930" s="9" t="s">
        <v>51</v>
      </c>
      <c r="E1930" s="11" t="s">
        <v>30</v>
      </c>
      <c r="F1930" s="11" t="s">
        <v>80</v>
      </c>
      <c r="G1930" s="3">
        <v>2455.7600000000002</v>
      </c>
      <c r="H1930" s="3">
        <v>1733.48</v>
      </c>
      <c r="I1930" s="12">
        <v>3</v>
      </c>
      <c r="J1930" s="9" t="s">
        <v>908</v>
      </c>
      <c r="K1930" s="9" t="s">
        <v>49</v>
      </c>
      <c r="L1930" s="13">
        <v>0</v>
      </c>
      <c r="M1930" s="9" t="s">
        <v>34</v>
      </c>
    </row>
    <row r="1931" spans="1:13" ht="20.25" customHeight="1" x14ac:dyDescent="0.25">
      <c r="A1931" s="9" t="s">
        <v>3220</v>
      </c>
      <c r="B1931" s="10">
        <v>46206</v>
      </c>
      <c r="C1931" s="9" t="s">
        <v>54</v>
      </c>
      <c r="D1931" s="9" t="s">
        <v>29</v>
      </c>
      <c r="E1931" s="11" t="s">
        <v>30</v>
      </c>
      <c r="F1931" s="11" t="s">
        <v>31</v>
      </c>
      <c r="G1931" s="3">
        <v>3129.89</v>
      </c>
      <c r="H1931" s="3">
        <v>2166.84</v>
      </c>
      <c r="I1931" s="12">
        <v>5</v>
      </c>
      <c r="J1931" s="9" t="s">
        <v>2046</v>
      </c>
      <c r="K1931" s="9" t="s">
        <v>49</v>
      </c>
      <c r="L1931" s="13">
        <v>0</v>
      </c>
      <c r="M1931" s="9" t="s">
        <v>34</v>
      </c>
    </row>
    <row r="1932" spans="1:13" ht="20.25" customHeight="1" x14ac:dyDescent="0.25">
      <c r="A1932" s="9" t="s">
        <v>3221</v>
      </c>
      <c r="B1932" s="10">
        <v>46206</v>
      </c>
      <c r="C1932" s="9" t="s">
        <v>28</v>
      </c>
      <c r="D1932" s="9" t="s">
        <v>29</v>
      </c>
      <c r="E1932" s="11" t="s">
        <v>30</v>
      </c>
      <c r="F1932" s="11" t="s">
        <v>80</v>
      </c>
      <c r="G1932" s="3">
        <v>1637.17</v>
      </c>
      <c r="H1932" s="3">
        <v>1155.6500000000001</v>
      </c>
      <c r="I1932" s="12">
        <v>2</v>
      </c>
      <c r="J1932" s="9" t="s">
        <v>1487</v>
      </c>
      <c r="K1932" s="9" t="s">
        <v>49</v>
      </c>
      <c r="L1932" s="13">
        <v>0</v>
      </c>
      <c r="M1932" s="9" t="s">
        <v>34</v>
      </c>
    </row>
    <row r="1933" spans="1:13" ht="20.25" customHeight="1" x14ac:dyDescent="0.25">
      <c r="A1933" s="9" t="s">
        <v>3222</v>
      </c>
      <c r="B1933" s="10">
        <v>46206</v>
      </c>
      <c r="C1933" s="9" t="s">
        <v>36</v>
      </c>
      <c r="D1933" s="9" t="s">
        <v>29</v>
      </c>
      <c r="E1933" s="11" t="s">
        <v>30</v>
      </c>
      <c r="F1933" s="11" t="s">
        <v>63</v>
      </c>
      <c r="G1933" s="3">
        <v>2311.3000000000002</v>
      </c>
      <c r="H1933" s="3">
        <v>1637.17</v>
      </c>
      <c r="I1933" s="12">
        <v>2</v>
      </c>
      <c r="J1933" s="9" t="s">
        <v>3223</v>
      </c>
      <c r="K1933" s="9" t="s">
        <v>33</v>
      </c>
      <c r="L1933" s="13">
        <v>1</v>
      </c>
      <c r="M1933" s="9" t="s">
        <v>34</v>
      </c>
    </row>
    <row r="1934" spans="1:13" ht="20.25" customHeight="1" x14ac:dyDescent="0.25">
      <c r="A1934" s="9" t="s">
        <v>3224</v>
      </c>
      <c r="B1934" s="10">
        <v>46207</v>
      </c>
      <c r="C1934" s="9" t="s">
        <v>71</v>
      </c>
      <c r="D1934" s="9" t="s">
        <v>29</v>
      </c>
      <c r="E1934" s="11" t="s">
        <v>58</v>
      </c>
      <c r="F1934" s="11" t="s">
        <v>87</v>
      </c>
      <c r="G1934" s="3">
        <v>346.7</v>
      </c>
      <c r="H1934" s="3">
        <v>211.87</v>
      </c>
      <c r="I1934" s="12">
        <v>2</v>
      </c>
      <c r="J1934" s="9" t="s">
        <v>3099</v>
      </c>
      <c r="K1934" s="9" t="s">
        <v>49</v>
      </c>
      <c r="L1934" s="13">
        <v>0</v>
      </c>
      <c r="M1934" s="9" t="s">
        <v>34</v>
      </c>
    </row>
    <row r="1935" spans="1:13" ht="20.25" customHeight="1" x14ac:dyDescent="0.25">
      <c r="A1935" s="9" t="s">
        <v>3225</v>
      </c>
      <c r="B1935" s="10">
        <v>46207</v>
      </c>
      <c r="C1935" s="9" t="s">
        <v>54</v>
      </c>
      <c r="D1935" s="9" t="s">
        <v>51</v>
      </c>
      <c r="E1935" s="11" t="s">
        <v>58</v>
      </c>
      <c r="F1935" s="11" t="s">
        <v>87</v>
      </c>
      <c r="G1935" s="3">
        <v>173.35</v>
      </c>
      <c r="H1935" s="3">
        <v>105.93</v>
      </c>
      <c r="I1935" s="12">
        <v>1</v>
      </c>
      <c r="J1935" s="9" t="s">
        <v>3226</v>
      </c>
      <c r="K1935" s="9" t="s">
        <v>49</v>
      </c>
      <c r="L1935" s="13">
        <v>0</v>
      </c>
      <c r="M1935" s="9" t="s">
        <v>34</v>
      </c>
    </row>
    <row r="1936" spans="1:13" ht="20.25" customHeight="1" x14ac:dyDescent="0.25">
      <c r="A1936" s="9" t="s">
        <v>3227</v>
      </c>
      <c r="B1936" s="10">
        <v>46208</v>
      </c>
      <c r="C1936" s="9" t="s">
        <v>41</v>
      </c>
      <c r="D1936" s="9" t="s">
        <v>42</v>
      </c>
      <c r="E1936" s="11" t="s">
        <v>58</v>
      </c>
      <c r="F1936" s="11" t="s">
        <v>87</v>
      </c>
      <c r="G1936" s="3">
        <v>173.35</v>
      </c>
      <c r="H1936" s="3">
        <v>105.93</v>
      </c>
      <c r="I1936" s="12">
        <v>1</v>
      </c>
      <c r="J1936" s="9" t="s">
        <v>908</v>
      </c>
      <c r="K1936" s="9" t="s">
        <v>49</v>
      </c>
      <c r="L1936" s="13">
        <v>0</v>
      </c>
      <c r="M1936" s="9" t="s">
        <v>34</v>
      </c>
    </row>
    <row r="1937" spans="1:13" ht="20.25" customHeight="1" x14ac:dyDescent="0.25">
      <c r="A1937" s="9" t="s">
        <v>3228</v>
      </c>
      <c r="B1937" s="10">
        <v>46208</v>
      </c>
      <c r="C1937" s="9" t="s">
        <v>28</v>
      </c>
      <c r="D1937" s="9" t="s">
        <v>29</v>
      </c>
      <c r="E1937" s="11" t="s">
        <v>58</v>
      </c>
      <c r="F1937" s="11" t="s">
        <v>87</v>
      </c>
      <c r="G1937" s="3">
        <v>346.7</v>
      </c>
      <c r="H1937" s="3">
        <v>211.87</v>
      </c>
      <c r="I1937" s="12">
        <v>2</v>
      </c>
      <c r="J1937" s="9" t="s">
        <v>213</v>
      </c>
      <c r="K1937" s="9" t="s">
        <v>49</v>
      </c>
      <c r="L1937" s="13">
        <v>0</v>
      </c>
      <c r="M1937" s="9" t="s">
        <v>34</v>
      </c>
    </row>
    <row r="1938" spans="1:13" ht="20.25" customHeight="1" x14ac:dyDescent="0.25">
      <c r="A1938" s="9" t="s">
        <v>3229</v>
      </c>
      <c r="B1938" s="10">
        <v>46209</v>
      </c>
      <c r="C1938" s="9" t="s">
        <v>62</v>
      </c>
      <c r="D1938" s="9" t="s">
        <v>51</v>
      </c>
      <c r="E1938" s="11" t="s">
        <v>30</v>
      </c>
      <c r="F1938" s="11" t="s">
        <v>63</v>
      </c>
      <c r="G1938" s="3">
        <v>2311.3000000000002</v>
      </c>
      <c r="H1938" s="3">
        <v>1637.17</v>
      </c>
      <c r="I1938" s="12">
        <v>2</v>
      </c>
      <c r="J1938" s="9" t="s">
        <v>1459</v>
      </c>
      <c r="K1938" s="9" t="s">
        <v>49</v>
      </c>
      <c r="L1938" s="13">
        <v>0</v>
      </c>
      <c r="M1938" s="9" t="s">
        <v>34</v>
      </c>
    </row>
    <row r="1939" spans="1:13" ht="20.25" customHeight="1" x14ac:dyDescent="0.25">
      <c r="A1939" s="9" t="s">
        <v>3230</v>
      </c>
      <c r="B1939" s="10">
        <v>46209</v>
      </c>
      <c r="C1939" s="9" t="s">
        <v>28</v>
      </c>
      <c r="D1939" s="9" t="s">
        <v>51</v>
      </c>
      <c r="E1939" s="11" t="s">
        <v>30</v>
      </c>
      <c r="F1939" s="11" t="s">
        <v>63</v>
      </c>
      <c r="G1939" s="3">
        <v>1155.6500000000001</v>
      </c>
      <c r="H1939" s="3">
        <v>818.59</v>
      </c>
      <c r="I1939" s="12">
        <v>1</v>
      </c>
      <c r="J1939" s="9" t="s">
        <v>88</v>
      </c>
      <c r="K1939" s="9" t="s">
        <v>49</v>
      </c>
      <c r="L1939" s="13">
        <v>0</v>
      </c>
      <c r="M1939" s="9" t="s">
        <v>34</v>
      </c>
    </row>
    <row r="1940" spans="1:13" ht="20.25" customHeight="1" x14ac:dyDescent="0.25">
      <c r="A1940" s="9" t="s">
        <v>3231</v>
      </c>
      <c r="B1940" s="10">
        <v>46209</v>
      </c>
      <c r="C1940" s="9" t="s">
        <v>54</v>
      </c>
      <c r="D1940" s="9" t="s">
        <v>29</v>
      </c>
      <c r="E1940" s="11" t="s">
        <v>37</v>
      </c>
      <c r="F1940" s="11" t="s">
        <v>72</v>
      </c>
      <c r="G1940" s="3">
        <v>211.87</v>
      </c>
      <c r="H1940" s="3">
        <v>125.2</v>
      </c>
      <c r="I1940" s="12">
        <v>1</v>
      </c>
      <c r="J1940" s="9" t="s">
        <v>3232</v>
      </c>
      <c r="K1940" s="9" t="s">
        <v>49</v>
      </c>
      <c r="L1940" s="13">
        <v>0</v>
      </c>
      <c r="M1940" s="9" t="s">
        <v>34</v>
      </c>
    </row>
    <row r="1941" spans="1:13" ht="20.25" customHeight="1" x14ac:dyDescent="0.25">
      <c r="A1941" s="9" t="s">
        <v>3233</v>
      </c>
      <c r="B1941" s="10">
        <v>46210</v>
      </c>
      <c r="C1941" s="9" t="s">
        <v>62</v>
      </c>
      <c r="D1941" s="9" t="s">
        <v>29</v>
      </c>
      <c r="E1941" s="11" t="s">
        <v>58</v>
      </c>
      <c r="F1941" s="11" t="s">
        <v>87</v>
      </c>
      <c r="G1941" s="3">
        <v>173.35</v>
      </c>
      <c r="H1941" s="3">
        <v>105.93</v>
      </c>
      <c r="I1941" s="12">
        <v>1</v>
      </c>
      <c r="J1941" s="9" t="s">
        <v>3169</v>
      </c>
      <c r="K1941" s="9" t="s">
        <v>49</v>
      </c>
      <c r="L1941" s="13">
        <v>0</v>
      </c>
      <c r="M1941" s="9" t="s">
        <v>34</v>
      </c>
    </row>
    <row r="1942" spans="1:13" ht="20.25" customHeight="1" x14ac:dyDescent="0.25">
      <c r="A1942" s="9" t="s">
        <v>3234</v>
      </c>
      <c r="B1942" s="10">
        <v>46210</v>
      </c>
      <c r="C1942" s="9" t="s">
        <v>28</v>
      </c>
      <c r="D1942" s="9" t="s">
        <v>42</v>
      </c>
      <c r="E1942" s="11" t="s">
        <v>30</v>
      </c>
      <c r="F1942" s="11" t="s">
        <v>80</v>
      </c>
      <c r="G1942" s="3">
        <v>818.59</v>
      </c>
      <c r="H1942" s="3">
        <v>577.83000000000004</v>
      </c>
      <c r="I1942" s="12">
        <v>1</v>
      </c>
      <c r="J1942" s="9" t="s">
        <v>3235</v>
      </c>
      <c r="K1942" s="9" t="s">
        <v>49</v>
      </c>
      <c r="L1942" s="13">
        <v>0</v>
      </c>
      <c r="M1942" s="9" t="s">
        <v>34</v>
      </c>
    </row>
    <row r="1943" spans="1:13" ht="20.25" customHeight="1" x14ac:dyDescent="0.25">
      <c r="A1943" s="9" t="s">
        <v>3236</v>
      </c>
      <c r="B1943" s="10">
        <v>46211</v>
      </c>
      <c r="C1943" s="9" t="s">
        <v>41</v>
      </c>
      <c r="D1943" s="9" t="s">
        <v>51</v>
      </c>
      <c r="E1943" s="11" t="s">
        <v>43</v>
      </c>
      <c r="F1943" s="11" t="s">
        <v>47</v>
      </c>
      <c r="G1943" s="3">
        <v>317.8</v>
      </c>
      <c r="H1943" s="3">
        <v>187.79</v>
      </c>
      <c r="I1943" s="12">
        <v>3</v>
      </c>
      <c r="J1943" s="9" t="s">
        <v>3237</v>
      </c>
      <c r="K1943" s="9" t="s">
        <v>49</v>
      </c>
      <c r="L1943" s="13">
        <v>0</v>
      </c>
      <c r="M1943" s="9" t="s">
        <v>34</v>
      </c>
    </row>
    <row r="1944" spans="1:13" ht="20.25" customHeight="1" x14ac:dyDescent="0.25">
      <c r="A1944" s="9" t="s">
        <v>3238</v>
      </c>
      <c r="B1944" s="10">
        <v>46211</v>
      </c>
      <c r="C1944" s="9" t="s">
        <v>28</v>
      </c>
      <c r="D1944" s="9" t="s">
        <v>51</v>
      </c>
      <c r="E1944" s="11" t="s">
        <v>37</v>
      </c>
      <c r="F1944" s="11" t="s">
        <v>38</v>
      </c>
      <c r="G1944" s="3">
        <v>-115.57</v>
      </c>
      <c r="H1944" s="3">
        <v>-67.41</v>
      </c>
      <c r="I1944" s="12">
        <v>-1</v>
      </c>
      <c r="J1944" s="9" t="s">
        <v>984</v>
      </c>
      <c r="K1944" s="9" t="s">
        <v>49</v>
      </c>
      <c r="L1944" s="13">
        <v>0</v>
      </c>
      <c r="M1944" s="9" t="s">
        <v>76</v>
      </c>
    </row>
    <row r="1945" spans="1:13" ht="20.25" customHeight="1" x14ac:dyDescent="0.25">
      <c r="A1945" s="9" t="s">
        <v>3239</v>
      </c>
      <c r="B1945" s="10">
        <v>46212</v>
      </c>
      <c r="C1945" s="9" t="s">
        <v>36</v>
      </c>
      <c r="D1945" s="9" t="s">
        <v>51</v>
      </c>
      <c r="E1945" s="11" t="s">
        <v>43</v>
      </c>
      <c r="F1945" s="11" t="s">
        <v>47</v>
      </c>
      <c r="G1945" s="3">
        <v>105.93</v>
      </c>
      <c r="H1945" s="3">
        <v>62.6</v>
      </c>
      <c r="I1945" s="12">
        <v>1</v>
      </c>
      <c r="J1945" s="9" t="s">
        <v>3240</v>
      </c>
      <c r="K1945" s="9" t="s">
        <v>49</v>
      </c>
      <c r="L1945" s="13">
        <v>0</v>
      </c>
      <c r="M1945" s="9" t="s">
        <v>34</v>
      </c>
    </row>
    <row r="1946" spans="1:13" ht="20.25" customHeight="1" x14ac:dyDescent="0.25">
      <c r="A1946" s="9" t="s">
        <v>3241</v>
      </c>
      <c r="B1946" s="10">
        <v>46212</v>
      </c>
      <c r="C1946" s="9" t="s">
        <v>71</v>
      </c>
      <c r="D1946" s="9" t="s">
        <v>29</v>
      </c>
      <c r="E1946" s="11" t="s">
        <v>58</v>
      </c>
      <c r="F1946" s="11" t="s">
        <v>68</v>
      </c>
      <c r="G1946" s="3">
        <v>337.06</v>
      </c>
      <c r="H1946" s="3">
        <v>211.87</v>
      </c>
      <c r="I1946" s="12">
        <v>1</v>
      </c>
      <c r="J1946" s="9" t="s">
        <v>3242</v>
      </c>
      <c r="K1946" s="9" t="s">
        <v>49</v>
      </c>
      <c r="L1946" s="13">
        <v>0</v>
      </c>
      <c r="M1946" s="9" t="s">
        <v>34</v>
      </c>
    </row>
    <row r="1947" spans="1:13" ht="20.25" customHeight="1" x14ac:dyDescent="0.25">
      <c r="A1947" s="9" t="s">
        <v>3243</v>
      </c>
      <c r="B1947" s="10">
        <v>46212</v>
      </c>
      <c r="C1947" s="9" t="s">
        <v>71</v>
      </c>
      <c r="D1947" s="9" t="s">
        <v>51</v>
      </c>
      <c r="E1947" s="11" t="s">
        <v>30</v>
      </c>
      <c r="F1947" s="11" t="s">
        <v>63</v>
      </c>
      <c r="G1947" s="3">
        <v>2311.3000000000002</v>
      </c>
      <c r="H1947" s="3">
        <v>1637.17</v>
      </c>
      <c r="I1947" s="12">
        <v>2</v>
      </c>
      <c r="J1947" s="9" t="s">
        <v>3244</v>
      </c>
      <c r="K1947" s="9" t="s">
        <v>49</v>
      </c>
      <c r="L1947" s="13">
        <v>0</v>
      </c>
      <c r="M1947" s="9" t="s">
        <v>34</v>
      </c>
    </row>
    <row r="1948" spans="1:13" ht="20.25" customHeight="1" x14ac:dyDescent="0.25">
      <c r="A1948" s="9" t="s">
        <v>3245</v>
      </c>
      <c r="B1948" s="10">
        <v>46212</v>
      </c>
      <c r="C1948" s="9" t="s">
        <v>62</v>
      </c>
      <c r="D1948" s="9" t="s">
        <v>51</v>
      </c>
      <c r="E1948" s="11" t="s">
        <v>37</v>
      </c>
      <c r="F1948" s="11" t="s">
        <v>38</v>
      </c>
      <c r="G1948" s="3">
        <v>115.57</v>
      </c>
      <c r="H1948" s="3">
        <v>67.41</v>
      </c>
      <c r="I1948" s="12">
        <v>1</v>
      </c>
      <c r="J1948" s="9" t="s">
        <v>3246</v>
      </c>
      <c r="K1948" s="9" t="s">
        <v>49</v>
      </c>
      <c r="L1948" s="13">
        <v>0</v>
      </c>
      <c r="M1948" s="9" t="s">
        <v>34</v>
      </c>
    </row>
    <row r="1949" spans="1:13" ht="20.25" customHeight="1" x14ac:dyDescent="0.25">
      <c r="A1949" s="9" t="s">
        <v>3247</v>
      </c>
      <c r="B1949" s="10">
        <v>46213</v>
      </c>
      <c r="C1949" s="9" t="s">
        <v>41</v>
      </c>
      <c r="D1949" s="9" t="s">
        <v>51</v>
      </c>
      <c r="E1949" s="11" t="s">
        <v>30</v>
      </c>
      <c r="F1949" s="11" t="s">
        <v>31</v>
      </c>
      <c r="G1949" s="3">
        <v>625.98</v>
      </c>
      <c r="H1949" s="3">
        <v>433.37</v>
      </c>
      <c r="I1949" s="12">
        <v>1</v>
      </c>
      <c r="J1949" s="9" t="s">
        <v>3248</v>
      </c>
      <c r="K1949" s="9" t="s">
        <v>49</v>
      </c>
      <c r="L1949" s="13">
        <v>0</v>
      </c>
      <c r="M1949" s="9" t="s">
        <v>34</v>
      </c>
    </row>
    <row r="1950" spans="1:13" ht="20.25" customHeight="1" x14ac:dyDescent="0.25">
      <c r="A1950" s="9" t="s">
        <v>3249</v>
      </c>
      <c r="B1950" s="10">
        <v>46213</v>
      </c>
      <c r="C1950" s="9" t="s">
        <v>36</v>
      </c>
      <c r="D1950" s="9" t="s">
        <v>29</v>
      </c>
      <c r="E1950" s="11" t="s">
        <v>58</v>
      </c>
      <c r="F1950" s="11" t="s">
        <v>68</v>
      </c>
      <c r="G1950" s="3">
        <v>337.06</v>
      </c>
      <c r="H1950" s="3">
        <v>211.87</v>
      </c>
      <c r="I1950" s="12">
        <v>1</v>
      </c>
      <c r="J1950" s="9" t="s">
        <v>3250</v>
      </c>
      <c r="K1950" s="9" t="s">
        <v>49</v>
      </c>
      <c r="L1950" s="13">
        <v>0</v>
      </c>
      <c r="M1950" s="9" t="s">
        <v>34</v>
      </c>
    </row>
    <row r="1951" spans="1:13" ht="20.25" customHeight="1" x14ac:dyDescent="0.25">
      <c r="A1951" s="9" t="s">
        <v>3251</v>
      </c>
      <c r="B1951" s="10">
        <v>46214</v>
      </c>
      <c r="C1951" s="9" t="s">
        <v>54</v>
      </c>
      <c r="D1951" s="9" t="s">
        <v>29</v>
      </c>
      <c r="E1951" s="11" t="s">
        <v>30</v>
      </c>
      <c r="F1951" s="11" t="s">
        <v>31</v>
      </c>
      <c r="G1951" s="3">
        <v>625.98</v>
      </c>
      <c r="H1951" s="3">
        <v>433.37</v>
      </c>
      <c r="I1951" s="12">
        <v>1</v>
      </c>
      <c r="J1951" s="9" t="s">
        <v>3252</v>
      </c>
      <c r="K1951" s="9" t="s">
        <v>49</v>
      </c>
      <c r="L1951" s="13">
        <v>0</v>
      </c>
      <c r="M1951" s="9" t="s">
        <v>34</v>
      </c>
    </row>
    <row r="1952" spans="1:13" ht="20.25" customHeight="1" x14ac:dyDescent="0.25">
      <c r="A1952" s="9" t="s">
        <v>3253</v>
      </c>
      <c r="B1952" s="10">
        <v>46214</v>
      </c>
      <c r="C1952" s="9" t="s">
        <v>62</v>
      </c>
      <c r="D1952" s="9" t="s">
        <v>29</v>
      </c>
      <c r="E1952" s="11" t="s">
        <v>43</v>
      </c>
      <c r="F1952" s="11" t="s">
        <v>47</v>
      </c>
      <c r="G1952" s="3">
        <v>105.93</v>
      </c>
      <c r="H1952" s="3">
        <v>62.6</v>
      </c>
      <c r="I1952" s="12">
        <v>1</v>
      </c>
      <c r="J1952" s="9" t="s">
        <v>1215</v>
      </c>
      <c r="K1952" s="9" t="s">
        <v>49</v>
      </c>
      <c r="L1952" s="13">
        <v>0</v>
      </c>
      <c r="M1952" s="9" t="s">
        <v>34</v>
      </c>
    </row>
    <row r="1953" spans="1:13" ht="20.25" customHeight="1" x14ac:dyDescent="0.25">
      <c r="A1953" s="9" t="s">
        <v>3254</v>
      </c>
      <c r="B1953" s="10">
        <v>46214</v>
      </c>
      <c r="C1953" s="9" t="s">
        <v>28</v>
      </c>
      <c r="D1953" s="9" t="s">
        <v>42</v>
      </c>
      <c r="E1953" s="11" t="s">
        <v>30</v>
      </c>
      <c r="F1953" s="11" t="s">
        <v>63</v>
      </c>
      <c r="G1953" s="3">
        <v>1155.6500000000001</v>
      </c>
      <c r="H1953" s="3">
        <v>818.59</v>
      </c>
      <c r="I1953" s="12">
        <v>1</v>
      </c>
      <c r="J1953" s="9" t="s">
        <v>3255</v>
      </c>
      <c r="K1953" s="9" t="s">
        <v>49</v>
      </c>
      <c r="L1953" s="13">
        <v>0</v>
      </c>
      <c r="M1953" s="9" t="s">
        <v>34</v>
      </c>
    </row>
    <row r="1954" spans="1:13" ht="20.25" customHeight="1" x14ac:dyDescent="0.25">
      <c r="A1954" s="9" t="s">
        <v>3256</v>
      </c>
      <c r="B1954" s="10">
        <v>46215</v>
      </c>
      <c r="C1954" s="9" t="s">
        <v>62</v>
      </c>
      <c r="D1954" s="9" t="s">
        <v>29</v>
      </c>
      <c r="E1954" s="11" t="s">
        <v>43</v>
      </c>
      <c r="F1954" s="11" t="s">
        <v>47</v>
      </c>
      <c r="G1954" s="3">
        <v>317.8</v>
      </c>
      <c r="H1954" s="3">
        <v>187.79</v>
      </c>
      <c r="I1954" s="12">
        <v>3</v>
      </c>
      <c r="J1954" s="9" t="s">
        <v>739</v>
      </c>
      <c r="K1954" s="9" t="s">
        <v>33</v>
      </c>
      <c r="L1954" s="13">
        <v>1</v>
      </c>
      <c r="M1954" s="9" t="s">
        <v>34</v>
      </c>
    </row>
    <row r="1955" spans="1:13" ht="20.25" customHeight="1" x14ac:dyDescent="0.25">
      <c r="A1955" s="9" t="s">
        <v>3257</v>
      </c>
      <c r="B1955" s="10">
        <v>46215</v>
      </c>
      <c r="C1955" s="9" t="s">
        <v>28</v>
      </c>
      <c r="D1955" s="9" t="s">
        <v>29</v>
      </c>
      <c r="E1955" s="11" t="s">
        <v>43</v>
      </c>
      <c r="F1955" s="11" t="s">
        <v>47</v>
      </c>
      <c r="G1955" s="3">
        <v>105.93</v>
      </c>
      <c r="H1955" s="3">
        <v>62.6</v>
      </c>
      <c r="I1955" s="12">
        <v>1</v>
      </c>
      <c r="J1955" s="9" t="s">
        <v>1203</v>
      </c>
      <c r="K1955" s="9" t="s">
        <v>49</v>
      </c>
      <c r="L1955" s="13">
        <v>0</v>
      </c>
      <c r="M1955" s="9" t="s">
        <v>34</v>
      </c>
    </row>
    <row r="1956" spans="1:13" ht="20.25" customHeight="1" x14ac:dyDescent="0.25">
      <c r="A1956" s="9" t="s">
        <v>3258</v>
      </c>
      <c r="B1956" s="10">
        <v>46216</v>
      </c>
      <c r="C1956" s="9" t="s">
        <v>54</v>
      </c>
      <c r="D1956" s="9" t="s">
        <v>29</v>
      </c>
      <c r="E1956" s="11" t="s">
        <v>58</v>
      </c>
      <c r="F1956" s="11" t="s">
        <v>68</v>
      </c>
      <c r="G1956" s="3">
        <v>337.06</v>
      </c>
      <c r="H1956" s="3">
        <v>211.87</v>
      </c>
      <c r="I1956" s="12">
        <v>1</v>
      </c>
      <c r="J1956" s="9" t="s">
        <v>2229</v>
      </c>
      <c r="K1956" s="9" t="s">
        <v>33</v>
      </c>
      <c r="L1956" s="13">
        <v>1</v>
      </c>
      <c r="M1956" s="9" t="s">
        <v>34</v>
      </c>
    </row>
    <row r="1957" spans="1:13" ht="20.25" customHeight="1" x14ac:dyDescent="0.25">
      <c r="A1957" s="9" t="s">
        <v>3259</v>
      </c>
      <c r="B1957" s="10">
        <v>46216</v>
      </c>
      <c r="C1957" s="9" t="s">
        <v>28</v>
      </c>
      <c r="D1957" s="9" t="s">
        <v>29</v>
      </c>
      <c r="E1957" s="11" t="s">
        <v>37</v>
      </c>
      <c r="F1957" s="11" t="s">
        <v>55</v>
      </c>
      <c r="G1957" s="3">
        <v>-173.35</v>
      </c>
      <c r="H1957" s="3">
        <v>-105.93</v>
      </c>
      <c r="I1957" s="12">
        <v>-2</v>
      </c>
      <c r="J1957" s="9" t="s">
        <v>3260</v>
      </c>
      <c r="K1957" s="9" t="s">
        <v>49</v>
      </c>
      <c r="L1957" s="13">
        <v>0</v>
      </c>
      <c r="M1957" s="9" t="s">
        <v>76</v>
      </c>
    </row>
    <row r="1958" spans="1:13" ht="20.25" customHeight="1" x14ac:dyDescent="0.25">
      <c r="A1958" s="9" t="s">
        <v>3261</v>
      </c>
      <c r="B1958" s="10">
        <v>46216</v>
      </c>
      <c r="C1958" s="9" t="s">
        <v>28</v>
      </c>
      <c r="D1958" s="9" t="s">
        <v>51</v>
      </c>
      <c r="E1958" s="11" t="s">
        <v>37</v>
      </c>
      <c r="F1958" s="11" t="s">
        <v>72</v>
      </c>
      <c r="G1958" s="3">
        <v>211.87</v>
      </c>
      <c r="H1958" s="3">
        <v>125.2</v>
      </c>
      <c r="I1958" s="12">
        <v>1</v>
      </c>
      <c r="J1958" s="9" t="s">
        <v>312</v>
      </c>
      <c r="K1958" s="9" t="s">
        <v>33</v>
      </c>
      <c r="L1958" s="13">
        <v>1</v>
      </c>
      <c r="M1958" s="9" t="s">
        <v>34</v>
      </c>
    </row>
    <row r="1959" spans="1:13" ht="20.25" customHeight="1" x14ac:dyDescent="0.25">
      <c r="A1959" s="9" t="s">
        <v>3262</v>
      </c>
      <c r="B1959" s="10">
        <v>46217</v>
      </c>
      <c r="C1959" s="9" t="s">
        <v>36</v>
      </c>
      <c r="D1959" s="9" t="s">
        <v>51</v>
      </c>
      <c r="E1959" s="11" t="s">
        <v>43</v>
      </c>
      <c r="F1959" s="11" t="s">
        <v>47</v>
      </c>
      <c r="G1959" s="3">
        <v>211.87</v>
      </c>
      <c r="H1959" s="3">
        <v>125.2</v>
      </c>
      <c r="I1959" s="12">
        <v>2</v>
      </c>
      <c r="J1959" s="9" t="s">
        <v>846</v>
      </c>
      <c r="K1959" s="9" t="s">
        <v>49</v>
      </c>
      <c r="L1959" s="13">
        <v>0</v>
      </c>
      <c r="M1959" s="9" t="s">
        <v>34</v>
      </c>
    </row>
    <row r="1960" spans="1:13" ht="20.25" customHeight="1" x14ac:dyDescent="0.25">
      <c r="A1960" s="9" t="s">
        <v>3263</v>
      </c>
      <c r="B1960" s="10">
        <v>46218</v>
      </c>
      <c r="C1960" s="9" t="s">
        <v>71</v>
      </c>
      <c r="D1960" s="9" t="s">
        <v>51</v>
      </c>
      <c r="E1960" s="11" t="s">
        <v>58</v>
      </c>
      <c r="F1960" s="11" t="s">
        <v>68</v>
      </c>
      <c r="G1960" s="3">
        <v>337.06</v>
      </c>
      <c r="H1960" s="3">
        <v>211.87</v>
      </c>
      <c r="I1960" s="12">
        <v>1</v>
      </c>
      <c r="J1960" s="9" t="s">
        <v>1740</v>
      </c>
      <c r="K1960" s="9" t="s">
        <v>33</v>
      </c>
      <c r="L1960" s="13">
        <v>1</v>
      </c>
      <c r="M1960" s="9" t="s">
        <v>34</v>
      </c>
    </row>
    <row r="1961" spans="1:13" ht="20.25" customHeight="1" x14ac:dyDescent="0.25">
      <c r="A1961" s="9" t="s">
        <v>3264</v>
      </c>
      <c r="B1961" s="10">
        <v>46218</v>
      </c>
      <c r="C1961" s="9" t="s">
        <v>36</v>
      </c>
      <c r="D1961" s="9" t="s">
        <v>29</v>
      </c>
      <c r="E1961" s="11" t="s">
        <v>43</v>
      </c>
      <c r="F1961" s="11" t="s">
        <v>47</v>
      </c>
      <c r="G1961" s="3">
        <v>105.93</v>
      </c>
      <c r="H1961" s="3">
        <v>62.6</v>
      </c>
      <c r="I1961" s="12">
        <v>1</v>
      </c>
      <c r="J1961" s="9" t="s">
        <v>2800</v>
      </c>
      <c r="K1961" s="9" t="s">
        <v>49</v>
      </c>
      <c r="L1961" s="13">
        <v>0</v>
      </c>
      <c r="M1961" s="9" t="s">
        <v>34</v>
      </c>
    </row>
    <row r="1962" spans="1:13" ht="20.25" customHeight="1" x14ac:dyDescent="0.25">
      <c r="A1962" s="9" t="s">
        <v>3265</v>
      </c>
      <c r="B1962" s="10">
        <v>46218</v>
      </c>
      <c r="C1962" s="9" t="s">
        <v>28</v>
      </c>
      <c r="D1962" s="9" t="s">
        <v>51</v>
      </c>
      <c r="E1962" s="11" t="s">
        <v>58</v>
      </c>
      <c r="F1962" s="11" t="s">
        <v>59</v>
      </c>
      <c r="G1962" s="3">
        <v>288.91000000000003</v>
      </c>
      <c r="H1962" s="3">
        <v>173.35</v>
      </c>
      <c r="I1962" s="12">
        <v>2</v>
      </c>
      <c r="J1962" s="9" t="s">
        <v>3266</v>
      </c>
      <c r="K1962" s="9" t="s">
        <v>33</v>
      </c>
      <c r="L1962" s="13">
        <v>1</v>
      </c>
      <c r="M1962" s="9" t="s">
        <v>34</v>
      </c>
    </row>
    <row r="1963" spans="1:13" ht="20.25" customHeight="1" x14ac:dyDescent="0.25">
      <c r="A1963" s="9" t="s">
        <v>3267</v>
      </c>
      <c r="B1963" s="10">
        <v>46219</v>
      </c>
      <c r="C1963" s="9" t="s">
        <v>71</v>
      </c>
      <c r="D1963" s="9" t="s">
        <v>29</v>
      </c>
      <c r="E1963" s="11" t="s">
        <v>43</v>
      </c>
      <c r="F1963" s="11" t="s">
        <v>90</v>
      </c>
      <c r="G1963" s="3">
        <v>433.37</v>
      </c>
      <c r="H1963" s="3">
        <v>260.02</v>
      </c>
      <c r="I1963" s="12">
        <v>3</v>
      </c>
      <c r="J1963" s="9" t="s">
        <v>3268</v>
      </c>
      <c r="K1963" s="9" t="s">
        <v>33</v>
      </c>
      <c r="L1963" s="13">
        <v>1</v>
      </c>
      <c r="M1963" s="9" t="s">
        <v>34</v>
      </c>
    </row>
    <row r="1964" spans="1:13" ht="20.25" customHeight="1" x14ac:dyDescent="0.25">
      <c r="A1964" s="9" t="s">
        <v>3269</v>
      </c>
      <c r="B1964" s="10">
        <v>46220</v>
      </c>
      <c r="C1964" s="9" t="s">
        <v>62</v>
      </c>
      <c r="D1964" s="9" t="s">
        <v>29</v>
      </c>
      <c r="E1964" s="11" t="s">
        <v>58</v>
      </c>
      <c r="F1964" s="11" t="s">
        <v>87</v>
      </c>
      <c r="G1964" s="3">
        <v>173.35</v>
      </c>
      <c r="H1964" s="3">
        <v>105.93</v>
      </c>
      <c r="I1964" s="12">
        <v>1</v>
      </c>
      <c r="J1964" s="9" t="s">
        <v>2354</v>
      </c>
      <c r="K1964" s="9" t="s">
        <v>49</v>
      </c>
      <c r="L1964" s="13">
        <v>0</v>
      </c>
      <c r="M1964" s="9" t="s">
        <v>34</v>
      </c>
    </row>
    <row r="1965" spans="1:13" ht="20.25" customHeight="1" x14ac:dyDescent="0.25">
      <c r="A1965" s="9" t="s">
        <v>3270</v>
      </c>
      <c r="B1965" s="10">
        <v>46220</v>
      </c>
      <c r="C1965" s="9" t="s">
        <v>36</v>
      </c>
      <c r="D1965" s="9" t="s">
        <v>29</v>
      </c>
      <c r="E1965" s="11" t="s">
        <v>58</v>
      </c>
      <c r="F1965" s="11" t="s">
        <v>87</v>
      </c>
      <c r="G1965" s="3">
        <v>173.35</v>
      </c>
      <c r="H1965" s="3">
        <v>105.93</v>
      </c>
      <c r="I1965" s="12">
        <v>1</v>
      </c>
      <c r="J1965" s="9" t="s">
        <v>1474</v>
      </c>
      <c r="K1965" s="9" t="s">
        <v>49</v>
      </c>
      <c r="L1965" s="13">
        <v>0</v>
      </c>
      <c r="M1965" s="9" t="s">
        <v>34</v>
      </c>
    </row>
    <row r="1966" spans="1:13" ht="20.25" customHeight="1" x14ac:dyDescent="0.25">
      <c r="A1966" s="9" t="s">
        <v>3271</v>
      </c>
      <c r="B1966" s="10">
        <v>46220</v>
      </c>
      <c r="C1966" s="9" t="s">
        <v>28</v>
      </c>
      <c r="D1966" s="9" t="s">
        <v>29</v>
      </c>
      <c r="E1966" s="11" t="s">
        <v>43</v>
      </c>
      <c r="F1966" s="11" t="s">
        <v>44</v>
      </c>
      <c r="G1966" s="3">
        <v>43.34</v>
      </c>
      <c r="H1966" s="3">
        <v>19.260000000000002</v>
      </c>
      <c r="I1966" s="12">
        <v>1</v>
      </c>
      <c r="J1966" s="9" t="s">
        <v>3021</v>
      </c>
      <c r="K1966" s="9" t="s">
        <v>49</v>
      </c>
      <c r="L1966" s="13">
        <v>0</v>
      </c>
      <c r="M1966" s="9" t="s">
        <v>34</v>
      </c>
    </row>
    <row r="1967" spans="1:13" ht="20.25" customHeight="1" x14ac:dyDescent="0.25">
      <c r="A1967" s="9" t="s">
        <v>3272</v>
      </c>
      <c r="B1967" s="10">
        <v>46221</v>
      </c>
      <c r="C1967" s="9" t="s">
        <v>36</v>
      </c>
      <c r="D1967" s="9" t="s">
        <v>29</v>
      </c>
      <c r="E1967" s="11" t="s">
        <v>43</v>
      </c>
      <c r="F1967" s="11" t="s">
        <v>90</v>
      </c>
      <c r="G1967" s="3">
        <v>433.37</v>
      </c>
      <c r="H1967" s="3">
        <v>260.02</v>
      </c>
      <c r="I1967" s="12">
        <v>3</v>
      </c>
      <c r="J1967" s="9" t="s">
        <v>1580</v>
      </c>
      <c r="K1967" s="9" t="s">
        <v>49</v>
      </c>
      <c r="L1967" s="13">
        <v>0</v>
      </c>
      <c r="M1967" s="9" t="s">
        <v>34</v>
      </c>
    </row>
    <row r="1968" spans="1:13" ht="20.25" customHeight="1" x14ac:dyDescent="0.25">
      <c r="A1968" s="9" t="s">
        <v>3273</v>
      </c>
      <c r="B1968" s="10">
        <v>46221</v>
      </c>
      <c r="C1968" s="9" t="s">
        <v>28</v>
      </c>
      <c r="D1968" s="9" t="s">
        <v>51</v>
      </c>
      <c r="E1968" s="11" t="s">
        <v>37</v>
      </c>
      <c r="F1968" s="11" t="s">
        <v>38</v>
      </c>
      <c r="G1968" s="3">
        <v>346.7</v>
      </c>
      <c r="H1968" s="3">
        <v>202.24</v>
      </c>
      <c r="I1968" s="12">
        <v>3</v>
      </c>
      <c r="J1968" s="9" t="s">
        <v>1652</v>
      </c>
      <c r="K1968" s="9" t="s">
        <v>33</v>
      </c>
      <c r="L1968" s="13">
        <v>1</v>
      </c>
      <c r="M1968" s="9" t="s">
        <v>34</v>
      </c>
    </row>
    <row r="1969" spans="1:13" ht="20.25" customHeight="1" x14ac:dyDescent="0.25">
      <c r="A1969" s="9" t="s">
        <v>3274</v>
      </c>
      <c r="B1969" s="10">
        <v>46221</v>
      </c>
      <c r="C1969" s="9" t="s">
        <v>54</v>
      </c>
      <c r="D1969" s="9" t="s">
        <v>51</v>
      </c>
      <c r="E1969" s="11" t="s">
        <v>30</v>
      </c>
      <c r="F1969" s="11" t="s">
        <v>31</v>
      </c>
      <c r="G1969" s="3">
        <v>625.98</v>
      </c>
      <c r="H1969" s="3">
        <v>433.37</v>
      </c>
      <c r="I1969" s="12">
        <v>1</v>
      </c>
      <c r="J1969" s="9" t="s">
        <v>185</v>
      </c>
      <c r="K1969" s="9" t="s">
        <v>49</v>
      </c>
      <c r="L1969" s="13">
        <v>0</v>
      </c>
      <c r="M1969" s="9" t="s">
        <v>34</v>
      </c>
    </row>
    <row r="1970" spans="1:13" ht="20.25" customHeight="1" x14ac:dyDescent="0.25">
      <c r="A1970" s="9" t="s">
        <v>3275</v>
      </c>
      <c r="B1970" s="10">
        <v>46222</v>
      </c>
      <c r="C1970" s="9" t="s">
        <v>54</v>
      </c>
      <c r="D1970" s="9" t="s">
        <v>42</v>
      </c>
      <c r="E1970" s="11" t="s">
        <v>58</v>
      </c>
      <c r="F1970" s="11" t="s">
        <v>68</v>
      </c>
      <c r="G1970" s="3">
        <v>337.06</v>
      </c>
      <c r="H1970" s="3">
        <v>211.87</v>
      </c>
      <c r="I1970" s="12">
        <v>1</v>
      </c>
      <c r="J1970" s="9" t="s">
        <v>3276</v>
      </c>
      <c r="K1970" s="9" t="s">
        <v>49</v>
      </c>
      <c r="L1970" s="13">
        <v>0</v>
      </c>
      <c r="M1970" s="9" t="s">
        <v>34</v>
      </c>
    </row>
    <row r="1971" spans="1:13" ht="20.25" customHeight="1" x14ac:dyDescent="0.25">
      <c r="A1971" s="9" t="s">
        <v>3277</v>
      </c>
      <c r="B1971" s="10">
        <v>46222</v>
      </c>
      <c r="C1971" s="9" t="s">
        <v>71</v>
      </c>
      <c r="D1971" s="9" t="s">
        <v>29</v>
      </c>
      <c r="E1971" s="11" t="s">
        <v>43</v>
      </c>
      <c r="F1971" s="11" t="s">
        <v>44</v>
      </c>
      <c r="G1971" s="3">
        <v>43.34</v>
      </c>
      <c r="H1971" s="3">
        <v>19.260000000000002</v>
      </c>
      <c r="I1971" s="12">
        <v>1</v>
      </c>
      <c r="J1971" s="9" t="s">
        <v>3053</v>
      </c>
      <c r="K1971" s="9" t="s">
        <v>49</v>
      </c>
      <c r="L1971" s="13">
        <v>0</v>
      </c>
      <c r="M1971" s="9" t="s">
        <v>34</v>
      </c>
    </row>
    <row r="1972" spans="1:13" ht="20.25" customHeight="1" x14ac:dyDescent="0.25">
      <c r="A1972" s="9" t="s">
        <v>3278</v>
      </c>
      <c r="B1972" s="10">
        <v>46222</v>
      </c>
      <c r="C1972" s="9" t="s">
        <v>36</v>
      </c>
      <c r="D1972" s="9" t="s">
        <v>29</v>
      </c>
      <c r="E1972" s="11" t="s">
        <v>43</v>
      </c>
      <c r="F1972" s="11" t="s">
        <v>44</v>
      </c>
      <c r="G1972" s="3">
        <v>43.34</v>
      </c>
      <c r="H1972" s="3">
        <v>19.260000000000002</v>
      </c>
      <c r="I1972" s="12">
        <v>1</v>
      </c>
      <c r="J1972" s="9" t="s">
        <v>2192</v>
      </c>
      <c r="K1972" s="9" t="s">
        <v>33</v>
      </c>
      <c r="L1972" s="13">
        <v>1</v>
      </c>
      <c r="M1972" s="9" t="s">
        <v>34</v>
      </c>
    </row>
    <row r="1973" spans="1:13" ht="20.25" customHeight="1" x14ac:dyDescent="0.25">
      <c r="A1973" s="9" t="s">
        <v>3279</v>
      </c>
      <c r="B1973" s="10">
        <v>46222</v>
      </c>
      <c r="C1973" s="9" t="s">
        <v>41</v>
      </c>
      <c r="D1973" s="9" t="s">
        <v>29</v>
      </c>
      <c r="E1973" s="11" t="s">
        <v>43</v>
      </c>
      <c r="F1973" s="11" t="s">
        <v>44</v>
      </c>
      <c r="G1973" s="3">
        <v>43.34</v>
      </c>
      <c r="H1973" s="3">
        <v>19.260000000000002</v>
      </c>
      <c r="I1973" s="12">
        <v>1</v>
      </c>
      <c r="J1973" s="9" t="s">
        <v>2614</v>
      </c>
      <c r="K1973" s="9" t="s">
        <v>49</v>
      </c>
      <c r="L1973" s="13">
        <v>0</v>
      </c>
      <c r="M1973" s="9" t="s">
        <v>34</v>
      </c>
    </row>
    <row r="1974" spans="1:13" ht="20.25" customHeight="1" x14ac:dyDescent="0.25">
      <c r="A1974" s="9" t="s">
        <v>3280</v>
      </c>
      <c r="B1974" s="10">
        <v>46223</v>
      </c>
      <c r="C1974" s="9" t="s">
        <v>71</v>
      </c>
      <c r="D1974" s="9" t="s">
        <v>42</v>
      </c>
      <c r="E1974" s="11" t="s">
        <v>30</v>
      </c>
      <c r="F1974" s="11" t="s">
        <v>80</v>
      </c>
      <c r="G1974" s="3">
        <v>818.59</v>
      </c>
      <c r="H1974" s="3">
        <v>577.83000000000004</v>
      </c>
      <c r="I1974" s="12">
        <v>1</v>
      </c>
      <c r="J1974" s="9" t="s">
        <v>2620</v>
      </c>
      <c r="K1974" s="9" t="s">
        <v>49</v>
      </c>
      <c r="L1974" s="13">
        <v>0</v>
      </c>
      <c r="M1974" s="9" t="s">
        <v>34</v>
      </c>
    </row>
    <row r="1975" spans="1:13" ht="20.25" customHeight="1" x14ac:dyDescent="0.25">
      <c r="A1975" s="9" t="s">
        <v>3281</v>
      </c>
      <c r="B1975" s="10">
        <v>46223</v>
      </c>
      <c r="C1975" s="9" t="s">
        <v>54</v>
      </c>
      <c r="D1975" s="9" t="s">
        <v>51</v>
      </c>
      <c r="E1975" s="11" t="s">
        <v>58</v>
      </c>
      <c r="F1975" s="11" t="s">
        <v>68</v>
      </c>
      <c r="G1975" s="3">
        <v>674.13</v>
      </c>
      <c r="H1975" s="3">
        <v>423.74</v>
      </c>
      <c r="I1975" s="12">
        <v>2</v>
      </c>
      <c r="J1975" s="9" t="s">
        <v>3242</v>
      </c>
      <c r="K1975" s="9" t="s">
        <v>49</v>
      </c>
      <c r="L1975" s="13">
        <v>0</v>
      </c>
      <c r="M1975" s="9" t="s">
        <v>34</v>
      </c>
    </row>
    <row r="1976" spans="1:13" ht="20.25" customHeight="1" x14ac:dyDescent="0.25">
      <c r="A1976" s="9" t="s">
        <v>3282</v>
      </c>
      <c r="B1976" s="10">
        <v>46224</v>
      </c>
      <c r="C1976" s="9" t="s">
        <v>71</v>
      </c>
      <c r="D1976" s="9" t="s">
        <v>51</v>
      </c>
      <c r="E1976" s="11" t="s">
        <v>37</v>
      </c>
      <c r="F1976" s="11" t="s">
        <v>38</v>
      </c>
      <c r="G1976" s="3">
        <v>346.7</v>
      </c>
      <c r="H1976" s="3">
        <v>202.24</v>
      </c>
      <c r="I1976" s="12">
        <v>3</v>
      </c>
      <c r="J1976" s="9" t="s">
        <v>3283</v>
      </c>
      <c r="K1976" s="9" t="s">
        <v>33</v>
      </c>
      <c r="L1976" s="13">
        <v>1</v>
      </c>
      <c r="M1976" s="9" t="s">
        <v>34</v>
      </c>
    </row>
    <row r="1977" spans="1:13" ht="20.25" customHeight="1" x14ac:dyDescent="0.25">
      <c r="A1977" s="9" t="s">
        <v>3284</v>
      </c>
      <c r="B1977" s="10">
        <v>46224</v>
      </c>
      <c r="C1977" s="9" t="s">
        <v>41</v>
      </c>
      <c r="D1977" s="9" t="s">
        <v>29</v>
      </c>
      <c r="E1977" s="11" t="s">
        <v>43</v>
      </c>
      <c r="F1977" s="11" t="s">
        <v>44</v>
      </c>
      <c r="G1977" s="3">
        <v>216.68</v>
      </c>
      <c r="H1977" s="3">
        <v>96.3</v>
      </c>
      <c r="I1977" s="12">
        <v>5</v>
      </c>
      <c r="J1977" s="9" t="s">
        <v>3285</v>
      </c>
      <c r="K1977" s="9" t="s">
        <v>49</v>
      </c>
      <c r="L1977" s="13">
        <v>0</v>
      </c>
      <c r="M1977" s="9" t="s">
        <v>34</v>
      </c>
    </row>
    <row r="1978" spans="1:13" ht="20.25" customHeight="1" x14ac:dyDescent="0.25">
      <c r="A1978" s="9" t="s">
        <v>3286</v>
      </c>
      <c r="B1978" s="10">
        <v>46224</v>
      </c>
      <c r="C1978" s="9" t="s">
        <v>71</v>
      </c>
      <c r="D1978" s="9" t="s">
        <v>51</v>
      </c>
      <c r="E1978" s="11" t="s">
        <v>30</v>
      </c>
      <c r="F1978" s="11" t="s">
        <v>80</v>
      </c>
      <c r="G1978" s="3">
        <v>-818.59</v>
      </c>
      <c r="H1978" s="3">
        <v>-577.83000000000004</v>
      </c>
      <c r="I1978" s="12">
        <v>-1</v>
      </c>
      <c r="J1978" s="9" t="s">
        <v>3287</v>
      </c>
      <c r="K1978" s="9" t="s">
        <v>49</v>
      </c>
      <c r="L1978" s="13">
        <v>0</v>
      </c>
      <c r="M1978" s="9" t="s">
        <v>76</v>
      </c>
    </row>
    <row r="1979" spans="1:13" ht="20.25" customHeight="1" x14ac:dyDescent="0.25">
      <c r="A1979" s="9" t="s">
        <v>3288</v>
      </c>
      <c r="B1979" s="10">
        <v>46225</v>
      </c>
      <c r="C1979" s="9" t="s">
        <v>36</v>
      </c>
      <c r="D1979" s="9" t="s">
        <v>29</v>
      </c>
      <c r="E1979" s="11" t="s">
        <v>43</v>
      </c>
      <c r="F1979" s="11" t="s">
        <v>44</v>
      </c>
      <c r="G1979" s="3">
        <v>43.34</v>
      </c>
      <c r="H1979" s="3">
        <v>19.260000000000002</v>
      </c>
      <c r="I1979" s="12">
        <v>1</v>
      </c>
      <c r="J1979" s="9" t="s">
        <v>1944</v>
      </c>
      <c r="K1979" s="9" t="s">
        <v>33</v>
      </c>
      <c r="L1979" s="13">
        <v>1</v>
      </c>
      <c r="M1979" s="9" t="s">
        <v>34</v>
      </c>
    </row>
    <row r="1980" spans="1:13" ht="20.25" customHeight="1" x14ac:dyDescent="0.25">
      <c r="A1980" s="9" t="s">
        <v>3289</v>
      </c>
      <c r="B1980" s="10">
        <v>46225</v>
      </c>
      <c r="C1980" s="9" t="s">
        <v>62</v>
      </c>
      <c r="D1980" s="9" t="s">
        <v>51</v>
      </c>
      <c r="E1980" s="11" t="s">
        <v>58</v>
      </c>
      <c r="F1980" s="11" t="s">
        <v>68</v>
      </c>
      <c r="G1980" s="3">
        <v>1011.19</v>
      </c>
      <c r="H1980" s="3">
        <v>635.61</v>
      </c>
      <c r="I1980" s="12">
        <v>3</v>
      </c>
      <c r="J1980" s="9" t="s">
        <v>2279</v>
      </c>
      <c r="K1980" s="9" t="s">
        <v>49</v>
      </c>
      <c r="L1980" s="13">
        <v>0</v>
      </c>
      <c r="M1980" s="9" t="s">
        <v>34</v>
      </c>
    </row>
    <row r="1981" spans="1:13" ht="20.25" customHeight="1" x14ac:dyDescent="0.25">
      <c r="A1981" s="9" t="s">
        <v>3290</v>
      </c>
      <c r="B1981" s="10">
        <v>46226</v>
      </c>
      <c r="C1981" s="9" t="s">
        <v>71</v>
      </c>
      <c r="D1981" s="9" t="s">
        <v>42</v>
      </c>
      <c r="E1981" s="11" t="s">
        <v>30</v>
      </c>
      <c r="F1981" s="11" t="s">
        <v>31</v>
      </c>
      <c r="G1981" s="3">
        <v>625.98</v>
      </c>
      <c r="H1981" s="3">
        <v>433.37</v>
      </c>
      <c r="I1981" s="12">
        <v>1</v>
      </c>
      <c r="J1981" s="9" t="s">
        <v>2913</v>
      </c>
      <c r="K1981" s="9" t="s">
        <v>49</v>
      </c>
      <c r="L1981" s="13">
        <v>0</v>
      </c>
      <c r="M1981" s="9" t="s">
        <v>34</v>
      </c>
    </row>
    <row r="1982" spans="1:13" ht="20.25" customHeight="1" x14ac:dyDescent="0.25">
      <c r="A1982" s="9" t="s">
        <v>3291</v>
      </c>
      <c r="B1982" s="10">
        <v>46226</v>
      </c>
      <c r="C1982" s="9" t="s">
        <v>71</v>
      </c>
      <c r="D1982" s="9" t="s">
        <v>42</v>
      </c>
      <c r="E1982" s="11" t="s">
        <v>58</v>
      </c>
      <c r="F1982" s="11" t="s">
        <v>68</v>
      </c>
      <c r="G1982" s="3">
        <v>674.13</v>
      </c>
      <c r="H1982" s="3">
        <v>423.74</v>
      </c>
      <c r="I1982" s="12">
        <v>2</v>
      </c>
      <c r="J1982" s="9" t="s">
        <v>3292</v>
      </c>
      <c r="K1982" s="9" t="s">
        <v>33</v>
      </c>
      <c r="L1982" s="13">
        <v>1</v>
      </c>
      <c r="M1982" s="9" t="s">
        <v>34</v>
      </c>
    </row>
    <row r="1983" spans="1:13" ht="20.25" customHeight="1" x14ac:dyDescent="0.25">
      <c r="A1983" s="9" t="s">
        <v>3293</v>
      </c>
      <c r="B1983" s="10">
        <v>46227</v>
      </c>
      <c r="C1983" s="9" t="s">
        <v>28</v>
      </c>
      <c r="D1983" s="9" t="s">
        <v>51</v>
      </c>
      <c r="E1983" s="11" t="s">
        <v>30</v>
      </c>
      <c r="F1983" s="11" t="s">
        <v>63</v>
      </c>
      <c r="G1983" s="3">
        <v>1155.6500000000001</v>
      </c>
      <c r="H1983" s="3">
        <v>818.59</v>
      </c>
      <c r="I1983" s="12">
        <v>1</v>
      </c>
      <c r="J1983" s="9" t="s">
        <v>3294</v>
      </c>
      <c r="K1983" s="9" t="s">
        <v>49</v>
      </c>
      <c r="L1983" s="13">
        <v>0</v>
      </c>
      <c r="M1983" s="9" t="s">
        <v>34</v>
      </c>
    </row>
    <row r="1984" spans="1:13" ht="20.25" customHeight="1" x14ac:dyDescent="0.25">
      <c r="A1984" s="9" t="s">
        <v>3295</v>
      </c>
      <c r="B1984" s="10">
        <v>46228</v>
      </c>
      <c r="C1984" s="9" t="s">
        <v>71</v>
      </c>
      <c r="D1984" s="9" t="s">
        <v>29</v>
      </c>
      <c r="E1984" s="11" t="s">
        <v>58</v>
      </c>
      <c r="F1984" s="11" t="s">
        <v>59</v>
      </c>
      <c r="G1984" s="3">
        <v>144.46</v>
      </c>
      <c r="H1984" s="3">
        <v>86.67</v>
      </c>
      <c r="I1984" s="12">
        <v>1</v>
      </c>
      <c r="J1984" s="9" t="s">
        <v>2882</v>
      </c>
      <c r="K1984" s="9" t="s">
        <v>49</v>
      </c>
      <c r="L1984" s="13">
        <v>0</v>
      </c>
      <c r="M1984" s="9" t="s">
        <v>34</v>
      </c>
    </row>
    <row r="1985" spans="1:13" ht="20.25" customHeight="1" x14ac:dyDescent="0.25">
      <c r="A1985" s="9" t="s">
        <v>3296</v>
      </c>
      <c r="B1985" s="10">
        <v>46228</v>
      </c>
      <c r="C1985" s="9" t="s">
        <v>71</v>
      </c>
      <c r="D1985" s="9" t="s">
        <v>42</v>
      </c>
      <c r="E1985" s="11" t="s">
        <v>30</v>
      </c>
      <c r="F1985" s="11" t="s">
        <v>80</v>
      </c>
      <c r="G1985" s="3">
        <v>818.59</v>
      </c>
      <c r="H1985" s="3">
        <v>577.83000000000004</v>
      </c>
      <c r="I1985" s="12">
        <v>1</v>
      </c>
      <c r="J1985" s="9" t="s">
        <v>1607</v>
      </c>
      <c r="K1985" s="9" t="s">
        <v>33</v>
      </c>
      <c r="L1985" s="13">
        <v>1</v>
      </c>
      <c r="M1985" s="9" t="s">
        <v>34</v>
      </c>
    </row>
    <row r="1986" spans="1:13" ht="20.25" customHeight="1" x14ac:dyDescent="0.25">
      <c r="A1986" s="9" t="s">
        <v>3297</v>
      </c>
      <c r="B1986" s="10">
        <v>46228</v>
      </c>
      <c r="C1986" s="9" t="s">
        <v>28</v>
      </c>
      <c r="D1986" s="9" t="s">
        <v>51</v>
      </c>
      <c r="E1986" s="11" t="s">
        <v>30</v>
      </c>
      <c r="F1986" s="11" t="s">
        <v>63</v>
      </c>
      <c r="G1986" s="3">
        <v>1155.6500000000001</v>
      </c>
      <c r="H1986" s="3">
        <v>818.59</v>
      </c>
      <c r="I1986" s="12">
        <v>1</v>
      </c>
      <c r="J1986" s="9" t="s">
        <v>3298</v>
      </c>
      <c r="K1986" s="9" t="s">
        <v>49</v>
      </c>
      <c r="L1986" s="13">
        <v>0</v>
      </c>
      <c r="M1986" s="9" t="s">
        <v>34</v>
      </c>
    </row>
    <row r="1987" spans="1:13" ht="20.25" customHeight="1" x14ac:dyDescent="0.25">
      <c r="A1987" s="9" t="s">
        <v>3299</v>
      </c>
      <c r="B1987" s="10">
        <v>46229</v>
      </c>
      <c r="C1987" s="9" t="s">
        <v>28</v>
      </c>
      <c r="D1987" s="9" t="s">
        <v>29</v>
      </c>
      <c r="E1987" s="11" t="s">
        <v>43</v>
      </c>
      <c r="F1987" s="11" t="s">
        <v>44</v>
      </c>
      <c r="G1987" s="3">
        <v>86.67</v>
      </c>
      <c r="H1987" s="3">
        <v>38.520000000000003</v>
      </c>
      <c r="I1987" s="12">
        <v>2</v>
      </c>
      <c r="J1987" s="9" t="s">
        <v>2913</v>
      </c>
      <c r="K1987" s="9" t="s">
        <v>49</v>
      </c>
      <c r="L1987" s="13">
        <v>0</v>
      </c>
      <c r="M1987" s="9" t="s">
        <v>34</v>
      </c>
    </row>
    <row r="1988" spans="1:13" ht="20.25" customHeight="1" x14ac:dyDescent="0.25">
      <c r="A1988" s="9" t="s">
        <v>3300</v>
      </c>
      <c r="B1988" s="10">
        <v>46229</v>
      </c>
      <c r="C1988" s="9" t="s">
        <v>71</v>
      </c>
      <c r="D1988" s="9" t="s">
        <v>29</v>
      </c>
      <c r="E1988" s="11" t="s">
        <v>30</v>
      </c>
      <c r="F1988" s="11" t="s">
        <v>80</v>
      </c>
      <c r="G1988" s="3">
        <v>818.59</v>
      </c>
      <c r="H1988" s="3">
        <v>577.83000000000004</v>
      </c>
      <c r="I1988" s="12">
        <v>1</v>
      </c>
      <c r="J1988" s="9" t="s">
        <v>115</v>
      </c>
      <c r="K1988" s="9" t="s">
        <v>49</v>
      </c>
      <c r="L1988" s="13">
        <v>0</v>
      </c>
      <c r="M1988" s="9" t="s">
        <v>34</v>
      </c>
    </row>
    <row r="1989" spans="1:13" ht="20.25" customHeight="1" x14ac:dyDescent="0.25">
      <c r="A1989" s="9" t="s">
        <v>3301</v>
      </c>
      <c r="B1989" s="10">
        <v>46230</v>
      </c>
      <c r="C1989" s="9" t="s">
        <v>41</v>
      </c>
      <c r="D1989" s="9" t="s">
        <v>29</v>
      </c>
      <c r="E1989" s="11" t="s">
        <v>30</v>
      </c>
      <c r="F1989" s="11" t="s">
        <v>80</v>
      </c>
      <c r="G1989" s="3">
        <v>818.59</v>
      </c>
      <c r="H1989" s="3">
        <v>577.83000000000004</v>
      </c>
      <c r="I1989" s="12">
        <v>1</v>
      </c>
      <c r="J1989" s="9" t="s">
        <v>3302</v>
      </c>
      <c r="K1989" s="9" t="s">
        <v>49</v>
      </c>
      <c r="L1989" s="13">
        <v>0</v>
      </c>
      <c r="M1989" s="9" t="s">
        <v>34</v>
      </c>
    </row>
    <row r="1990" spans="1:13" ht="20.25" customHeight="1" x14ac:dyDescent="0.25">
      <c r="A1990" s="9" t="s">
        <v>3303</v>
      </c>
      <c r="B1990" s="10">
        <v>46231</v>
      </c>
      <c r="C1990" s="9" t="s">
        <v>71</v>
      </c>
      <c r="D1990" s="9" t="s">
        <v>29</v>
      </c>
      <c r="E1990" s="11" t="s">
        <v>58</v>
      </c>
      <c r="F1990" s="11" t="s">
        <v>87</v>
      </c>
      <c r="G1990" s="3">
        <v>173.35</v>
      </c>
      <c r="H1990" s="3">
        <v>105.93</v>
      </c>
      <c r="I1990" s="12">
        <v>1</v>
      </c>
      <c r="J1990" s="9" t="s">
        <v>1185</v>
      </c>
      <c r="K1990" s="9" t="s">
        <v>49</v>
      </c>
      <c r="L1990" s="13">
        <v>0</v>
      </c>
      <c r="M1990" s="9" t="s">
        <v>34</v>
      </c>
    </row>
    <row r="1991" spans="1:13" ht="20.25" customHeight="1" x14ac:dyDescent="0.25">
      <c r="A1991" s="9" t="s">
        <v>3304</v>
      </c>
      <c r="B1991" s="10">
        <v>46231</v>
      </c>
      <c r="C1991" s="9" t="s">
        <v>28</v>
      </c>
      <c r="D1991" s="9" t="s">
        <v>29</v>
      </c>
      <c r="E1991" s="11" t="s">
        <v>58</v>
      </c>
      <c r="F1991" s="11" t="s">
        <v>87</v>
      </c>
      <c r="G1991" s="3">
        <v>520.04</v>
      </c>
      <c r="H1991" s="3">
        <v>317.8</v>
      </c>
      <c r="I1991" s="12">
        <v>3</v>
      </c>
      <c r="J1991" s="9" t="s">
        <v>1389</v>
      </c>
      <c r="K1991" s="9" t="s">
        <v>49</v>
      </c>
      <c r="L1991" s="13">
        <v>0</v>
      </c>
      <c r="M1991" s="9" t="s">
        <v>34</v>
      </c>
    </row>
    <row r="1992" spans="1:13" ht="20.25" customHeight="1" x14ac:dyDescent="0.25">
      <c r="A1992" s="9" t="s">
        <v>3305</v>
      </c>
      <c r="B1992" s="10">
        <v>46231</v>
      </c>
      <c r="C1992" s="9" t="s">
        <v>41</v>
      </c>
      <c r="D1992" s="9" t="s">
        <v>51</v>
      </c>
      <c r="E1992" s="11" t="s">
        <v>43</v>
      </c>
      <c r="F1992" s="11" t="s">
        <v>90</v>
      </c>
      <c r="G1992" s="3">
        <v>144.46</v>
      </c>
      <c r="H1992" s="3">
        <v>86.67</v>
      </c>
      <c r="I1992" s="12">
        <v>1</v>
      </c>
      <c r="J1992" s="9" t="s">
        <v>3306</v>
      </c>
      <c r="K1992" s="9" t="s">
        <v>33</v>
      </c>
      <c r="L1992" s="13">
        <v>1</v>
      </c>
      <c r="M1992" s="9" t="s">
        <v>34</v>
      </c>
    </row>
    <row r="1993" spans="1:13" ht="20.25" customHeight="1" x14ac:dyDescent="0.25">
      <c r="A1993" s="9" t="s">
        <v>3307</v>
      </c>
      <c r="B1993" s="10">
        <v>46232</v>
      </c>
      <c r="C1993" s="9" t="s">
        <v>28</v>
      </c>
      <c r="D1993" s="9" t="s">
        <v>29</v>
      </c>
      <c r="E1993" s="11" t="s">
        <v>58</v>
      </c>
      <c r="F1993" s="11" t="s">
        <v>87</v>
      </c>
      <c r="G1993" s="3">
        <v>173.35</v>
      </c>
      <c r="H1993" s="3">
        <v>105.93</v>
      </c>
      <c r="I1993" s="12">
        <v>1</v>
      </c>
      <c r="J1993" s="9" t="s">
        <v>3308</v>
      </c>
      <c r="K1993" s="9" t="s">
        <v>49</v>
      </c>
      <c r="L1993" s="13">
        <v>0</v>
      </c>
      <c r="M1993" s="9" t="s">
        <v>34</v>
      </c>
    </row>
    <row r="1994" spans="1:13" ht="20.25" customHeight="1" x14ac:dyDescent="0.25">
      <c r="A1994" s="9" t="s">
        <v>3309</v>
      </c>
      <c r="B1994" s="10">
        <v>46232</v>
      </c>
      <c r="C1994" s="9" t="s">
        <v>36</v>
      </c>
      <c r="D1994" s="9" t="s">
        <v>29</v>
      </c>
      <c r="E1994" s="11" t="s">
        <v>43</v>
      </c>
      <c r="F1994" s="11" t="s">
        <v>90</v>
      </c>
      <c r="G1994" s="3">
        <v>144.46</v>
      </c>
      <c r="H1994" s="3">
        <v>86.67</v>
      </c>
      <c r="I1994" s="12">
        <v>1</v>
      </c>
      <c r="J1994" s="9" t="s">
        <v>3310</v>
      </c>
      <c r="K1994" s="9" t="s">
        <v>49</v>
      </c>
      <c r="L1994" s="13">
        <v>0</v>
      </c>
      <c r="M1994" s="9" t="s">
        <v>34</v>
      </c>
    </row>
    <row r="1995" spans="1:13" ht="20.25" customHeight="1" x14ac:dyDescent="0.25">
      <c r="A1995" s="9" t="s">
        <v>3311</v>
      </c>
      <c r="B1995" s="10">
        <v>46233</v>
      </c>
      <c r="C1995" s="9" t="s">
        <v>28</v>
      </c>
      <c r="D1995" s="9" t="s">
        <v>51</v>
      </c>
      <c r="E1995" s="11" t="s">
        <v>37</v>
      </c>
      <c r="F1995" s="11" t="s">
        <v>38</v>
      </c>
      <c r="G1995" s="3">
        <v>-115.57</v>
      </c>
      <c r="H1995" s="3">
        <v>-67.41</v>
      </c>
      <c r="I1995" s="12">
        <v>-1</v>
      </c>
      <c r="J1995" s="9" t="s">
        <v>3312</v>
      </c>
      <c r="K1995" s="9" t="s">
        <v>33</v>
      </c>
      <c r="L1995" s="13">
        <v>1</v>
      </c>
      <c r="M1995" s="9" t="s">
        <v>76</v>
      </c>
    </row>
    <row r="1996" spans="1:13" ht="20.25" customHeight="1" x14ac:dyDescent="0.25">
      <c r="A1996" s="9" t="s">
        <v>3313</v>
      </c>
      <c r="B1996" s="10">
        <v>46233</v>
      </c>
      <c r="C1996" s="9" t="s">
        <v>28</v>
      </c>
      <c r="D1996" s="9" t="s">
        <v>42</v>
      </c>
      <c r="E1996" s="11" t="s">
        <v>30</v>
      </c>
      <c r="F1996" s="11" t="s">
        <v>80</v>
      </c>
      <c r="G1996" s="3">
        <v>-818.59</v>
      </c>
      <c r="H1996" s="3">
        <v>-577.83000000000004</v>
      </c>
      <c r="I1996" s="12">
        <v>-1</v>
      </c>
      <c r="J1996" s="9" t="s">
        <v>3314</v>
      </c>
      <c r="K1996" s="9" t="s">
        <v>49</v>
      </c>
      <c r="L1996" s="13">
        <v>0</v>
      </c>
      <c r="M1996" s="9" t="s">
        <v>76</v>
      </c>
    </row>
    <row r="1997" spans="1:13" ht="20.25" customHeight="1" x14ac:dyDescent="0.25">
      <c r="A1997" s="9" t="s">
        <v>3315</v>
      </c>
      <c r="B1997" s="10">
        <v>46233</v>
      </c>
      <c r="C1997" s="9" t="s">
        <v>28</v>
      </c>
      <c r="D1997" s="9" t="s">
        <v>51</v>
      </c>
      <c r="E1997" s="11" t="s">
        <v>30</v>
      </c>
      <c r="F1997" s="11" t="s">
        <v>31</v>
      </c>
      <c r="G1997" s="3">
        <v>1251.95</v>
      </c>
      <c r="H1997" s="3">
        <v>866.74</v>
      </c>
      <c r="I1997" s="12">
        <v>2</v>
      </c>
      <c r="J1997" s="9" t="s">
        <v>1536</v>
      </c>
      <c r="K1997" s="9" t="s">
        <v>49</v>
      </c>
      <c r="L1997" s="13">
        <v>0</v>
      </c>
      <c r="M1997" s="9" t="s">
        <v>34</v>
      </c>
    </row>
    <row r="1998" spans="1:13" ht="20.25" customHeight="1" x14ac:dyDescent="0.25">
      <c r="A1998" s="9" t="s">
        <v>3316</v>
      </c>
      <c r="B1998" s="10">
        <v>46234</v>
      </c>
      <c r="C1998" s="9" t="s">
        <v>36</v>
      </c>
      <c r="D1998" s="9" t="s">
        <v>29</v>
      </c>
      <c r="E1998" s="11" t="s">
        <v>58</v>
      </c>
      <c r="F1998" s="11" t="s">
        <v>87</v>
      </c>
      <c r="G1998" s="3">
        <v>173.35</v>
      </c>
      <c r="H1998" s="3">
        <v>105.93</v>
      </c>
      <c r="I1998" s="12">
        <v>1</v>
      </c>
      <c r="J1998" s="9" t="s">
        <v>3317</v>
      </c>
      <c r="K1998" s="9" t="s">
        <v>49</v>
      </c>
      <c r="L1998" s="13">
        <v>0</v>
      </c>
      <c r="M1998" s="9" t="s">
        <v>34</v>
      </c>
    </row>
    <row r="1999" spans="1:13" ht="20.25" customHeight="1" x14ac:dyDescent="0.25">
      <c r="A1999" s="9" t="s">
        <v>3318</v>
      </c>
      <c r="B1999" s="10">
        <v>46234</v>
      </c>
      <c r="C1999" s="9" t="s">
        <v>28</v>
      </c>
      <c r="D1999" s="9" t="s">
        <v>42</v>
      </c>
      <c r="E1999" s="11" t="s">
        <v>58</v>
      </c>
      <c r="F1999" s="11" t="s">
        <v>59</v>
      </c>
      <c r="G1999" s="3">
        <v>144.46</v>
      </c>
      <c r="H1999" s="3">
        <v>86.67</v>
      </c>
      <c r="I1999" s="12">
        <v>1</v>
      </c>
      <c r="J1999" s="9" t="s">
        <v>322</v>
      </c>
      <c r="K1999" s="9" t="s">
        <v>49</v>
      </c>
      <c r="L1999" s="13">
        <v>0</v>
      </c>
      <c r="M1999" s="9" t="s">
        <v>34</v>
      </c>
    </row>
    <row r="2000" spans="1:13" ht="20.25" customHeight="1" x14ac:dyDescent="0.25">
      <c r="A2000" s="9" t="s">
        <v>3319</v>
      </c>
      <c r="B2000" s="10">
        <v>46234</v>
      </c>
      <c r="C2000" s="9" t="s">
        <v>36</v>
      </c>
      <c r="D2000" s="9" t="s">
        <v>42</v>
      </c>
      <c r="E2000" s="11" t="s">
        <v>37</v>
      </c>
      <c r="F2000" s="11" t="s">
        <v>55</v>
      </c>
      <c r="G2000" s="3">
        <v>173.35</v>
      </c>
      <c r="H2000" s="3">
        <v>105.93</v>
      </c>
      <c r="I2000" s="12">
        <v>2</v>
      </c>
      <c r="J2000" s="9" t="s">
        <v>3320</v>
      </c>
      <c r="K2000" s="9" t="s">
        <v>33</v>
      </c>
      <c r="L2000" s="13">
        <v>1</v>
      </c>
      <c r="M2000" s="9" t="s">
        <v>34</v>
      </c>
    </row>
    <row r="2001" spans="1:13" ht="20.25" customHeight="1" x14ac:dyDescent="0.25">
      <c r="A2001" s="9" t="s">
        <v>3321</v>
      </c>
      <c r="B2001" s="10">
        <v>46234</v>
      </c>
      <c r="C2001" s="9" t="s">
        <v>71</v>
      </c>
      <c r="D2001" s="9" t="s">
        <v>29</v>
      </c>
      <c r="E2001" s="11" t="s">
        <v>37</v>
      </c>
      <c r="F2001" s="11" t="s">
        <v>55</v>
      </c>
      <c r="G2001" s="3">
        <v>86.67</v>
      </c>
      <c r="H2001" s="3">
        <v>52.97</v>
      </c>
      <c r="I2001" s="12">
        <v>1</v>
      </c>
      <c r="J2001" s="9" t="s">
        <v>2369</v>
      </c>
      <c r="K2001" s="9" t="s">
        <v>49</v>
      </c>
      <c r="L2001" s="13">
        <v>0</v>
      </c>
      <c r="M2001" s="9" t="s">
        <v>34</v>
      </c>
    </row>
  </sheetData>
  <pageMargins left="0.7" right="0.7" top="0.75" bottom="0.75" header="0.3" footer="0.3"/>
  <pageSetup pageOrder="overThenDown" orientation="portrait"/>
  <headerFooter>
    <oddHeader>&amp;L&amp;C&amp;R</oddHeader>
    <oddFooter>&amp;L&amp;C&amp;R</oddFooter>
    <evenHeader>&amp;L&amp;C&amp;R</evenHeader>
    <evenFooter>&amp;L&amp;C&amp;R</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328-E959-48AE-8B37-E52FC13D5C91}">
  <dimension ref="A3:Z9"/>
  <sheetViews>
    <sheetView workbookViewId="0">
      <selection activeCell="U22" sqref="U22"/>
    </sheetView>
  </sheetViews>
  <sheetFormatPr defaultRowHeight="12" x14ac:dyDescent="0.25"/>
  <cols>
    <col min="1" max="1" width="17.44140625" bestFit="1" customWidth="1"/>
    <col min="2" max="2" width="14.88671875" bestFit="1" customWidth="1"/>
    <col min="3" max="3" width="10" bestFit="1" customWidth="1"/>
    <col min="4" max="4" width="9" bestFit="1" customWidth="1"/>
    <col min="5" max="5" width="10" bestFit="1" customWidth="1"/>
    <col min="6" max="8" width="9" bestFit="1" customWidth="1"/>
    <col min="9" max="9" width="10" bestFit="1" customWidth="1"/>
    <col min="10" max="12" width="9" bestFit="1" customWidth="1"/>
    <col min="13" max="13" width="10" bestFit="1" customWidth="1"/>
    <col min="14" max="16" width="9" bestFit="1" customWidth="1"/>
    <col min="17" max="17" width="10" bestFit="1" customWidth="1"/>
    <col min="18" max="18" width="9" bestFit="1" customWidth="1"/>
    <col min="19" max="19" width="10" bestFit="1" customWidth="1"/>
    <col min="20" max="24" width="9" bestFit="1" customWidth="1"/>
    <col min="25" max="25" width="10" bestFit="1" customWidth="1"/>
    <col min="26" max="26" width="11" bestFit="1" customWidth="1"/>
    <col min="27" max="43" width="7.5546875" bestFit="1" customWidth="1"/>
    <col min="44" max="58" width="9" bestFit="1" customWidth="1"/>
    <col min="59" max="59" width="10.21875" bestFit="1" customWidth="1"/>
    <col min="60" max="61" width="9.6640625" bestFit="1" customWidth="1"/>
    <col min="62" max="74" width="8.21875" bestFit="1" customWidth="1"/>
    <col min="75" max="78" width="6.5546875" bestFit="1" customWidth="1"/>
    <col min="79" max="120" width="7.5546875" bestFit="1" customWidth="1"/>
    <col min="121" max="138" width="9" bestFit="1" customWidth="1"/>
    <col min="139" max="139" width="10.6640625" bestFit="1" customWidth="1"/>
    <col min="140" max="141" width="9.6640625" bestFit="1" customWidth="1"/>
    <col min="142" max="148" width="8.21875" bestFit="1" customWidth="1"/>
    <col min="149" max="152" width="6.5546875" bestFit="1" customWidth="1"/>
    <col min="153" max="184" width="7.5546875" bestFit="1" customWidth="1"/>
    <col min="185" max="197" width="9" bestFit="1" customWidth="1"/>
    <col min="198" max="198" width="11.5546875" bestFit="1" customWidth="1"/>
    <col min="199" max="199" width="7.77734375" bestFit="1" customWidth="1"/>
    <col min="200" max="201" width="9.6640625" bestFit="1" customWidth="1"/>
    <col min="202" max="208" width="8.21875" bestFit="1" customWidth="1"/>
    <col min="209" max="210" width="7.21875" bestFit="1" customWidth="1"/>
    <col min="211" max="213" width="6.5546875" bestFit="1" customWidth="1"/>
    <col min="214" max="244" width="7.5546875" bestFit="1" customWidth="1"/>
    <col min="245" max="255" width="9" bestFit="1" customWidth="1"/>
    <col min="256" max="256" width="10.21875" bestFit="1" customWidth="1"/>
    <col min="257" max="258" width="9.6640625" bestFit="1" customWidth="1"/>
    <col min="259" max="260" width="8.21875" bestFit="1" customWidth="1"/>
    <col min="261" max="261" width="7.21875" bestFit="1" customWidth="1"/>
    <col min="262" max="265" width="6.5546875" bestFit="1" customWidth="1"/>
    <col min="266" max="295" width="7.5546875" bestFit="1" customWidth="1"/>
    <col min="296" max="311" width="9" bestFit="1" customWidth="1"/>
    <col min="312" max="312" width="10.6640625" bestFit="1" customWidth="1"/>
    <col min="313" max="313" width="9.6640625" bestFit="1" customWidth="1"/>
    <col min="314" max="315" width="8.21875" bestFit="1" customWidth="1"/>
    <col min="316" max="316" width="7.21875" bestFit="1" customWidth="1"/>
    <col min="317" max="320" width="6.5546875" bestFit="1" customWidth="1"/>
    <col min="321" max="342" width="7.5546875" bestFit="1" customWidth="1"/>
    <col min="343" max="348" width="9" bestFit="1" customWidth="1"/>
    <col min="349" max="349" width="11.5546875" bestFit="1" customWidth="1"/>
    <col min="350" max="350" width="7.44140625" bestFit="1" customWidth="1"/>
    <col min="351" max="351" width="8.21875" bestFit="1" customWidth="1"/>
    <col min="352" max="355" width="6.5546875" bestFit="1" customWidth="1"/>
    <col min="356" max="374" width="7.5546875" bestFit="1" customWidth="1"/>
    <col min="375" max="383" width="9" bestFit="1" customWidth="1"/>
    <col min="384" max="384" width="10.21875" bestFit="1" customWidth="1"/>
    <col min="385" max="385" width="9.6640625" bestFit="1" customWidth="1"/>
    <col min="386" max="390" width="8.21875" bestFit="1" customWidth="1"/>
    <col min="391" max="392" width="7.21875" bestFit="1" customWidth="1"/>
    <col min="393" max="396" width="6.5546875" bestFit="1" customWidth="1"/>
    <col min="397" max="425" width="7.5546875" bestFit="1" customWidth="1"/>
    <col min="426" max="441" width="9" bestFit="1" customWidth="1"/>
    <col min="442" max="442" width="10.6640625" bestFit="1" customWidth="1"/>
    <col min="443" max="443" width="9.6640625" bestFit="1" customWidth="1"/>
    <col min="444" max="446" width="6.5546875" bestFit="1" customWidth="1"/>
    <col min="447" max="460" width="7.5546875" bestFit="1" customWidth="1"/>
    <col min="461" max="465" width="9" bestFit="1" customWidth="1"/>
    <col min="466" max="466" width="11.5546875" bestFit="1" customWidth="1"/>
    <col min="467" max="467" width="7.109375" bestFit="1" customWidth="1"/>
    <col min="468" max="469" width="9.6640625" bestFit="1" customWidth="1"/>
    <col min="470" max="475" width="8.21875" bestFit="1" customWidth="1"/>
    <col min="476" max="478" width="6.5546875" bestFit="1" customWidth="1"/>
    <col min="479" max="506" width="7.5546875" bestFit="1" customWidth="1"/>
    <col min="507" max="517" width="9" bestFit="1" customWidth="1"/>
    <col min="518" max="518" width="10.21875" bestFit="1" customWidth="1"/>
    <col min="519" max="519" width="9.6640625" bestFit="1" customWidth="1"/>
    <col min="520" max="524" width="8.21875" bestFit="1" customWidth="1"/>
    <col min="525" max="528" width="6.5546875" bestFit="1" customWidth="1"/>
    <col min="529" max="558" width="7.5546875" bestFit="1" customWidth="1"/>
    <col min="559" max="574" width="9" bestFit="1" customWidth="1"/>
    <col min="575" max="575" width="10.6640625" bestFit="1" customWidth="1"/>
    <col min="576" max="576" width="8.77734375" bestFit="1" customWidth="1"/>
    <col min="577" max="577" width="8.21875" bestFit="1" customWidth="1"/>
    <col min="578" max="581" width="6.5546875" bestFit="1" customWidth="1"/>
    <col min="582" max="602" width="7.5546875" bestFit="1" customWidth="1"/>
    <col min="603" max="614" width="9" bestFit="1" customWidth="1"/>
    <col min="615" max="615" width="11.5546875" bestFit="1" customWidth="1"/>
    <col min="616" max="616" width="7.88671875" bestFit="1" customWidth="1"/>
    <col min="617" max="621" width="9.6640625" bestFit="1" customWidth="1"/>
    <col min="622" max="624" width="8.21875" bestFit="1" customWidth="1"/>
    <col min="625" max="628" width="6.5546875" bestFit="1" customWidth="1"/>
    <col min="629" max="659" width="7.5546875" bestFit="1" customWidth="1"/>
    <col min="660" max="673" width="9" bestFit="1" customWidth="1"/>
    <col min="674" max="674" width="10.21875" bestFit="1" customWidth="1"/>
    <col min="675" max="677" width="9.6640625" bestFit="1" customWidth="1"/>
    <col min="678" max="685" width="8.21875" bestFit="1" customWidth="1"/>
    <col min="686" max="686" width="7.21875" bestFit="1" customWidth="1"/>
    <col min="687" max="690" width="6.5546875" bestFit="1" customWidth="1"/>
    <col min="691" max="726" width="7.5546875" bestFit="1" customWidth="1"/>
    <col min="727" max="743" width="9" bestFit="1" customWidth="1"/>
    <col min="744" max="744" width="10.6640625" bestFit="1" customWidth="1"/>
    <col min="745" max="746" width="9.6640625" bestFit="1" customWidth="1"/>
    <col min="747" max="749" width="8.21875" bestFit="1" customWidth="1"/>
    <col min="750" max="752" width="6.5546875" bestFit="1" customWidth="1"/>
    <col min="753" max="779" width="7.5546875" bestFit="1" customWidth="1"/>
    <col min="780" max="790" width="9" bestFit="1" customWidth="1"/>
    <col min="791" max="791" width="11.5546875" bestFit="1" customWidth="1"/>
    <col min="792" max="792" width="7.6640625" bestFit="1" customWidth="1"/>
    <col min="793" max="793" width="8.21875" bestFit="1" customWidth="1"/>
    <col min="794" max="794" width="7.21875" bestFit="1" customWidth="1"/>
    <col min="795" max="797" width="6.5546875" bestFit="1" customWidth="1"/>
    <col min="798" max="819" width="7.5546875" bestFit="1" customWidth="1"/>
    <col min="820" max="830" width="9" bestFit="1" customWidth="1"/>
    <col min="831" max="831" width="10.21875" bestFit="1" customWidth="1"/>
    <col min="832" max="832" width="9.6640625" bestFit="1" customWidth="1"/>
    <col min="833" max="833" width="8.21875" bestFit="1" customWidth="1"/>
    <col min="834" max="836" width="6.5546875" bestFit="1" customWidth="1"/>
    <col min="837" max="860" width="7.5546875" bestFit="1" customWidth="1"/>
    <col min="861" max="870" width="9" bestFit="1" customWidth="1"/>
    <col min="871" max="871" width="10.6640625" bestFit="1" customWidth="1"/>
    <col min="872" max="872" width="8.77734375" bestFit="1" customWidth="1"/>
    <col min="873" max="873" width="6.5546875" bestFit="1" customWidth="1"/>
    <col min="874" max="886" width="7.5546875" bestFit="1" customWidth="1"/>
    <col min="887" max="893" width="9" bestFit="1" customWidth="1"/>
    <col min="894" max="894" width="11.5546875" bestFit="1" customWidth="1"/>
    <col min="895" max="895" width="8.33203125" bestFit="1" customWidth="1"/>
    <col min="896" max="896" width="10.44140625" bestFit="1" customWidth="1"/>
  </cols>
  <sheetData>
    <row r="3" spans="1:26" x14ac:dyDescent="0.25">
      <c r="A3" s="15" t="s">
        <v>3322</v>
      </c>
      <c r="B3" s="15" t="s">
        <v>3328</v>
      </c>
    </row>
    <row r="4" spans="1:26" x14ac:dyDescent="0.25">
      <c r="B4" t="s">
        <v>28</v>
      </c>
      <c r="E4" t="s">
        <v>3329</v>
      </c>
      <c r="F4" t="s">
        <v>41</v>
      </c>
      <c r="I4" t="s">
        <v>3330</v>
      </c>
      <c r="J4" t="s">
        <v>54</v>
      </c>
      <c r="M4" t="s">
        <v>3331</v>
      </c>
      <c r="N4" t="s">
        <v>71</v>
      </c>
      <c r="Q4" t="s">
        <v>3332</v>
      </c>
      <c r="R4" t="s">
        <v>36</v>
      </c>
      <c r="U4" t="s">
        <v>3333</v>
      </c>
      <c r="V4" t="s">
        <v>62</v>
      </c>
      <c r="Y4" t="s">
        <v>3334</v>
      </c>
      <c r="Z4" t="s">
        <v>3324</v>
      </c>
    </row>
    <row r="5" spans="1:26" x14ac:dyDescent="0.25">
      <c r="A5" s="15" t="s">
        <v>3323</v>
      </c>
      <c r="B5" t="s">
        <v>51</v>
      </c>
      <c r="C5" t="s">
        <v>29</v>
      </c>
      <c r="D5" t="s">
        <v>42</v>
      </c>
      <c r="F5" t="s">
        <v>51</v>
      </c>
      <c r="G5" t="s">
        <v>29</v>
      </c>
      <c r="H5" t="s">
        <v>42</v>
      </c>
      <c r="J5" t="s">
        <v>51</v>
      </c>
      <c r="K5" t="s">
        <v>29</v>
      </c>
      <c r="L5" t="s">
        <v>42</v>
      </c>
      <c r="N5" t="s">
        <v>51</v>
      </c>
      <c r="O5" t="s">
        <v>29</v>
      </c>
      <c r="P5" t="s">
        <v>42</v>
      </c>
      <c r="R5" t="s">
        <v>51</v>
      </c>
      <c r="S5" t="s">
        <v>29</v>
      </c>
      <c r="T5" t="s">
        <v>42</v>
      </c>
      <c r="V5" t="s">
        <v>51</v>
      </c>
      <c r="W5" t="s">
        <v>29</v>
      </c>
      <c r="X5" t="s">
        <v>42</v>
      </c>
    </row>
    <row r="6" spans="1:26" x14ac:dyDescent="0.25">
      <c r="A6" s="16" t="s">
        <v>3325</v>
      </c>
      <c r="B6" s="14">
        <v>17135</v>
      </c>
      <c r="C6" s="14">
        <v>33310</v>
      </c>
      <c r="D6" s="14">
        <v>7505</v>
      </c>
      <c r="E6" s="14">
        <v>57950</v>
      </c>
      <c r="F6" s="14">
        <v>11040</v>
      </c>
      <c r="G6" s="14">
        <v>14080</v>
      </c>
      <c r="H6" s="14">
        <v>6880</v>
      </c>
      <c r="I6" s="14">
        <v>32000</v>
      </c>
      <c r="J6" s="14">
        <v>3845</v>
      </c>
      <c r="K6" s="14">
        <v>16580</v>
      </c>
      <c r="L6" s="14">
        <v>1700</v>
      </c>
      <c r="M6" s="14">
        <v>22125</v>
      </c>
      <c r="N6" s="14">
        <v>5860</v>
      </c>
      <c r="O6" s="14">
        <v>12970</v>
      </c>
      <c r="P6" s="14">
        <v>5835</v>
      </c>
      <c r="Q6" s="14">
        <v>24665</v>
      </c>
      <c r="R6" s="14">
        <v>21470</v>
      </c>
      <c r="S6" s="14">
        <v>31530</v>
      </c>
      <c r="T6" s="14">
        <v>11970</v>
      </c>
      <c r="U6" s="14">
        <v>64970</v>
      </c>
      <c r="V6" s="14">
        <v>11460</v>
      </c>
      <c r="W6" s="14">
        <v>10900</v>
      </c>
      <c r="X6" s="14">
        <v>4995</v>
      </c>
      <c r="Y6" s="14">
        <v>27355</v>
      </c>
      <c r="Z6" s="14">
        <v>229065</v>
      </c>
    </row>
    <row r="7" spans="1:26" x14ac:dyDescent="0.25">
      <c r="A7" s="16" t="s">
        <v>3326</v>
      </c>
      <c r="B7" s="14">
        <v>35660.19</v>
      </c>
      <c r="C7" s="14">
        <v>95474.070000000022</v>
      </c>
      <c r="D7" s="14">
        <v>23579.359999999997</v>
      </c>
      <c r="E7" s="14">
        <v>154713.62</v>
      </c>
      <c r="F7" s="14">
        <v>34405.229999999989</v>
      </c>
      <c r="G7" s="14">
        <v>51739.339999999982</v>
      </c>
      <c r="H7" s="14">
        <v>13811.179999999997</v>
      </c>
      <c r="I7" s="14">
        <v>99955.749999999971</v>
      </c>
      <c r="J7" s="14">
        <v>25760.549999999996</v>
      </c>
      <c r="K7" s="14">
        <v>34216.22</v>
      </c>
      <c r="L7" s="14">
        <v>11512.01</v>
      </c>
      <c r="M7" s="14">
        <v>71488.78</v>
      </c>
      <c r="N7" s="14">
        <v>27566.909999999993</v>
      </c>
      <c r="O7" s="14">
        <v>34331.87999999999</v>
      </c>
      <c r="P7" s="14">
        <v>16842.919999999998</v>
      </c>
      <c r="Q7" s="14">
        <v>78741.709999999977</v>
      </c>
      <c r="R7" s="14">
        <v>15041.96</v>
      </c>
      <c r="S7" s="14">
        <v>41837.350000000006</v>
      </c>
      <c r="T7" s="14">
        <v>13455.979999999998</v>
      </c>
      <c r="U7" s="14">
        <v>70335.290000000008</v>
      </c>
      <c r="V7" s="14">
        <v>17982.750000000004</v>
      </c>
      <c r="W7" s="14">
        <v>27386.71</v>
      </c>
      <c r="X7" s="14">
        <v>13238.849999999997</v>
      </c>
      <c r="Y7" s="14">
        <v>58608.310000000005</v>
      </c>
      <c r="Z7" s="14">
        <v>533843.46</v>
      </c>
    </row>
    <row r="8" spans="1:26" x14ac:dyDescent="0.25">
      <c r="A8" s="16" t="s">
        <v>3327</v>
      </c>
      <c r="B8" s="14">
        <v>34457.62999999999</v>
      </c>
      <c r="C8" s="14">
        <v>46659.469999999965</v>
      </c>
      <c r="D8" s="14">
        <v>22289.59</v>
      </c>
      <c r="E8" s="14">
        <v>103406.68999999994</v>
      </c>
      <c r="F8" s="14">
        <v>9654.5099999999984</v>
      </c>
      <c r="G8" s="14">
        <v>23276.759999999995</v>
      </c>
      <c r="H8" s="14">
        <v>9471.5400000000009</v>
      </c>
      <c r="I8" s="14">
        <v>42402.80999999999</v>
      </c>
      <c r="J8" s="14">
        <v>11065.340000000002</v>
      </c>
      <c r="K8" s="14">
        <v>19833.850000000002</v>
      </c>
      <c r="L8" s="14">
        <v>1589.0199999999991</v>
      </c>
      <c r="M8" s="14">
        <v>32488.210000000003</v>
      </c>
      <c r="N8" s="14">
        <v>10266.039999999999</v>
      </c>
      <c r="O8" s="14">
        <v>35444.759999999973</v>
      </c>
      <c r="P8" s="14">
        <v>19395.68</v>
      </c>
      <c r="Q8" s="14">
        <v>65106.479999999974</v>
      </c>
      <c r="R8" s="14">
        <v>21475.87</v>
      </c>
      <c r="S8" s="14">
        <v>33769.119999999988</v>
      </c>
      <c r="T8" s="14">
        <v>15673.520000000002</v>
      </c>
      <c r="U8" s="14">
        <v>70918.509999999995</v>
      </c>
      <c r="V8" s="14">
        <v>16203.199999999999</v>
      </c>
      <c r="W8" s="14">
        <v>14580.49</v>
      </c>
      <c r="X8" s="14">
        <v>6086.4400000000005</v>
      </c>
      <c r="Y8" s="14">
        <v>36870.129999999997</v>
      </c>
      <c r="Z8" s="14">
        <v>351192.82999999996</v>
      </c>
    </row>
    <row r="9" spans="1:26" x14ac:dyDescent="0.25">
      <c r="A9" s="16" t="s">
        <v>3324</v>
      </c>
      <c r="B9" s="14">
        <v>87252.819999999992</v>
      </c>
      <c r="C9" s="14">
        <v>175443.53999999998</v>
      </c>
      <c r="D9" s="14">
        <v>53373.95</v>
      </c>
      <c r="E9" s="14">
        <v>316070.30999999994</v>
      </c>
      <c r="F9" s="14">
        <v>55099.739999999991</v>
      </c>
      <c r="G9" s="14">
        <v>89096.099999999977</v>
      </c>
      <c r="H9" s="14">
        <v>30162.719999999998</v>
      </c>
      <c r="I9" s="14">
        <v>174358.55999999997</v>
      </c>
      <c r="J9" s="14">
        <v>40670.89</v>
      </c>
      <c r="K9" s="14">
        <v>70630.070000000007</v>
      </c>
      <c r="L9" s="14">
        <v>14801.029999999999</v>
      </c>
      <c r="M9" s="14">
        <v>126101.99</v>
      </c>
      <c r="N9" s="14">
        <v>43692.94999999999</v>
      </c>
      <c r="O9" s="14">
        <v>82746.639999999956</v>
      </c>
      <c r="P9" s="14">
        <v>42073.599999999999</v>
      </c>
      <c r="Q9" s="14">
        <v>168513.18999999994</v>
      </c>
      <c r="R9" s="14">
        <v>57987.83</v>
      </c>
      <c r="S9" s="14">
        <v>107136.47</v>
      </c>
      <c r="T9" s="14">
        <v>41099.5</v>
      </c>
      <c r="U9" s="14">
        <v>206223.8</v>
      </c>
      <c r="V9" s="14">
        <v>45645.950000000004</v>
      </c>
      <c r="W9" s="14">
        <v>52867.199999999997</v>
      </c>
      <c r="X9" s="14">
        <v>24320.29</v>
      </c>
      <c r="Y9" s="14">
        <v>122833.44</v>
      </c>
      <c r="Z9" s="14">
        <v>1114101.29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27BF-48C4-4181-B579-B695227405DC}">
  <dimension ref="A3:C16"/>
  <sheetViews>
    <sheetView workbookViewId="0">
      <selection activeCell="N17" sqref="N17"/>
    </sheetView>
  </sheetViews>
  <sheetFormatPr defaultRowHeight="12" x14ac:dyDescent="0.25"/>
  <cols>
    <col min="1" max="1" width="21.109375" bestFit="1" customWidth="1"/>
    <col min="2" max="2" width="17.44140625" bestFit="1" customWidth="1"/>
    <col min="3" max="3" width="16.5546875" bestFit="1" customWidth="1"/>
  </cols>
  <sheetData>
    <row r="3" spans="1:3" x14ac:dyDescent="0.25">
      <c r="A3" s="15" t="s">
        <v>3323</v>
      </c>
      <c r="B3" t="s">
        <v>3322</v>
      </c>
      <c r="C3" t="s">
        <v>3335</v>
      </c>
    </row>
    <row r="4" spans="1:3" x14ac:dyDescent="0.25">
      <c r="A4" s="16" t="s">
        <v>44</v>
      </c>
      <c r="B4" s="14">
        <v>9548.7800000000097</v>
      </c>
      <c r="C4" s="14">
        <v>4243.7800000000116</v>
      </c>
    </row>
    <row r="5" spans="1:3" x14ac:dyDescent="0.25">
      <c r="A5" s="16" t="s">
        <v>68</v>
      </c>
      <c r="B5" s="14">
        <v>100337.06000000003</v>
      </c>
      <c r="C5" s="14">
        <v>63069.280000000086</v>
      </c>
    </row>
    <row r="6" spans="1:3" x14ac:dyDescent="0.25">
      <c r="A6" s="16" t="s">
        <v>87</v>
      </c>
      <c r="B6" s="14">
        <v>43808.649999999907</v>
      </c>
      <c r="C6" s="14">
        <v>26771.569999999996</v>
      </c>
    </row>
    <row r="7" spans="1:3" x14ac:dyDescent="0.25">
      <c r="A7" s="16" t="s">
        <v>31</v>
      </c>
      <c r="B7" s="14">
        <v>200497.97000000029</v>
      </c>
      <c r="C7" s="14">
        <v>138806.45999999988</v>
      </c>
    </row>
    <row r="8" spans="1:3" x14ac:dyDescent="0.25">
      <c r="A8" s="16" t="s">
        <v>59</v>
      </c>
      <c r="B8" s="14">
        <v>31501.449999999946</v>
      </c>
      <c r="C8" s="14">
        <v>18900.599999999984</v>
      </c>
    </row>
    <row r="9" spans="1:3" x14ac:dyDescent="0.25">
      <c r="A9" s="16" t="s">
        <v>47</v>
      </c>
      <c r="B9" s="14">
        <v>26486.339999999997</v>
      </c>
      <c r="C9" s="14">
        <v>15651.250000000029</v>
      </c>
    </row>
    <row r="10" spans="1:3" x14ac:dyDescent="0.25">
      <c r="A10" s="16" t="s">
        <v>80</v>
      </c>
      <c r="B10" s="14">
        <v>264832.34000000026</v>
      </c>
      <c r="C10" s="14">
        <v>186940.61999999956</v>
      </c>
    </row>
    <row r="11" spans="1:3" x14ac:dyDescent="0.25">
      <c r="A11" s="16" t="s">
        <v>38</v>
      </c>
      <c r="B11" s="14">
        <v>21819.049999999992</v>
      </c>
      <c r="C11" s="14">
        <v>12727.63999999999</v>
      </c>
    </row>
    <row r="12" spans="1:3" x14ac:dyDescent="0.25">
      <c r="A12" s="16" t="s">
        <v>72</v>
      </c>
      <c r="B12" s="14">
        <v>37955.780000000006</v>
      </c>
      <c r="C12" s="14">
        <v>22428.520000000011</v>
      </c>
    </row>
    <row r="13" spans="1:3" x14ac:dyDescent="0.25">
      <c r="A13" s="16" t="s">
        <v>90</v>
      </c>
      <c r="B13" s="14">
        <v>32490.139999999952</v>
      </c>
      <c r="C13" s="14">
        <v>19493.829999999976</v>
      </c>
    </row>
    <row r="14" spans="1:3" x14ac:dyDescent="0.25">
      <c r="A14" s="16" t="s">
        <v>55</v>
      </c>
      <c r="B14" s="14">
        <v>15520.580000000013</v>
      </c>
      <c r="C14" s="14">
        <v>9484.880000000001</v>
      </c>
    </row>
    <row r="15" spans="1:3" x14ac:dyDescent="0.25">
      <c r="A15" s="16" t="s">
        <v>63</v>
      </c>
      <c r="B15" s="14">
        <v>329303.14999999997</v>
      </c>
      <c r="C15" s="14">
        <v>233256.65000000023</v>
      </c>
    </row>
    <row r="16" spans="1:3" x14ac:dyDescent="0.25">
      <c r="A16" s="16" t="s">
        <v>3324</v>
      </c>
      <c r="B16" s="14">
        <v>1114101.2900000003</v>
      </c>
      <c r="C16" s="14">
        <v>751775.07999999973</v>
      </c>
    </row>
  </sheetData>
  <conditionalFormatting pivot="1" sqref="B4:B15">
    <cfRule type="colorScale" priority="1">
      <colorScale>
        <cfvo type="min"/>
        <cfvo type="percentile" val="50"/>
        <cfvo type="max"/>
        <color rgb="FFF8696B"/>
        <color rgb="FFFCFCFF"/>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E56A8-326D-475F-A00C-7680AD168399}">
  <dimension ref="A3:B10"/>
  <sheetViews>
    <sheetView workbookViewId="0">
      <selection activeCell="I32" sqref="I32"/>
    </sheetView>
  </sheetViews>
  <sheetFormatPr defaultRowHeight="12" x14ac:dyDescent="0.25"/>
  <cols>
    <col min="1" max="1" width="12.33203125" bestFit="1" customWidth="1"/>
    <col min="2" max="2" width="21.6640625" bestFit="1" customWidth="1"/>
    <col min="3" max="3" width="2" bestFit="1" customWidth="1"/>
    <col min="4" max="4" width="10.44140625" bestFit="1" customWidth="1"/>
  </cols>
  <sheetData>
    <row r="3" spans="1:2" x14ac:dyDescent="0.25">
      <c r="A3" s="15" t="s">
        <v>3323</v>
      </c>
      <c r="B3" t="s">
        <v>3336</v>
      </c>
    </row>
    <row r="4" spans="1:2" x14ac:dyDescent="0.25">
      <c r="A4" s="16" t="s">
        <v>28</v>
      </c>
      <c r="B4" s="14">
        <v>182</v>
      </c>
    </row>
    <row r="5" spans="1:2" x14ac:dyDescent="0.25">
      <c r="A5" s="16" t="s">
        <v>41</v>
      </c>
      <c r="B5" s="14">
        <v>90</v>
      </c>
    </row>
    <row r="6" spans="1:2" x14ac:dyDescent="0.25">
      <c r="A6" s="16" t="s">
        <v>54</v>
      </c>
      <c r="B6" s="14">
        <v>61</v>
      </c>
    </row>
    <row r="7" spans="1:2" x14ac:dyDescent="0.25">
      <c r="A7" s="16" t="s">
        <v>71</v>
      </c>
      <c r="B7" s="14">
        <v>90</v>
      </c>
    </row>
    <row r="8" spans="1:2" x14ac:dyDescent="0.25">
      <c r="A8" s="16" t="s">
        <v>36</v>
      </c>
      <c r="B8" s="14">
        <v>119</v>
      </c>
    </row>
    <row r="9" spans="1:2" x14ac:dyDescent="0.25">
      <c r="A9" s="16" t="s">
        <v>62</v>
      </c>
      <c r="B9" s="14">
        <v>56</v>
      </c>
    </row>
    <row r="10" spans="1:2" x14ac:dyDescent="0.25">
      <c r="A10" s="16" t="s">
        <v>3324</v>
      </c>
      <c r="B10" s="14">
        <v>598</v>
      </c>
    </row>
  </sheetData>
  <conditionalFormatting pivot="1" sqref="B4:B9">
    <cfRule type="colorScale" priority="1">
      <colorScale>
        <cfvo type="min"/>
        <cfvo type="percentile" val="50"/>
        <cfvo type="max"/>
        <color rgb="FFF8696B"/>
        <color rgb="FFFCFCFF"/>
        <color rgb="FF63BE7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F349A-08B7-E5D3-7B98-32B172A2E228}">
  <dimension ref="A1:D12"/>
  <sheetViews>
    <sheetView defaultGridColor="0" colorId="41" workbookViewId="0">
      <selection activeCell="I4" sqref="I4"/>
    </sheetView>
  </sheetViews>
  <sheetFormatPr defaultColWidth="15.6640625" defaultRowHeight="20.25" customHeight="1" x14ac:dyDescent="0.25"/>
  <cols>
    <col min="1" max="1" width="35.6640625" customWidth="1"/>
  </cols>
  <sheetData>
    <row r="1" spans="1:4" ht="20.25" customHeight="1" x14ac:dyDescent="0.25">
      <c r="A1" s="1" t="s">
        <v>0</v>
      </c>
      <c r="B1" s="1" t="s">
        <v>1</v>
      </c>
      <c r="C1" s="1" t="s">
        <v>2</v>
      </c>
      <c r="D1" s="1" t="s">
        <v>3</v>
      </c>
    </row>
    <row r="2" spans="1:4" ht="20.25" customHeight="1" x14ac:dyDescent="0.25">
      <c r="A2" s="2" t="s">
        <v>4</v>
      </c>
      <c r="B2" s="3">
        <f>SUMIFS(sales_data!G:G,sales_data!B:B,"&gt;=2024-08-01",sales_data!B:B,"&lt;=2025-07-31")</f>
        <v>551535</v>
      </c>
      <c r="C2" s="3">
        <f>SUMIFS(sales_data!G:G,sales_data!B:B,"&gt;=2025-08-01",sales_data!B:B,"&lt;=2026-07-31")</f>
        <v>562566.29000000143</v>
      </c>
      <c r="D2" s="4">
        <f>(C2-B2)/B2</f>
        <v>2.0001069741723432E-2</v>
      </c>
    </row>
    <row r="3" spans="1:4" ht="20.25" customHeight="1" x14ac:dyDescent="0.25">
      <c r="A3" s="2" t="s">
        <v>5</v>
      </c>
      <c r="B3" s="3">
        <f>SUMIFS(sales_data!H:H,sales_data!B:B,"&gt;=2024-08-01",sales_data!B:B,"&lt;=2025-07-31")</f>
        <v>371845</v>
      </c>
      <c r="C3" s="3">
        <f>SUMIFS(sales_data!H:H,sales_data!B:B,"&gt;=2025-08-01",sales_data!B:B,"&lt;=2026-07-31")</f>
        <v>379930.07999999903</v>
      </c>
      <c r="D3" s="4">
        <f>(C3-B3)/B3</f>
        <v>2.1743145665530064E-2</v>
      </c>
    </row>
    <row r="4" spans="1:4" ht="20.25" customHeight="1" x14ac:dyDescent="0.25">
      <c r="A4" s="5" t="s">
        <v>6</v>
      </c>
      <c r="B4" s="6">
        <f>B2-B3</f>
        <v>179690</v>
      </c>
      <c r="C4" s="6">
        <f>C2-C3</f>
        <v>182636.21000000241</v>
      </c>
      <c r="D4" s="7">
        <f>(C4-B4)/B4</f>
        <v>1.6396071011199328E-2</v>
      </c>
    </row>
    <row r="5" spans="1:4" ht="20.25" customHeight="1" x14ac:dyDescent="0.25">
      <c r="A5" s="5" t="s">
        <v>7</v>
      </c>
      <c r="B5" s="7">
        <f>B4/B2</f>
        <v>0.32579981324847923</v>
      </c>
      <c r="C5" s="7">
        <f>C4/C2</f>
        <v>0.32464833610986882</v>
      </c>
      <c r="D5" s="7">
        <f>C5-B5</f>
        <v>-1.1514771386104128E-3</v>
      </c>
    </row>
    <row r="6" spans="1:4" ht="20.25" customHeight="1" x14ac:dyDescent="0.25">
      <c r="A6" s="2"/>
      <c r="B6" s="8"/>
      <c r="C6" s="8"/>
      <c r="D6" s="8"/>
    </row>
    <row r="7" spans="1:4" ht="20.25" customHeight="1" x14ac:dyDescent="0.25">
      <c r="A7" s="2" t="s">
        <v>8</v>
      </c>
      <c r="B7" s="4">
        <f>AVERAGEIFS(sales_data!L:L,sales_data!C:C,"CA",sales_data!B:B,"&gt;=2024-08-01",sales_data!B:B,"&lt;=2025-07-31")</f>
        <v>0.34899328859060402</v>
      </c>
      <c r="C7" s="4">
        <f>AVERAGEIFS(sales_data!L:L,sales_data!C:C,"CA",sales_data!B:B,"&gt;=2025-08-01",sales_data!B:B,"&lt;=2026-07-31")</f>
        <v>0.24920127795527156</v>
      </c>
      <c r="D7" s="4">
        <f t="shared" ref="D7:D12" si="0">C7-B7</f>
        <v>-9.9792010635332468E-2</v>
      </c>
    </row>
    <row r="8" spans="1:4" ht="20.25" customHeight="1" x14ac:dyDescent="0.25">
      <c r="A8" s="2" t="s">
        <v>9</v>
      </c>
      <c r="B8" s="4">
        <f>AVERAGEIFS(sales_data!L:L,sales_data!C:C,"TX",sales_data!B:B,"&gt;=2024-08-01",sales_data!B:B,"&lt;=2025-07-31")</f>
        <v>0.3487179487179487</v>
      </c>
      <c r="C8" s="4">
        <f>AVERAGEIFS(sales_data!L:L,sales_data!C:C,"TX",sales_data!B:B,"&gt;=2025-08-01",sales_data!B:B,"&lt;=2026-07-31")</f>
        <v>0.25123152709359609</v>
      </c>
      <c r="D8" s="4">
        <f t="shared" si="0"/>
        <v>-9.7486421624352615E-2</v>
      </c>
    </row>
    <row r="9" spans="1:4" ht="20.25" customHeight="1" x14ac:dyDescent="0.25">
      <c r="A9" s="2" t="s">
        <v>10</v>
      </c>
      <c r="B9" s="4">
        <f>AVERAGEIFS(sales_data!L:L,sales_data!C:C,"NY",sales_data!B:B,"&gt;=2024-08-01",sales_data!B:B,"&lt;=2025-07-31")</f>
        <v>0.30281690140845069</v>
      </c>
      <c r="C9" s="4">
        <f>AVERAGEIFS(sales_data!L:L,sales_data!C:C,"NY",sales_data!B:B,"&gt;=2025-08-01",sales_data!B:B,"&lt;=2026-07-31")</f>
        <v>0.29746835443037972</v>
      </c>
      <c r="D9" s="4">
        <f t="shared" si="0"/>
        <v>-5.3485469780709671E-3</v>
      </c>
    </row>
    <row r="10" spans="1:4" ht="20.25" customHeight="1" x14ac:dyDescent="0.25">
      <c r="A10" s="2" t="s">
        <v>11</v>
      </c>
      <c r="B10" s="4">
        <f>AVERAGEIFS(sales_data!L:L,sales_data!C:C,"FL",sales_data!B:B,"&gt;=2024-08-01",sales_data!B:B,"&lt;=2025-07-31")</f>
        <v>0.29746835443037972</v>
      </c>
      <c r="C10" s="4">
        <f>AVERAGEIFS(sales_data!L:L,sales_data!C:C,"FL",sales_data!B:B,"&gt;=2025-08-01",sales_data!B:B,"&lt;=2026-07-31")</f>
        <v>0.30281690140845069</v>
      </c>
      <c r="D10" s="4">
        <f t="shared" si="0"/>
        <v>5.3485469780709671E-3</v>
      </c>
    </row>
    <row r="11" spans="1:4" ht="20.25" customHeight="1" x14ac:dyDescent="0.25">
      <c r="A11" s="2" t="s">
        <v>12</v>
      </c>
      <c r="B11" s="4">
        <f>AVERAGEIFS(sales_data!L:L,sales_data!C:C,"IL",sales_data!B:B,"&gt;=2024-08-01",sales_data!B:B,"&lt;=2025-07-31")</f>
        <v>0.2978723404255319</v>
      </c>
      <c r="C11" s="4">
        <f>AVERAGEIFS(sales_data!L:L,sales_data!C:C,"IL",sales_data!B:B,"&gt;=2025-08-01",sales_data!B:B,"&lt;=2026-07-31")</f>
        <v>0.29729729729729731</v>
      </c>
      <c r="D11" s="4">
        <f t="shared" si="0"/>
        <v>-5.7504312823458692E-4</v>
      </c>
    </row>
    <row r="12" spans="1:4" ht="20.25" customHeight="1" x14ac:dyDescent="0.25">
      <c r="A12" s="2" t="s">
        <v>13</v>
      </c>
      <c r="B12" s="4">
        <f>AVERAGEIFS(sales_data!L:L,sales_data!C:C,"WA",sales_data!B:B,"&gt;=2024-08-01",sales_data!B:B,"&lt;=2025-07-31")</f>
        <v>0.30107526881720431</v>
      </c>
      <c r="C12" s="4">
        <f>AVERAGEIFS(sales_data!L:L,sales_data!C:C,"WA",sales_data!B:B,"&gt;=2025-08-01",sales_data!B:B,"&lt;=2026-07-31")</f>
        <v>0.30107526881720431</v>
      </c>
      <c r="D12" s="4">
        <f t="shared" si="0"/>
        <v>0</v>
      </c>
    </row>
  </sheetData>
  <conditionalFormatting sqref="D2:D12">
    <cfRule type="colorScale" priority="1">
      <colorScale>
        <cfvo type="min"/>
        <cfvo type="percentile" val="50"/>
        <cfvo type="max"/>
        <color rgb="FFF8696B"/>
        <color rgb="FFFCFCFF"/>
        <color rgb="FF63BE7B"/>
      </colorScale>
    </cfRule>
  </conditionalFormatting>
  <pageMargins left="0.7" right="0.7" top="0.75" bottom="0.75" header="0.3" footer="0.3"/>
  <pageSetup pageOrder="overThenDown" orientation="portrait"/>
  <headerFooter>
    <oddHeader>&amp;L&amp;C&amp;R</oddHeader>
    <oddFooter>&amp;L&amp;C&amp;R</oddFooter>
    <evenHeader>&amp;L&amp;C&amp;R</evenHeader>
    <evenFooter>&amp;L&amp;C&amp;R</even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9740B-A274-4D3C-B7F6-0761087133AF}">
  <dimension ref="A1:E7"/>
  <sheetViews>
    <sheetView workbookViewId="0">
      <selection activeCell="E10" sqref="E10"/>
    </sheetView>
  </sheetViews>
  <sheetFormatPr defaultRowHeight="12" x14ac:dyDescent="0.25"/>
  <cols>
    <col min="1" max="1" width="21.21875" customWidth="1"/>
    <col min="2" max="2" width="10.21875" customWidth="1"/>
    <col min="3" max="3" width="9.33203125" customWidth="1"/>
    <col min="4" max="4" width="9.77734375" customWidth="1"/>
    <col min="5" max="5" width="11.109375" customWidth="1"/>
  </cols>
  <sheetData>
    <row r="1" spans="1:5" ht="24" x14ac:dyDescent="0.25">
      <c r="A1" s="17" t="s">
        <v>3337</v>
      </c>
      <c r="B1" s="17" t="s">
        <v>3338</v>
      </c>
      <c r="C1" s="17" t="s">
        <v>3339</v>
      </c>
      <c r="D1" s="17" t="s">
        <v>3340</v>
      </c>
      <c r="E1" s="17" t="s">
        <v>3341</v>
      </c>
    </row>
    <row r="2" spans="1:5" ht="24" x14ac:dyDescent="0.25">
      <c r="A2" s="18" t="s">
        <v>3342</v>
      </c>
      <c r="B2" s="19" t="s">
        <v>3343</v>
      </c>
      <c r="C2" s="19" t="s">
        <v>3344</v>
      </c>
      <c r="D2" s="19" t="s">
        <v>3345</v>
      </c>
      <c r="E2" s="19" t="s">
        <v>3346</v>
      </c>
    </row>
    <row r="3" spans="1:5" ht="24" x14ac:dyDescent="0.25">
      <c r="A3" s="18" t="s">
        <v>3347</v>
      </c>
      <c r="B3" s="19" t="s">
        <v>3348</v>
      </c>
      <c r="C3" s="19" t="s">
        <v>3349</v>
      </c>
      <c r="D3" s="19" t="s">
        <v>3350</v>
      </c>
      <c r="E3" s="19" t="s">
        <v>3351</v>
      </c>
    </row>
    <row r="4" spans="1:5" x14ac:dyDescent="0.25">
      <c r="A4" s="18" t="s">
        <v>3352</v>
      </c>
      <c r="B4" s="19">
        <v>960</v>
      </c>
      <c r="C4" s="19">
        <v>543</v>
      </c>
      <c r="D4" s="19">
        <v>298</v>
      </c>
      <c r="E4" s="19">
        <v>313</v>
      </c>
    </row>
    <row r="5" spans="1:5" x14ac:dyDescent="0.25">
      <c r="A5" s="18" t="s">
        <v>3353</v>
      </c>
      <c r="B5" s="19" t="s">
        <v>3354</v>
      </c>
      <c r="C5" s="19"/>
      <c r="D5" s="20">
        <v>2.7014</v>
      </c>
      <c r="E5" s="19"/>
    </row>
    <row r="6" spans="1:5" x14ac:dyDescent="0.25">
      <c r="A6" s="18" t="s">
        <v>3355</v>
      </c>
      <c r="B6" s="19" t="s">
        <v>3356</v>
      </c>
      <c r="C6" s="19"/>
      <c r="D6" s="19" t="s">
        <v>3357</v>
      </c>
      <c r="E6" s="19"/>
    </row>
    <row r="7" spans="1:5" ht="36" x14ac:dyDescent="0.25">
      <c r="A7" s="18" t="s">
        <v>3358</v>
      </c>
      <c r="B7" s="19" t="s">
        <v>3359</v>
      </c>
      <c r="C7" s="19"/>
      <c r="D7" s="19" t="s">
        <v>3360</v>
      </c>
      <c r="E7"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29FFF-B435-41D3-8DC8-D690A5EB4B4C}">
  <dimension ref="A1:E5"/>
  <sheetViews>
    <sheetView workbookViewId="0">
      <selection sqref="A1:E5"/>
    </sheetView>
  </sheetViews>
  <sheetFormatPr defaultRowHeight="12" x14ac:dyDescent="0.25"/>
  <cols>
    <col min="1" max="1" width="20.21875" customWidth="1"/>
    <col min="4" max="4" width="29.21875" customWidth="1"/>
  </cols>
  <sheetData>
    <row r="1" spans="1:5" ht="24" x14ac:dyDescent="0.25">
      <c r="A1" s="17" t="s">
        <v>3361</v>
      </c>
      <c r="B1" s="17" t="s">
        <v>3362</v>
      </c>
      <c r="C1" s="17" t="s">
        <v>3363</v>
      </c>
      <c r="D1" s="17" t="s">
        <v>3364</v>
      </c>
      <c r="E1" s="17" t="s">
        <v>3365</v>
      </c>
    </row>
    <row r="2" spans="1:5" ht="48" customHeight="1" x14ac:dyDescent="0.25">
      <c r="A2" s="18" t="s">
        <v>3366</v>
      </c>
      <c r="B2" s="21" t="s">
        <v>3367</v>
      </c>
      <c r="C2" s="21" t="s">
        <v>3368</v>
      </c>
      <c r="D2" s="22" t="s">
        <v>3369</v>
      </c>
      <c r="E2" s="22" t="s">
        <v>3370</v>
      </c>
    </row>
    <row r="3" spans="1:5" ht="41.4" customHeight="1" x14ac:dyDescent="0.25">
      <c r="A3" s="18" t="s">
        <v>3371</v>
      </c>
      <c r="B3" s="21" t="s">
        <v>3367</v>
      </c>
      <c r="C3" s="21" t="s">
        <v>3367</v>
      </c>
      <c r="D3" s="22" t="s">
        <v>3372</v>
      </c>
      <c r="E3" s="22" t="s">
        <v>3373</v>
      </c>
    </row>
    <row r="4" spans="1:5" ht="30.6" customHeight="1" x14ac:dyDescent="0.25">
      <c r="A4" s="18" t="s">
        <v>3374</v>
      </c>
      <c r="B4" s="21" t="s">
        <v>3368</v>
      </c>
      <c r="C4" s="21" t="s">
        <v>3368</v>
      </c>
      <c r="D4" s="22" t="s">
        <v>3375</v>
      </c>
      <c r="E4" s="22" t="s">
        <v>3376</v>
      </c>
    </row>
    <row r="5" spans="1:5" ht="39" customHeight="1" x14ac:dyDescent="0.25">
      <c r="A5" s="18" t="s">
        <v>3377</v>
      </c>
      <c r="B5" s="21" t="s">
        <v>3378</v>
      </c>
      <c r="C5" s="21" t="s">
        <v>3367</v>
      </c>
      <c r="D5" s="22" t="s">
        <v>3379</v>
      </c>
      <c r="E5" s="22" t="s">
        <v>3380</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2B0F7-FF4D-4CF2-B080-DEF847572DC3}">
  <dimension ref="A1:E5"/>
  <sheetViews>
    <sheetView tabSelected="1" workbookViewId="0">
      <selection sqref="A1:E5"/>
    </sheetView>
  </sheetViews>
  <sheetFormatPr defaultRowHeight="12" x14ac:dyDescent="0.25"/>
  <cols>
    <col min="1" max="1" width="21.6640625" customWidth="1"/>
    <col min="2" max="2" width="23" customWidth="1"/>
  </cols>
  <sheetData>
    <row r="1" spans="1:5" ht="36" x14ac:dyDescent="0.25">
      <c r="A1" s="17" t="s">
        <v>3381</v>
      </c>
      <c r="B1" s="17" t="s">
        <v>3382</v>
      </c>
      <c r="C1" s="17" t="s">
        <v>3383</v>
      </c>
      <c r="D1" s="17" t="s">
        <v>3384</v>
      </c>
      <c r="E1" s="17" t="s">
        <v>3385</v>
      </c>
    </row>
    <row r="2" spans="1:5" ht="52.8" customHeight="1" x14ac:dyDescent="0.25">
      <c r="A2" s="18" t="s">
        <v>3386</v>
      </c>
      <c r="B2" s="22" t="s">
        <v>3387</v>
      </c>
      <c r="C2" s="21" t="s">
        <v>3388</v>
      </c>
      <c r="D2" s="21" t="s">
        <v>3389</v>
      </c>
      <c r="E2" s="21" t="s">
        <v>3390</v>
      </c>
    </row>
    <row r="3" spans="1:5" ht="50.4" customHeight="1" x14ac:dyDescent="0.25">
      <c r="A3" s="18" t="s">
        <v>3391</v>
      </c>
      <c r="B3" s="22" t="s">
        <v>3392</v>
      </c>
      <c r="C3" s="21" t="s">
        <v>3388</v>
      </c>
      <c r="D3" s="21" t="s">
        <v>3389</v>
      </c>
      <c r="E3" s="21" t="s">
        <v>3390</v>
      </c>
    </row>
    <row r="4" spans="1:5" ht="57" customHeight="1" x14ac:dyDescent="0.25">
      <c r="A4" s="18" t="s">
        <v>3393</v>
      </c>
      <c r="B4" s="22" t="s">
        <v>3394</v>
      </c>
      <c r="C4" s="21" t="s">
        <v>3388</v>
      </c>
      <c r="D4" s="21" t="s">
        <v>3389</v>
      </c>
      <c r="E4" s="21" t="s">
        <v>3390</v>
      </c>
    </row>
    <row r="5" spans="1:5" ht="48" customHeight="1" x14ac:dyDescent="0.25">
      <c r="A5" s="18" t="s">
        <v>3395</v>
      </c>
      <c r="B5" s="22" t="s">
        <v>3396</v>
      </c>
      <c r="C5" s="21" t="s">
        <v>3388</v>
      </c>
      <c r="D5" s="21" t="s">
        <v>3389</v>
      </c>
      <c r="E5" s="21" t="s">
        <v>3390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sales_data</vt:lpstr>
      <vt:lpstr>Pivot1 Sales</vt:lpstr>
      <vt:lpstr>Pivot2 Products</vt:lpstr>
      <vt:lpstr>Pivot3 Repeat Rate</vt:lpstr>
      <vt:lpstr>summary_metrics</vt:lpstr>
      <vt:lpstr>hypothesis_testing</vt:lpstr>
      <vt:lpstr>risk_matrix</vt:lpstr>
      <vt:lpstr>uat_tracker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Qwerty Stas</dc:creator>
  <cp:lastModifiedBy>Qwerty Stas</cp:lastModifiedBy>
  <dcterms:created xsi:type="dcterms:W3CDTF">2026-08-17T18:17:07Z</dcterms:created>
  <dcterms:modified xsi:type="dcterms:W3CDTF">2026-08-18T22:35:44Z</dcterms:modified>
</cp:coreProperties>
</file>